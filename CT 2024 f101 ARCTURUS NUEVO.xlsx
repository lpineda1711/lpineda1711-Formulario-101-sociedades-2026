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lilypineda/Downloads/"/>
    </mc:Choice>
  </mc:AlternateContent>
  <xr:revisionPtr revIDLastSave="0" documentId="8_{9D683AE7-BE4E-604B-AA2C-B493D95CF7F2}" xr6:coauthVersionLast="47" xr6:coauthVersionMax="47" xr10:uidLastSave="{00000000-0000-0000-0000-000000000000}"/>
  <bookViews>
    <workbookView xWindow="0" yWindow="620" windowWidth="28800" windowHeight="16080" tabRatio="932" activeTab="1" xr2:uid="{00000000-000D-0000-FFFF-FFFF00000000}"/>
  </bookViews>
  <sheets>
    <sheet name="BC" sheetId="9" r:id="rId1"/>
    <sheet name="F101" sheetId="45" r:id="rId2"/>
    <sheet name="Tipo" sheetId="69" state="hidden" r:id="rId3"/>
    <sheet name="Casilleros" sheetId="46" state="hidden" r:id="rId4"/>
    <sheet name="JP&amp;D FA" sheetId="66" state="hidden" r:id="rId5"/>
    <sheet name="CMA_SampleDesign" sheetId="6" state="veryHidden" r:id="rId6"/>
  </sheets>
  <definedNames>
    <definedName name="_xlnm._FilterDatabase" localSheetId="0" hidden="1">BC!$A$5:$O$348</definedName>
    <definedName name="_xlnm._FilterDatabase" localSheetId="3" hidden="1">Casilleros!$A$4:$Q$830</definedName>
    <definedName name="_xlnm.Print_Area" localSheetId="0">BC!$A$1:$O$347</definedName>
    <definedName name="_xlnm.Print_Area" localSheetId="1">'F101'!$A$1:$O$779</definedName>
    <definedName name="_xlnm.Print_Area" localSheetId="4">'JP&amp;D FA'!$A$1:$G$50</definedName>
    <definedName name="AS2DocOpenMode" hidden="1">"AS2DocumentEdit"</definedName>
    <definedName name="AS2NamedRange" hidden="1">2</definedName>
    <definedName name="Ejercicio_fiscal">#REF!</definedName>
    <definedName name="otros" localSheetId="4" hidden="1">{#N/A,#N/A,FALSE,"Aging Summary";#N/A,#N/A,FALSE,"Ratio Analysis";#N/A,#N/A,FALSE,"Test 120 Day Accts";#N/A,#N/A,FALSE,"Tickmarks"}</definedName>
    <definedName name="otros" hidden="1">{#N/A,#N/A,FALSE,"Aging Summary";#N/A,#N/A,FALSE,"Ratio Analysis";#N/A,#N/A,FALSE,"Test 120 Day Accts";#N/A,#N/A,FALSE,"Tickmarks"}</definedName>
    <definedName name="RAZÓN_SOCIAL">#REF!</definedName>
    <definedName name="RUC">#REF!</definedName>
    <definedName name="_xlnm.Print_Titles" localSheetId="0">BC!$4:$5</definedName>
    <definedName name="_xlnm.Print_Titles" localSheetId="3">Casilleros!$4:$4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9" l="1"/>
  <c r="J35" i="9"/>
  <c r="I35" i="9"/>
  <c r="H35" i="9"/>
  <c r="G35" i="9"/>
  <c r="F35" i="9"/>
  <c r="D35" i="9"/>
  <c r="A35" i="9"/>
  <c r="K35" i="9" l="1"/>
  <c r="D159" i="9" l="1"/>
  <c r="C159" i="9"/>
  <c r="B159" i="9"/>
  <c r="D244" i="9"/>
  <c r="D237" i="9"/>
  <c r="C235" i="9"/>
  <c r="B235" i="9"/>
  <c r="J235" i="9" s="1"/>
  <c r="L235" i="9"/>
  <c r="H235" i="9"/>
  <c r="G235" i="9"/>
  <c r="F235" i="9"/>
  <c r="D235" i="9"/>
  <c r="O532" i="45" s="1"/>
  <c r="A235" i="9"/>
  <c r="D193" i="9"/>
  <c r="C193" i="9"/>
  <c r="B193" i="9"/>
  <c r="J193" i="9" s="1"/>
  <c r="L194" i="9"/>
  <c r="J194" i="9"/>
  <c r="I194" i="9"/>
  <c r="H194" i="9"/>
  <c r="G194" i="9"/>
  <c r="F194" i="9"/>
  <c r="A194" i="9"/>
  <c r="L193" i="9"/>
  <c r="H193" i="9"/>
  <c r="G193" i="9"/>
  <c r="F193" i="9"/>
  <c r="A193" i="9"/>
  <c r="C178" i="9"/>
  <c r="B178" i="9"/>
  <c r="I178" i="9" s="1"/>
  <c r="C177" i="9"/>
  <c r="B177" i="9"/>
  <c r="J177" i="9" s="1"/>
  <c r="C176" i="9"/>
  <c r="B176" i="9"/>
  <c r="I176" i="9" s="1"/>
  <c r="C175" i="9"/>
  <c r="B175" i="9"/>
  <c r="J175" i="9" s="1"/>
  <c r="L178" i="9"/>
  <c r="H178" i="9"/>
  <c r="G178" i="9"/>
  <c r="F178" i="9"/>
  <c r="D178" i="9"/>
  <c r="A178" i="9"/>
  <c r="L177" i="9"/>
  <c r="H177" i="9"/>
  <c r="G177" i="9"/>
  <c r="F177" i="9"/>
  <c r="D177" i="9"/>
  <c r="A177" i="9"/>
  <c r="L176" i="9"/>
  <c r="H176" i="9"/>
  <c r="G176" i="9"/>
  <c r="F176" i="9"/>
  <c r="D176" i="9"/>
  <c r="A176" i="9"/>
  <c r="L175" i="9"/>
  <c r="H175" i="9"/>
  <c r="G175" i="9"/>
  <c r="F175" i="9"/>
  <c r="D175" i="9"/>
  <c r="A175" i="9"/>
  <c r="C149" i="9"/>
  <c r="B149" i="9"/>
  <c r="J149" i="9" s="1"/>
  <c r="L149" i="9"/>
  <c r="H149" i="9"/>
  <c r="G149" i="9"/>
  <c r="F149" i="9"/>
  <c r="D149" i="9"/>
  <c r="A149" i="9"/>
  <c r="C146" i="9"/>
  <c r="B146" i="9"/>
  <c r="J146" i="9" s="1"/>
  <c r="L146" i="9"/>
  <c r="H146" i="9"/>
  <c r="G146" i="9"/>
  <c r="F146" i="9"/>
  <c r="D146" i="9"/>
  <c r="A146" i="9"/>
  <c r="L138" i="9"/>
  <c r="J138" i="9"/>
  <c r="I138" i="9"/>
  <c r="H138" i="9"/>
  <c r="G138" i="9"/>
  <c r="F138" i="9"/>
  <c r="D138" i="9"/>
  <c r="A138" i="9"/>
  <c r="L127" i="9"/>
  <c r="H127" i="9"/>
  <c r="G127" i="9"/>
  <c r="F127" i="9"/>
  <c r="D127" i="9"/>
  <c r="C127" i="9"/>
  <c r="B127" i="9"/>
  <c r="J127" i="9" s="1"/>
  <c r="A127" i="9"/>
  <c r="C126" i="9"/>
  <c r="B126" i="9"/>
  <c r="J126" i="9" s="1"/>
  <c r="L126" i="9"/>
  <c r="H126" i="9"/>
  <c r="G126" i="9"/>
  <c r="F126" i="9"/>
  <c r="D126" i="9"/>
  <c r="A126" i="9"/>
  <c r="C99" i="9"/>
  <c r="B99" i="9"/>
  <c r="I99" i="9" s="1"/>
  <c r="L99" i="9"/>
  <c r="H99" i="9"/>
  <c r="G99" i="9"/>
  <c r="F99" i="9"/>
  <c r="D99" i="9"/>
  <c r="A99" i="9"/>
  <c r="C104" i="9"/>
  <c r="B104" i="9"/>
  <c r="J104" i="9" s="1"/>
  <c r="L104" i="9"/>
  <c r="H104" i="9"/>
  <c r="G104" i="9"/>
  <c r="F104" i="9"/>
  <c r="D104" i="9"/>
  <c r="A104" i="9"/>
  <c r="L102" i="9"/>
  <c r="J102" i="9"/>
  <c r="I102" i="9"/>
  <c r="H102" i="9"/>
  <c r="G102" i="9"/>
  <c r="F102" i="9"/>
  <c r="D102" i="9"/>
  <c r="A102" i="9"/>
  <c r="D93" i="9"/>
  <c r="D92" i="9"/>
  <c r="C93" i="9"/>
  <c r="L93" i="9"/>
  <c r="J93" i="9"/>
  <c r="I93" i="9"/>
  <c r="H93" i="9"/>
  <c r="G93" i="9"/>
  <c r="F93" i="9"/>
  <c r="A93" i="9"/>
  <c r="D25" i="9"/>
  <c r="C25" i="9"/>
  <c r="B25" i="9"/>
  <c r="J25" i="9" s="1"/>
  <c r="L25" i="9"/>
  <c r="H25" i="9"/>
  <c r="G25" i="9"/>
  <c r="F25" i="9"/>
  <c r="A25" i="9"/>
  <c r="D15" i="9"/>
  <c r="C15" i="9"/>
  <c r="B15" i="9"/>
  <c r="J15" i="9" s="1"/>
  <c r="L15" i="9"/>
  <c r="H15" i="9"/>
  <c r="G15" i="9"/>
  <c r="F15" i="9"/>
  <c r="A15" i="9"/>
  <c r="L10" i="9"/>
  <c r="J10" i="9"/>
  <c r="I10" i="9"/>
  <c r="H10" i="9"/>
  <c r="G10" i="9"/>
  <c r="F10" i="9"/>
  <c r="D10" i="9"/>
  <c r="A10" i="9"/>
  <c r="J178" i="9" l="1"/>
  <c r="I175" i="9"/>
  <c r="K175" i="9" s="1"/>
  <c r="I193" i="9"/>
  <c r="K193" i="9" s="1"/>
  <c r="I146" i="9"/>
  <c r="K146" i="9" s="1"/>
  <c r="I149" i="9"/>
  <c r="K149" i="9" s="1"/>
  <c r="J176" i="9"/>
  <c r="K176" i="9" s="1"/>
  <c r="K178" i="9"/>
  <c r="K194" i="9"/>
  <c r="I235" i="9"/>
  <c r="K235" i="9" s="1"/>
  <c r="I177" i="9"/>
  <c r="K177" i="9" s="1"/>
  <c r="K138" i="9"/>
  <c r="J99" i="9"/>
  <c r="K99" i="9" s="1"/>
  <c r="I127" i="9"/>
  <c r="K127" i="9" s="1"/>
  <c r="I126" i="9"/>
  <c r="K126" i="9" s="1"/>
  <c r="I104" i="9"/>
  <c r="K104" i="9" s="1"/>
  <c r="K102" i="9"/>
  <c r="K93" i="9"/>
  <c r="I25" i="9"/>
  <c r="K25" i="9" s="1"/>
  <c r="I15" i="9"/>
  <c r="K15" i="9" s="1"/>
  <c r="K10" i="9"/>
  <c r="P659" i="45" l="1"/>
  <c r="O521" i="45" l="1"/>
  <c r="D158" i="9" l="1"/>
  <c r="D157" i="9"/>
  <c r="L158" i="9"/>
  <c r="J158" i="9"/>
  <c r="I158" i="9"/>
  <c r="H158" i="9"/>
  <c r="G158" i="9"/>
  <c r="F158" i="9"/>
  <c r="A158" i="9"/>
  <c r="L157" i="9"/>
  <c r="J157" i="9"/>
  <c r="I157" i="9"/>
  <c r="H157" i="9"/>
  <c r="G157" i="9"/>
  <c r="F157" i="9"/>
  <c r="A157" i="9"/>
  <c r="D243" i="9"/>
  <c r="D242" i="9"/>
  <c r="D241" i="9"/>
  <c r="D240" i="9"/>
  <c r="D239" i="9"/>
  <c r="D238" i="9"/>
  <c r="D236" i="9"/>
  <c r="D234" i="9"/>
  <c r="D231" i="9"/>
  <c r="D230" i="9"/>
  <c r="D229" i="9"/>
  <c r="D228" i="9"/>
  <c r="L231" i="9"/>
  <c r="J231" i="9"/>
  <c r="I231" i="9"/>
  <c r="H231" i="9"/>
  <c r="G231" i="9"/>
  <c r="F231" i="9"/>
  <c r="A231" i="9"/>
  <c r="L230" i="9"/>
  <c r="J230" i="9"/>
  <c r="I230" i="9"/>
  <c r="H230" i="9"/>
  <c r="G230" i="9"/>
  <c r="F230" i="9"/>
  <c r="A230" i="9"/>
  <c r="L229" i="9"/>
  <c r="J229" i="9"/>
  <c r="I229" i="9"/>
  <c r="H229" i="9"/>
  <c r="G229" i="9"/>
  <c r="F229" i="9"/>
  <c r="A229" i="9"/>
  <c r="D221" i="9"/>
  <c r="D220" i="9"/>
  <c r="D218" i="9"/>
  <c r="L217" i="9"/>
  <c r="J217" i="9"/>
  <c r="I217" i="9"/>
  <c r="H217" i="9"/>
  <c r="G217" i="9"/>
  <c r="F217" i="9"/>
  <c r="D217" i="9"/>
  <c r="A217" i="9"/>
  <c r="D216" i="9"/>
  <c r="D215" i="9"/>
  <c r="D214" i="9"/>
  <c r="D213" i="9"/>
  <c r="D212" i="9"/>
  <c r="D211" i="9"/>
  <c r="D210" i="9"/>
  <c r="D209" i="9"/>
  <c r="L209" i="9"/>
  <c r="J209" i="9"/>
  <c r="I209" i="9"/>
  <c r="H209" i="9"/>
  <c r="G209" i="9"/>
  <c r="F209" i="9"/>
  <c r="A209" i="9"/>
  <c r="D208" i="9"/>
  <c r="D207" i="9"/>
  <c r="D205" i="9"/>
  <c r="D204" i="9"/>
  <c r="D203" i="9"/>
  <c r="D202" i="9"/>
  <c r="D192" i="9"/>
  <c r="L191" i="9"/>
  <c r="J191" i="9"/>
  <c r="I191" i="9"/>
  <c r="H191" i="9"/>
  <c r="G191" i="9"/>
  <c r="F191" i="9"/>
  <c r="D191" i="9"/>
  <c r="A191" i="9"/>
  <c r="L190" i="9"/>
  <c r="J190" i="9"/>
  <c r="I190" i="9"/>
  <c r="H190" i="9"/>
  <c r="G190" i="9"/>
  <c r="F190" i="9"/>
  <c r="D190" i="9"/>
  <c r="A190" i="9"/>
  <c r="L189" i="9"/>
  <c r="J189" i="9"/>
  <c r="I189" i="9"/>
  <c r="H189" i="9"/>
  <c r="G189" i="9"/>
  <c r="F189" i="9"/>
  <c r="D189" i="9"/>
  <c r="A189" i="9"/>
  <c r="L188" i="9"/>
  <c r="J188" i="9"/>
  <c r="I188" i="9"/>
  <c r="H188" i="9"/>
  <c r="G188" i="9"/>
  <c r="F188" i="9"/>
  <c r="D188" i="9"/>
  <c r="A188" i="9"/>
  <c r="D187" i="9"/>
  <c r="D186" i="9"/>
  <c r="D185" i="9"/>
  <c r="D184" i="9"/>
  <c r="D183" i="9"/>
  <c r="D182" i="9"/>
  <c r="D181" i="9"/>
  <c r="D180" i="9"/>
  <c r="D179" i="9"/>
  <c r="D174" i="9"/>
  <c r="D173" i="9"/>
  <c r="D172" i="9"/>
  <c r="D171" i="9"/>
  <c r="D170" i="9"/>
  <c r="D169" i="9"/>
  <c r="D168" i="9"/>
  <c r="D167" i="9"/>
  <c r="D166" i="9"/>
  <c r="D165" i="9"/>
  <c r="D164" i="9"/>
  <c r="D163" i="9"/>
  <c r="D162" i="9"/>
  <c r="D161" i="9"/>
  <c r="D160" i="9"/>
  <c r="L180" i="9"/>
  <c r="J180" i="9"/>
  <c r="I180" i="9"/>
  <c r="H180" i="9"/>
  <c r="G180" i="9"/>
  <c r="F180" i="9"/>
  <c r="A180" i="9"/>
  <c r="L179" i="9"/>
  <c r="J179" i="9"/>
  <c r="I179" i="9"/>
  <c r="H179" i="9"/>
  <c r="G179" i="9"/>
  <c r="F179" i="9"/>
  <c r="A179" i="9"/>
  <c r="L174" i="9"/>
  <c r="J174" i="9"/>
  <c r="I174" i="9"/>
  <c r="H174" i="9"/>
  <c r="G174" i="9"/>
  <c r="F174" i="9"/>
  <c r="A174" i="9"/>
  <c r="L173" i="9"/>
  <c r="J173" i="9"/>
  <c r="I173" i="9"/>
  <c r="H173" i="9"/>
  <c r="G173" i="9"/>
  <c r="F173" i="9"/>
  <c r="A173" i="9"/>
  <c r="L172" i="9"/>
  <c r="J172" i="9"/>
  <c r="I172" i="9"/>
  <c r="H172" i="9"/>
  <c r="G172" i="9"/>
  <c r="F172" i="9"/>
  <c r="A172" i="9"/>
  <c r="L171" i="9"/>
  <c r="J171" i="9"/>
  <c r="I171" i="9"/>
  <c r="H171" i="9"/>
  <c r="G171" i="9"/>
  <c r="F171" i="9"/>
  <c r="A171" i="9"/>
  <c r="L170" i="9"/>
  <c r="J170" i="9"/>
  <c r="I170" i="9"/>
  <c r="H170" i="9"/>
  <c r="G170" i="9"/>
  <c r="F170" i="9"/>
  <c r="A170" i="9"/>
  <c r="L169" i="9"/>
  <c r="J169" i="9"/>
  <c r="I169" i="9"/>
  <c r="H169" i="9"/>
  <c r="G169" i="9"/>
  <c r="F169" i="9"/>
  <c r="A169" i="9"/>
  <c r="L168" i="9"/>
  <c r="J168" i="9"/>
  <c r="I168" i="9"/>
  <c r="H168" i="9"/>
  <c r="G168" i="9"/>
  <c r="F168" i="9"/>
  <c r="A168" i="9"/>
  <c r="L167" i="9"/>
  <c r="J167" i="9"/>
  <c r="I167" i="9"/>
  <c r="H167" i="9"/>
  <c r="G167" i="9"/>
  <c r="F167" i="9"/>
  <c r="A167" i="9"/>
  <c r="L166" i="9"/>
  <c r="J166" i="9"/>
  <c r="I166" i="9"/>
  <c r="H166" i="9"/>
  <c r="G166" i="9"/>
  <c r="F166" i="9"/>
  <c r="A166" i="9"/>
  <c r="L165" i="9"/>
  <c r="J165" i="9"/>
  <c r="I165" i="9"/>
  <c r="H165" i="9"/>
  <c r="G165" i="9"/>
  <c r="F165" i="9"/>
  <c r="A165" i="9"/>
  <c r="L164" i="9"/>
  <c r="J164" i="9"/>
  <c r="I164" i="9"/>
  <c r="H164" i="9"/>
  <c r="G164" i="9"/>
  <c r="F164" i="9"/>
  <c r="A164" i="9"/>
  <c r="L163" i="9"/>
  <c r="J163" i="9"/>
  <c r="I163" i="9"/>
  <c r="H163" i="9"/>
  <c r="G163" i="9"/>
  <c r="F163" i="9"/>
  <c r="A163" i="9"/>
  <c r="L162" i="9"/>
  <c r="J162" i="9"/>
  <c r="I162" i="9"/>
  <c r="H162" i="9"/>
  <c r="G162" i="9"/>
  <c r="F162" i="9"/>
  <c r="A162" i="9"/>
  <c r="L161" i="9"/>
  <c r="J161" i="9"/>
  <c r="I161" i="9"/>
  <c r="H161" i="9"/>
  <c r="G161" i="9"/>
  <c r="F161" i="9"/>
  <c r="A161" i="9"/>
  <c r="L160" i="9"/>
  <c r="J160" i="9"/>
  <c r="I160" i="9"/>
  <c r="H160" i="9"/>
  <c r="G160" i="9"/>
  <c r="F160" i="9"/>
  <c r="A160" i="9"/>
  <c r="L159" i="9"/>
  <c r="J159" i="9"/>
  <c r="I159" i="9"/>
  <c r="H159" i="9"/>
  <c r="G159" i="9"/>
  <c r="F159" i="9"/>
  <c r="A159" i="9"/>
  <c r="D156" i="9"/>
  <c r="D155" i="9"/>
  <c r="D154" i="9"/>
  <c r="D153" i="9"/>
  <c r="D152" i="9"/>
  <c r="D151" i="9"/>
  <c r="D150" i="9"/>
  <c r="D148" i="9"/>
  <c r="D147" i="9"/>
  <c r="D145" i="9"/>
  <c r="D144" i="9"/>
  <c r="D143" i="9"/>
  <c r="D142" i="9"/>
  <c r="D140" i="9"/>
  <c r="D137" i="9"/>
  <c r="D136" i="9"/>
  <c r="L137" i="9"/>
  <c r="J137" i="9"/>
  <c r="I137" i="9"/>
  <c r="H137" i="9"/>
  <c r="G137" i="9"/>
  <c r="F137" i="9"/>
  <c r="A137" i="9"/>
  <c r="L136" i="9"/>
  <c r="J136" i="9"/>
  <c r="I136" i="9"/>
  <c r="H136" i="9"/>
  <c r="G136" i="9"/>
  <c r="F136" i="9"/>
  <c r="A136" i="9"/>
  <c r="D134" i="9"/>
  <c r="D133" i="9"/>
  <c r="D132" i="9"/>
  <c r="D131" i="9"/>
  <c r="D130" i="9"/>
  <c r="D129" i="9"/>
  <c r="D128" i="9"/>
  <c r="D125" i="9"/>
  <c r="D124" i="9"/>
  <c r="D123" i="9"/>
  <c r="D122" i="9"/>
  <c r="D121" i="9"/>
  <c r="D120" i="9"/>
  <c r="D119" i="9"/>
  <c r="L118" i="9"/>
  <c r="J118" i="9"/>
  <c r="I118" i="9"/>
  <c r="H118" i="9"/>
  <c r="G118" i="9"/>
  <c r="F118" i="9"/>
  <c r="D118" i="9"/>
  <c r="A118" i="9"/>
  <c r="D117" i="9"/>
  <c r="D116" i="9"/>
  <c r="D115" i="9"/>
  <c r="D114" i="9"/>
  <c r="D113" i="9"/>
  <c r="D112" i="9"/>
  <c r="D111" i="9"/>
  <c r="D110" i="9"/>
  <c r="D109" i="9"/>
  <c r="L109" i="9"/>
  <c r="J109" i="9"/>
  <c r="I109" i="9"/>
  <c r="H109" i="9"/>
  <c r="G109" i="9"/>
  <c r="F109" i="9"/>
  <c r="A109" i="9"/>
  <c r="D108" i="9"/>
  <c r="D107" i="9"/>
  <c r="D106" i="9"/>
  <c r="D105" i="9"/>
  <c r="D103" i="9"/>
  <c r="L101" i="9"/>
  <c r="J101" i="9"/>
  <c r="I101" i="9"/>
  <c r="H101" i="9"/>
  <c r="G101" i="9"/>
  <c r="F101" i="9"/>
  <c r="D101" i="9"/>
  <c r="A101" i="9"/>
  <c r="D100" i="9"/>
  <c r="D98" i="9"/>
  <c r="D97" i="9"/>
  <c r="D96" i="9"/>
  <c r="D95" i="9"/>
  <c r="D94" i="9"/>
  <c r="D76" i="9"/>
  <c r="D75" i="9"/>
  <c r="D74" i="9"/>
  <c r="D73" i="9"/>
  <c r="D72" i="9"/>
  <c r="D71" i="9"/>
  <c r="D68" i="9"/>
  <c r="D67" i="9"/>
  <c r="D66" i="9"/>
  <c r="D65" i="9"/>
  <c r="D64" i="9"/>
  <c r="D63" i="9"/>
  <c r="D61" i="9"/>
  <c r="D60" i="9"/>
  <c r="D59" i="9"/>
  <c r="D58" i="9"/>
  <c r="D57" i="9"/>
  <c r="D54" i="9"/>
  <c r="D53" i="9"/>
  <c r="D52" i="9"/>
  <c r="D51" i="9"/>
  <c r="D50" i="9"/>
  <c r="D49" i="9"/>
  <c r="D48" i="9"/>
  <c r="L48" i="9"/>
  <c r="J48" i="9"/>
  <c r="I48" i="9"/>
  <c r="H48" i="9"/>
  <c r="G48" i="9"/>
  <c r="F48" i="9"/>
  <c r="A48" i="9"/>
  <c r="D47" i="9"/>
  <c r="L47" i="9"/>
  <c r="J47" i="9"/>
  <c r="I47" i="9"/>
  <c r="H47" i="9"/>
  <c r="G47" i="9"/>
  <c r="F47" i="9"/>
  <c r="A47" i="9"/>
  <c r="D46" i="9"/>
  <c r="D45" i="9"/>
  <c r="D44" i="9"/>
  <c r="D43" i="9"/>
  <c r="D42" i="9"/>
  <c r="D41" i="9"/>
  <c r="D40" i="9"/>
  <c r="D39" i="9"/>
  <c r="D38" i="9"/>
  <c r="D37" i="9"/>
  <c r="D36" i="9"/>
  <c r="D34" i="9"/>
  <c r="D33" i="9"/>
  <c r="D32" i="9"/>
  <c r="D31" i="9"/>
  <c r="D30" i="9"/>
  <c r="D29" i="9"/>
  <c r="D28" i="9"/>
  <c r="D27" i="9"/>
  <c r="D24" i="9"/>
  <c r="D22" i="9"/>
  <c r="D21" i="9"/>
  <c r="D20" i="9"/>
  <c r="D19" i="9"/>
  <c r="D18" i="9"/>
  <c r="D17" i="9"/>
  <c r="D16" i="9"/>
  <c r="D14" i="9"/>
  <c r="D13" i="9"/>
  <c r="D12" i="9"/>
  <c r="D11" i="9"/>
  <c r="D9" i="9"/>
  <c r="D8" i="9"/>
  <c r="D7" i="9"/>
  <c r="L91" i="9"/>
  <c r="J91" i="9"/>
  <c r="I91" i="9"/>
  <c r="H91" i="9"/>
  <c r="G91" i="9"/>
  <c r="F91" i="9"/>
  <c r="D91" i="9"/>
  <c r="A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K158" i="9" l="1"/>
  <c r="K157" i="9"/>
  <c r="K231" i="9"/>
  <c r="K230" i="9"/>
  <c r="K229" i="9"/>
  <c r="K190" i="9"/>
  <c r="K164" i="9"/>
  <c r="K168" i="9"/>
  <c r="K172" i="9"/>
  <c r="K180" i="9"/>
  <c r="K217" i="9"/>
  <c r="K209" i="9"/>
  <c r="K163" i="9"/>
  <c r="K188" i="9"/>
  <c r="K189" i="9"/>
  <c r="K191" i="9"/>
  <c r="K162" i="9"/>
  <c r="K161" i="9"/>
  <c r="K165" i="9"/>
  <c r="K169" i="9"/>
  <c r="K173" i="9"/>
  <c r="K159" i="9"/>
  <c r="K160" i="9"/>
  <c r="K167" i="9"/>
  <c r="K171" i="9"/>
  <c r="K179" i="9"/>
  <c r="K166" i="9"/>
  <c r="K170" i="9"/>
  <c r="K174" i="9"/>
  <c r="K137" i="9"/>
  <c r="K136" i="9"/>
  <c r="K118" i="9"/>
  <c r="K109" i="9"/>
  <c r="K48" i="9"/>
  <c r="K101" i="9"/>
  <c r="K91" i="9"/>
  <c r="K47" i="9"/>
  <c r="L68" i="9"/>
  <c r="J68" i="9"/>
  <c r="I68" i="9"/>
  <c r="H68" i="9"/>
  <c r="G68" i="9"/>
  <c r="F68" i="9"/>
  <c r="A68" i="9"/>
  <c r="K68" i="9" l="1"/>
  <c r="L218" i="9" l="1"/>
  <c r="J218" i="9"/>
  <c r="I218" i="9"/>
  <c r="H218" i="9"/>
  <c r="G218" i="9"/>
  <c r="F218" i="9"/>
  <c r="A218" i="9"/>
  <c r="L192" i="9"/>
  <c r="J192" i="9"/>
  <c r="I192" i="9"/>
  <c r="H192" i="9"/>
  <c r="G192" i="9"/>
  <c r="F192" i="9"/>
  <c r="A192" i="9"/>
  <c r="L187" i="9"/>
  <c r="J187" i="9"/>
  <c r="I187" i="9"/>
  <c r="H187" i="9"/>
  <c r="G187" i="9"/>
  <c r="F187" i="9"/>
  <c r="A187" i="9"/>
  <c r="L186" i="9"/>
  <c r="J186" i="9"/>
  <c r="I186" i="9"/>
  <c r="H186" i="9"/>
  <c r="G186" i="9"/>
  <c r="F186" i="9"/>
  <c r="A186" i="9"/>
  <c r="L185" i="9"/>
  <c r="J185" i="9"/>
  <c r="I185" i="9"/>
  <c r="H185" i="9"/>
  <c r="G185" i="9"/>
  <c r="F185" i="9"/>
  <c r="A185" i="9"/>
  <c r="L184" i="9"/>
  <c r="J184" i="9"/>
  <c r="I184" i="9"/>
  <c r="H184" i="9"/>
  <c r="G184" i="9"/>
  <c r="F184" i="9"/>
  <c r="A184" i="9"/>
  <c r="L183" i="9"/>
  <c r="J183" i="9"/>
  <c r="I183" i="9"/>
  <c r="H183" i="9"/>
  <c r="G183" i="9"/>
  <c r="F183" i="9"/>
  <c r="A183" i="9"/>
  <c r="L182" i="9"/>
  <c r="J182" i="9"/>
  <c r="I182" i="9"/>
  <c r="H182" i="9"/>
  <c r="G182" i="9"/>
  <c r="F182" i="9"/>
  <c r="A182" i="9"/>
  <c r="L181" i="9"/>
  <c r="J181" i="9"/>
  <c r="I181" i="9"/>
  <c r="H181" i="9"/>
  <c r="G181" i="9"/>
  <c r="F181" i="9"/>
  <c r="A181" i="9"/>
  <c r="L139" i="9"/>
  <c r="J139" i="9"/>
  <c r="I139" i="9"/>
  <c r="H139" i="9"/>
  <c r="G139" i="9"/>
  <c r="F139" i="9"/>
  <c r="A139" i="9"/>
  <c r="L135" i="9"/>
  <c r="J135" i="9"/>
  <c r="I135" i="9"/>
  <c r="H135" i="9"/>
  <c r="G135" i="9"/>
  <c r="F135" i="9"/>
  <c r="A135" i="9"/>
  <c r="L134" i="9"/>
  <c r="J134" i="9"/>
  <c r="I134" i="9"/>
  <c r="H134" i="9"/>
  <c r="G134" i="9"/>
  <c r="F134" i="9"/>
  <c r="A134" i="9"/>
  <c r="L131" i="9"/>
  <c r="J131" i="9"/>
  <c r="I131" i="9"/>
  <c r="H131" i="9"/>
  <c r="G131" i="9"/>
  <c r="F131" i="9"/>
  <c r="A131" i="9"/>
  <c r="L116" i="9"/>
  <c r="J116" i="9"/>
  <c r="I116" i="9"/>
  <c r="H116" i="9"/>
  <c r="G116" i="9"/>
  <c r="F116" i="9"/>
  <c r="A116" i="9"/>
  <c r="L92" i="9"/>
  <c r="J92" i="9"/>
  <c r="I92" i="9"/>
  <c r="H92" i="9"/>
  <c r="G92" i="9"/>
  <c r="F92" i="9"/>
  <c r="A92" i="9"/>
  <c r="L62" i="9"/>
  <c r="J62" i="9"/>
  <c r="I62" i="9"/>
  <c r="H62" i="9"/>
  <c r="G62" i="9"/>
  <c r="F62" i="9"/>
  <c r="A62" i="9"/>
  <c r="L56" i="9"/>
  <c r="J56" i="9"/>
  <c r="I56" i="9"/>
  <c r="H56" i="9"/>
  <c r="G56" i="9"/>
  <c r="F56" i="9"/>
  <c r="A56" i="9"/>
  <c r="L55" i="9"/>
  <c r="J55" i="9"/>
  <c r="I55" i="9"/>
  <c r="H55" i="9"/>
  <c r="G55" i="9"/>
  <c r="F55" i="9"/>
  <c r="A55" i="9"/>
  <c r="K218" i="9" l="1"/>
  <c r="K181" i="9"/>
  <c r="K139" i="9"/>
  <c r="K135" i="9"/>
  <c r="K186" i="9"/>
  <c r="K131" i="9"/>
  <c r="K184" i="9"/>
  <c r="K182" i="9"/>
  <c r="K183" i="9"/>
  <c r="K187" i="9"/>
  <c r="K185" i="9"/>
  <c r="K192" i="9"/>
  <c r="K134" i="9"/>
  <c r="K116" i="9"/>
  <c r="K55" i="9"/>
  <c r="K92" i="9"/>
  <c r="K62" i="9"/>
  <c r="K56" i="9"/>
  <c r="J122" i="9"/>
  <c r="I122" i="9"/>
  <c r="H122" i="9"/>
  <c r="G122" i="9"/>
  <c r="F122" i="9"/>
  <c r="A122" i="9"/>
  <c r="L66" i="9"/>
  <c r="J66" i="9"/>
  <c r="I66" i="9"/>
  <c r="H66" i="9"/>
  <c r="G66" i="9"/>
  <c r="F66" i="9"/>
  <c r="A66" i="9"/>
  <c r="P666" i="45"/>
  <c r="K122" i="9" l="1"/>
  <c r="L122" i="9" s="1"/>
  <c r="K66" i="9"/>
  <c r="P685" i="45" l="1"/>
  <c r="F79" i="9" l="1"/>
  <c r="D5" i="69" l="1"/>
  <c r="B5" i="69"/>
  <c r="D4" i="69"/>
  <c r="B4" i="69"/>
  <c r="R7" i="66" l="1"/>
  <c r="R8" i="66"/>
  <c r="R9" i="66"/>
  <c r="R10" i="66"/>
  <c r="R11" i="66"/>
  <c r="R12" i="66"/>
  <c r="R13" i="66"/>
  <c r="R14" i="66"/>
  <c r="R15" i="66"/>
  <c r="R16" i="66"/>
  <c r="D348" i="9" l="1"/>
  <c r="A3" i="66" l="1"/>
  <c r="A1" i="66"/>
  <c r="Q21" i="66"/>
  <c r="P21" i="66"/>
  <c r="M21" i="66"/>
  <c r="L21" i="66"/>
  <c r="K21" i="66"/>
  <c r="Q20" i="66"/>
  <c r="P20" i="66"/>
  <c r="M20" i="66"/>
  <c r="L20" i="66"/>
  <c r="K20" i="66"/>
  <c r="K19" i="66"/>
  <c r="Q17" i="66"/>
  <c r="Q19" i="66" s="1"/>
  <c r="P17" i="66"/>
  <c r="P19" i="66" s="1"/>
  <c r="M17" i="66"/>
  <c r="M19" i="66" s="1"/>
  <c r="L17" i="66"/>
  <c r="L19" i="66" s="1"/>
  <c r="R21" i="66"/>
  <c r="R20" i="66"/>
  <c r="E36" i="66"/>
  <c r="G47" i="66" s="1"/>
  <c r="D36" i="66"/>
  <c r="F47" i="66" s="1"/>
  <c r="E31" i="66"/>
  <c r="D31" i="66"/>
  <c r="E26" i="66"/>
  <c r="D26" i="66"/>
  <c r="E21" i="66"/>
  <c r="D21" i="66"/>
  <c r="E17" i="66"/>
  <c r="D17" i="66"/>
  <c r="E14" i="66"/>
  <c r="D14" i="66"/>
  <c r="E11" i="66"/>
  <c r="D11" i="66"/>
  <c r="E8" i="66"/>
  <c r="D8" i="66"/>
  <c r="M719" i="46"/>
  <c r="M727" i="46"/>
  <c r="M735" i="46"/>
  <c r="M755" i="46"/>
  <c r="M764" i="46"/>
  <c r="M772" i="46"/>
  <c r="M780" i="46"/>
  <c r="M792" i="46"/>
  <c r="M793" i="46"/>
  <c r="M803" i="46"/>
  <c r="M804" i="46"/>
  <c r="M810" i="46"/>
  <c r="M812" i="46"/>
  <c r="M813" i="46"/>
  <c r="M814" i="46"/>
  <c r="M818" i="46"/>
  <c r="M820" i="46"/>
  <c r="M821" i="46"/>
  <c r="M822" i="46"/>
  <c r="M823" i="46"/>
  <c r="M826" i="46"/>
  <c r="M827" i="46"/>
  <c r="M828" i="46"/>
  <c r="M829" i="46"/>
  <c r="M830" i="46"/>
  <c r="M5" i="46"/>
  <c r="M364" i="46"/>
  <c r="M796" i="46" l="1"/>
  <c r="M782" i="46"/>
  <c r="M774" i="46"/>
  <c r="M766" i="46"/>
  <c r="M757" i="46"/>
  <c r="M749" i="46"/>
  <c r="M737" i="46"/>
  <c r="M729" i="46"/>
  <c r="M721" i="46"/>
  <c r="M713" i="46"/>
  <c r="M705" i="46"/>
  <c r="M697" i="46"/>
  <c r="M689" i="46"/>
  <c r="M679" i="46"/>
  <c r="M667" i="46"/>
  <c r="M655" i="46"/>
  <c r="M640" i="46"/>
  <c r="M624" i="46"/>
  <c r="M608" i="46"/>
  <c r="M590" i="46"/>
  <c r="M568" i="46"/>
  <c r="M545" i="46"/>
  <c r="M521" i="46"/>
  <c r="M489" i="46"/>
  <c r="M455" i="46"/>
  <c r="M423" i="46"/>
  <c r="M391" i="46"/>
  <c r="M332" i="46"/>
  <c r="M781" i="46"/>
  <c r="M773" i="46"/>
  <c r="M765" i="46"/>
  <c r="M756" i="46"/>
  <c r="M747" i="46"/>
  <c r="M736" i="46"/>
  <c r="M728" i="46"/>
  <c r="M720" i="46"/>
  <c r="M712" i="46"/>
  <c r="M704" i="46"/>
  <c r="M696" i="46"/>
  <c r="M688" i="46"/>
  <c r="M677" i="46"/>
  <c r="M666" i="46"/>
  <c r="M653" i="46"/>
  <c r="M638" i="46"/>
  <c r="M622" i="46"/>
  <c r="M606" i="46"/>
  <c r="M585" i="46"/>
  <c r="M566" i="46"/>
  <c r="M544" i="46"/>
  <c r="M518" i="46"/>
  <c r="M486" i="46"/>
  <c r="M452" i="46"/>
  <c r="M420" i="46"/>
  <c r="M388" i="46"/>
  <c r="M711" i="46"/>
  <c r="M703" i="46"/>
  <c r="M695" i="46"/>
  <c r="M687" i="46"/>
  <c r="M675" i="46"/>
  <c r="M665" i="46"/>
  <c r="M651" i="46"/>
  <c r="M634" i="46"/>
  <c r="M618" i="46"/>
  <c r="M602" i="46"/>
  <c r="M584" i="46"/>
  <c r="M561" i="46"/>
  <c r="M542" i="46"/>
  <c r="M513" i="46"/>
  <c r="M481" i="46"/>
  <c r="M447" i="46"/>
  <c r="M415" i="46"/>
  <c r="M380" i="46"/>
  <c r="M819" i="46"/>
  <c r="M811" i="46"/>
  <c r="M802" i="46"/>
  <c r="M779" i="46"/>
  <c r="M771" i="46"/>
  <c r="M762" i="46"/>
  <c r="M754" i="46"/>
  <c r="M734" i="46"/>
  <c r="M726" i="46"/>
  <c r="M718" i="46"/>
  <c r="M710" i="46"/>
  <c r="M702" i="46"/>
  <c r="M694" i="46"/>
  <c r="M685" i="46"/>
  <c r="M674" i="46"/>
  <c r="M663" i="46"/>
  <c r="M650" i="46"/>
  <c r="M633" i="46"/>
  <c r="M617" i="46"/>
  <c r="M601" i="46"/>
  <c r="M582" i="46"/>
  <c r="M560" i="46"/>
  <c r="M537" i="46"/>
  <c r="M510" i="46"/>
  <c r="M444" i="46"/>
  <c r="M412" i="46"/>
  <c r="M372" i="46"/>
  <c r="M800" i="46"/>
  <c r="M790" i="46"/>
  <c r="M778" i="46"/>
  <c r="M770" i="46"/>
  <c r="M761" i="46"/>
  <c r="M753" i="46"/>
  <c r="M743" i="46"/>
  <c r="M733" i="46"/>
  <c r="M725" i="46"/>
  <c r="M717" i="46"/>
  <c r="M709" i="46"/>
  <c r="M701" i="46"/>
  <c r="M693" i="46"/>
  <c r="M683" i="46"/>
  <c r="M673" i="46"/>
  <c r="M661" i="46"/>
  <c r="M649" i="46"/>
  <c r="M632" i="46"/>
  <c r="M616" i="46"/>
  <c r="M600" i="46"/>
  <c r="M577" i="46"/>
  <c r="M558" i="46"/>
  <c r="M536" i="46"/>
  <c r="M505" i="46"/>
  <c r="M471" i="46"/>
  <c r="M439" i="46"/>
  <c r="M407" i="46"/>
  <c r="M7" i="46"/>
  <c r="M15" i="46"/>
  <c r="M23" i="46"/>
  <c r="M31" i="46"/>
  <c r="M39" i="46"/>
  <c r="M47" i="46"/>
  <c r="M55" i="46"/>
  <c r="M63" i="46"/>
  <c r="M71" i="46"/>
  <c r="M79" i="46"/>
  <c r="M87" i="46"/>
  <c r="M95" i="46"/>
  <c r="M103" i="46"/>
  <c r="M111" i="46"/>
  <c r="M119" i="46"/>
  <c r="M127" i="46"/>
  <c r="M135" i="46"/>
  <c r="M143" i="46"/>
  <c r="M151" i="46"/>
  <c r="M159" i="46"/>
  <c r="M167" i="46"/>
  <c r="M175" i="46"/>
  <c r="M183" i="46"/>
  <c r="M191" i="46"/>
  <c r="M199" i="46"/>
  <c r="M207" i="46"/>
  <c r="M215" i="46"/>
  <c r="M223" i="46"/>
  <c r="M231" i="46"/>
  <c r="M239" i="46"/>
  <c r="M247" i="46"/>
  <c r="M255" i="46"/>
  <c r="M263" i="46"/>
  <c r="M271" i="46"/>
  <c r="M279" i="46"/>
  <c r="M287" i="46"/>
  <c r="M295" i="46"/>
  <c r="M303" i="46"/>
  <c r="M311" i="46"/>
  <c r="M319" i="46"/>
  <c r="M327" i="46"/>
  <c r="M335" i="46"/>
  <c r="M343" i="46"/>
  <c r="M351" i="46"/>
  <c r="M359" i="46"/>
  <c r="M367" i="46"/>
  <c r="M375" i="46"/>
  <c r="M383" i="46"/>
  <c r="M8" i="46"/>
  <c r="M16" i="46"/>
  <c r="M24" i="46"/>
  <c r="M32" i="46"/>
  <c r="M40" i="46"/>
  <c r="M48" i="46"/>
  <c r="M56" i="46"/>
  <c r="M64" i="46"/>
  <c r="M72" i="46"/>
  <c r="M80" i="46"/>
  <c r="M88" i="46"/>
  <c r="M96" i="46"/>
  <c r="M104" i="46"/>
  <c r="M112" i="46"/>
  <c r="M120" i="46"/>
  <c r="M128" i="46"/>
  <c r="M136" i="46"/>
  <c r="M144" i="46"/>
  <c r="M152" i="46"/>
  <c r="M160" i="46"/>
  <c r="M168" i="46"/>
  <c r="M176" i="46"/>
  <c r="M184" i="46"/>
  <c r="M192" i="46"/>
  <c r="M200" i="46"/>
  <c r="M208" i="46"/>
  <c r="M216" i="46"/>
  <c r="M224" i="46"/>
  <c r="M232" i="46"/>
  <c r="M240" i="46"/>
  <c r="M248" i="46"/>
  <c r="M256" i="46"/>
  <c r="M264" i="46"/>
  <c r="M272" i="46"/>
  <c r="M280" i="46"/>
  <c r="M288" i="46"/>
  <c r="M296" i="46"/>
  <c r="M304" i="46"/>
  <c r="M312" i="46"/>
  <c r="M320" i="46"/>
  <c r="M328" i="46"/>
  <c r="M336" i="46"/>
  <c r="M344" i="46"/>
  <c r="M352" i="46"/>
  <c r="M360" i="46"/>
  <c r="M368" i="46"/>
  <c r="M376" i="46"/>
  <c r="M384" i="46"/>
  <c r="M392" i="46"/>
  <c r="M400" i="46"/>
  <c r="M408" i="46"/>
  <c r="M416" i="46"/>
  <c r="M424" i="46"/>
  <c r="M432" i="46"/>
  <c r="M440" i="46"/>
  <c r="M448" i="46"/>
  <c r="M456" i="46"/>
  <c r="M464" i="46"/>
  <c r="M472" i="46"/>
  <c r="M482" i="46"/>
  <c r="M490" i="46"/>
  <c r="M498" i="46"/>
  <c r="M506" i="46"/>
  <c r="M514" i="46"/>
  <c r="M522" i="46"/>
  <c r="M530" i="46"/>
  <c r="M538" i="46"/>
  <c r="M546" i="46"/>
  <c r="M554" i="46"/>
  <c r="M562" i="46"/>
  <c r="M570" i="46"/>
  <c r="M578" i="46"/>
  <c r="M586" i="46"/>
  <c r="M594" i="46"/>
  <c r="M9" i="46"/>
  <c r="M17" i="46"/>
  <c r="M25" i="46"/>
  <c r="M33" i="46"/>
  <c r="M41" i="46"/>
  <c r="M49" i="46"/>
  <c r="M57" i="46"/>
  <c r="M65" i="46"/>
  <c r="M73" i="46"/>
  <c r="M81" i="46"/>
  <c r="M89" i="46"/>
  <c r="M97" i="46"/>
  <c r="M105" i="46"/>
  <c r="M113" i="46"/>
  <c r="M121" i="46"/>
  <c r="M129" i="46"/>
  <c r="M137" i="46"/>
  <c r="M145" i="46"/>
  <c r="M153" i="46"/>
  <c r="M161" i="46"/>
  <c r="M169" i="46"/>
  <c r="M177" i="46"/>
  <c r="M185" i="46"/>
  <c r="M193" i="46"/>
  <c r="M201" i="46"/>
  <c r="M209" i="46"/>
  <c r="M217" i="46"/>
  <c r="M225" i="46"/>
  <c r="M233" i="46"/>
  <c r="M241" i="46"/>
  <c r="M249" i="46"/>
  <c r="M257" i="46"/>
  <c r="M265" i="46"/>
  <c r="M273" i="46"/>
  <c r="M281" i="46"/>
  <c r="M289" i="46"/>
  <c r="M297" i="46"/>
  <c r="M305" i="46"/>
  <c r="M313" i="46"/>
  <c r="M321" i="46"/>
  <c r="M329" i="46"/>
  <c r="M337" i="46"/>
  <c r="M345" i="46"/>
  <c r="M353" i="46"/>
  <c r="M361" i="46"/>
  <c r="M369" i="46"/>
  <c r="M377" i="46"/>
  <c r="M385" i="46"/>
  <c r="M393" i="46"/>
  <c r="M401" i="46"/>
  <c r="M409" i="46"/>
  <c r="M417" i="46"/>
  <c r="M425" i="46"/>
  <c r="M433" i="46"/>
  <c r="M441" i="46"/>
  <c r="M449" i="46"/>
  <c r="M457" i="46"/>
  <c r="M465" i="46"/>
  <c r="M473" i="46"/>
  <c r="M483" i="46"/>
  <c r="M491" i="46"/>
  <c r="M499" i="46"/>
  <c r="M507" i="46"/>
  <c r="M515" i="46"/>
  <c r="M523" i="46"/>
  <c r="M531" i="46"/>
  <c r="M539" i="46"/>
  <c r="M547" i="46"/>
  <c r="M555" i="46"/>
  <c r="M563" i="46"/>
  <c r="M571" i="46"/>
  <c r="M579" i="46"/>
  <c r="M587" i="46"/>
  <c r="M595" i="46"/>
  <c r="M603" i="46"/>
  <c r="M611" i="46"/>
  <c r="M619" i="46"/>
  <c r="M627" i="46"/>
  <c r="M635" i="46"/>
  <c r="M643" i="46"/>
  <c r="M652" i="46"/>
  <c r="M660" i="46"/>
  <c r="M668" i="46"/>
  <c r="M676" i="46"/>
  <c r="M684" i="46"/>
  <c r="M10" i="46"/>
  <c r="M18" i="46"/>
  <c r="M26" i="46"/>
  <c r="M34" i="46"/>
  <c r="M42" i="46"/>
  <c r="M50" i="46"/>
  <c r="M58" i="46"/>
  <c r="M66" i="46"/>
  <c r="M74" i="46"/>
  <c r="M82" i="46"/>
  <c r="M90" i="46"/>
  <c r="M98" i="46"/>
  <c r="M106" i="46"/>
  <c r="M114" i="46"/>
  <c r="M122" i="46"/>
  <c r="M130" i="46"/>
  <c r="M138" i="46"/>
  <c r="M146" i="46"/>
  <c r="M154" i="46"/>
  <c r="M162" i="46"/>
  <c r="M170" i="46"/>
  <c r="M178" i="46"/>
  <c r="M186" i="46"/>
  <c r="M194" i="46"/>
  <c r="M202" i="46"/>
  <c r="M210" i="46"/>
  <c r="M218" i="46"/>
  <c r="M226" i="46"/>
  <c r="M234" i="46"/>
  <c r="M242" i="46"/>
  <c r="M250" i="46"/>
  <c r="M258" i="46"/>
  <c r="M266" i="46"/>
  <c r="M274" i="46"/>
  <c r="M282" i="46"/>
  <c r="M290" i="46"/>
  <c r="M298" i="46"/>
  <c r="M306" i="46"/>
  <c r="M314" i="46"/>
  <c r="M322" i="46"/>
  <c r="M330" i="46"/>
  <c r="M338" i="46"/>
  <c r="M346" i="46"/>
  <c r="M354" i="46"/>
  <c r="M362" i="46"/>
  <c r="M370" i="46"/>
  <c r="M378" i="46"/>
  <c r="M386" i="46"/>
  <c r="M394" i="46"/>
  <c r="M402" i="46"/>
  <c r="M410" i="46"/>
  <c r="M418" i="46"/>
  <c r="M426" i="46"/>
  <c r="M434" i="46"/>
  <c r="M442" i="46"/>
  <c r="M450" i="46"/>
  <c r="M458" i="46"/>
  <c r="M466" i="46"/>
  <c r="M474" i="46"/>
  <c r="M484" i="46"/>
  <c r="M492" i="46"/>
  <c r="M500" i="46"/>
  <c r="M508" i="46"/>
  <c r="M516" i="46"/>
  <c r="M524" i="46"/>
  <c r="M532" i="46"/>
  <c r="M540" i="46"/>
  <c r="M548" i="46"/>
  <c r="M556" i="46"/>
  <c r="M564" i="46"/>
  <c r="M572" i="46"/>
  <c r="M580" i="46"/>
  <c r="M588" i="46"/>
  <c r="M596" i="46"/>
  <c r="M604" i="46"/>
  <c r="M612" i="46"/>
  <c r="M620" i="46"/>
  <c r="M628" i="46"/>
  <c r="M636" i="46"/>
  <c r="M644" i="46"/>
  <c r="M11" i="46"/>
  <c r="M19" i="46"/>
  <c r="M27" i="46"/>
  <c r="M35" i="46"/>
  <c r="M43" i="46"/>
  <c r="M51" i="46"/>
  <c r="M59" i="46"/>
  <c r="M67" i="46"/>
  <c r="M75" i="46"/>
  <c r="M83" i="46"/>
  <c r="M91" i="46"/>
  <c r="M99" i="46"/>
  <c r="M107" i="46"/>
  <c r="M115" i="46"/>
  <c r="M123" i="46"/>
  <c r="M131" i="46"/>
  <c r="M139" i="46"/>
  <c r="M147" i="46"/>
  <c r="M155" i="46"/>
  <c r="M163" i="46"/>
  <c r="M171" i="46"/>
  <c r="M179" i="46"/>
  <c r="M187" i="46"/>
  <c r="M195" i="46"/>
  <c r="M203" i="46"/>
  <c r="M211" i="46"/>
  <c r="M219" i="46"/>
  <c r="M227" i="46"/>
  <c r="M235" i="46"/>
  <c r="M243" i="46"/>
  <c r="M251" i="46"/>
  <c r="M259" i="46"/>
  <c r="M267" i="46"/>
  <c r="M275" i="46"/>
  <c r="M283" i="46"/>
  <c r="M291" i="46"/>
  <c r="M299" i="46"/>
  <c r="M307" i="46"/>
  <c r="M315" i="46"/>
  <c r="M323" i="46"/>
  <c r="M331" i="46"/>
  <c r="M339" i="46"/>
  <c r="M347" i="46"/>
  <c r="M355" i="46"/>
  <c r="M363" i="46"/>
  <c r="M371" i="46"/>
  <c r="M379" i="46"/>
  <c r="M387" i="46"/>
  <c r="M395" i="46"/>
  <c r="M403" i="46"/>
  <c r="M411" i="46"/>
  <c r="M419" i="46"/>
  <c r="M427" i="46"/>
  <c r="M435" i="46"/>
  <c r="M443" i="46"/>
  <c r="M451" i="46"/>
  <c r="M459" i="46"/>
  <c r="M467" i="46"/>
  <c r="M475" i="46"/>
  <c r="M485" i="46"/>
  <c r="M493" i="46"/>
  <c r="M501" i="46"/>
  <c r="M509" i="46"/>
  <c r="M517" i="46"/>
  <c r="M525" i="46"/>
  <c r="M533" i="46"/>
  <c r="M541" i="46"/>
  <c r="M549" i="46"/>
  <c r="M557" i="46"/>
  <c r="M565" i="46"/>
  <c r="M573" i="46"/>
  <c r="M581" i="46"/>
  <c r="M589" i="46"/>
  <c r="M597" i="46"/>
  <c r="M605" i="46"/>
  <c r="M613" i="46"/>
  <c r="M621" i="46"/>
  <c r="M629" i="46"/>
  <c r="M637" i="46"/>
  <c r="M646" i="46"/>
  <c r="M654" i="46"/>
  <c r="M662" i="46"/>
  <c r="M670" i="46"/>
  <c r="M678" i="46"/>
  <c r="M686" i="46"/>
  <c r="M12" i="46"/>
  <c r="M20" i="46"/>
  <c r="M28" i="46"/>
  <c r="M36" i="46"/>
  <c r="M44" i="46"/>
  <c r="M52" i="46"/>
  <c r="M60" i="46"/>
  <c r="M68" i="46"/>
  <c r="M76" i="46"/>
  <c r="M84" i="46"/>
  <c r="M92" i="46"/>
  <c r="M100" i="46"/>
  <c r="M108" i="46"/>
  <c r="M116" i="46"/>
  <c r="M124" i="46"/>
  <c r="M132" i="46"/>
  <c r="M140" i="46"/>
  <c r="M148" i="46"/>
  <c r="M156" i="46"/>
  <c r="M164" i="46"/>
  <c r="M172" i="46"/>
  <c r="M180" i="46"/>
  <c r="M188" i="46"/>
  <c r="M196" i="46"/>
  <c r="M204" i="46"/>
  <c r="M212" i="46"/>
  <c r="M220" i="46"/>
  <c r="M228" i="46"/>
  <c r="M236" i="46"/>
  <c r="M244" i="46"/>
  <c r="M252" i="46"/>
  <c r="M260" i="46"/>
  <c r="M268" i="46"/>
  <c r="M276" i="46"/>
  <c r="M284" i="46"/>
  <c r="M292" i="46"/>
  <c r="M300" i="46"/>
  <c r="M308" i="46"/>
  <c r="M316" i="46"/>
  <c r="M324" i="46"/>
  <c r="M13" i="46"/>
  <c r="M21" i="46"/>
  <c r="M29" i="46"/>
  <c r="M37" i="46"/>
  <c r="M45" i="46"/>
  <c r="M53" i="46"/>
  <c r="M61" i="46"/>
  <c r="M69" i="46"/>
  <c r="M77" i="46"/>
  <c r="M85" i="46"/>
  <c r="M93" i="46"/>
  <c r="M101" i="46"/>
  <c r="M109" i="46"/>
  <c r="M117" i="46"/>
  <c r="M125" i="46"/>
  <c r="M133" i="46"/>
  <c r="M141" i="46"/>
  <c r="M149" i="46"/>
  <c r="M157" i="46"/>
  <c r="M165" i="46"/>
  <c r="M173" i="46"/>
  <c r="M181" i="46"/>
  <c r="M189" i="46"/>
  <c r="M197" i="46"/>
  <c r="M205" i="46"/>
  <c r="M213" i="46"/>
  <c r="M221" i="46"/>
  <c r="M229" i="46"/>
  <c r="M237" i="46"/>
  <c r="M245" i="46"/>
  <c r="M253" i="46"/>
  <c r="M261" i="46"/>
  <c r="M269" i="46"/>
  <c r="M277" i="46"/>
  <c r="M285" i="46"/>
  <c r="M293" i="46"/>
  <c r="M301" i="46"/>
  <c r="M309" i="46"/>
  <c r="M317" i="46"/>
  <c r="M325" i="46"/>
  <c r="M333" i="46"/>
  <c r="M341" i="46"/>
  <c r="M349" i="46"/>
  <c r="M357" i="46"/>
  <c r="M365" i="46"/>
  <c r="M373" i="46"/>
  <c r="M381" i="46"/>
  <c r="M389" i="46"/>
  <c r="M397" i="46"/>
  <c r="M405" i="46"/>
  <c r="M413" i="46"/>
  <c r="M421" i="46"/>
  <c r="M429" i="46"/>
  <c r="M437" i="46"/>
  <c r="M445" i="46"/>
  <c r="M453" i="46"/>
  <c r="M461" i="46"/>
  <c r="M469" i="46"/>
  <c r="M487" i="46"/>
  <c r="M495" i="46"/>
  <c r="M503" i="46"/>
  <c r="M511" i="46"/>
  <c r="M519" i="46"/>
  <c r="M527" i="46"/>
  <c r="M535" i="46"/>
  <c r="M543" i="46"/>
  <c r="M551" i="46"/>
  <c r="M559" i="46"/>
  <c r="M567" i="46"/>
  <c r="M575" i="46"/>
  <c r="M583" i="46"/>
  <c r="M591" i="46"/>
  <c r="M599" i="46"/>
  <c r="M607" i="46"/>
  <c r="M615" i="46"/>
  <c r="M623" i="46"/>
  <c r="M631" i="46"/>
  <c r="M639" i="46"/>
  <c r="M648" i="46"/>
  <c r="M656" i="46"/>
  <c r="M664" i="46"/>
  <c r="M6" i="46"/>
  <c r="M14" i="46"/>
  <c r="M22" i="46"/>
  <c r="M30" i="46"/>
  <c r="M38" i="46"/>
  <c r="M46" i="46"/>
  <c r="M54" i="46"/>
  <c r="M62" i="46"/>
  <c r="M70" i="46"/>
  <c r="M78" i="46"/>
  <c r="M86" i="46"/>
  <c r="M94" i="46"/>
  <c r="M102" i="46"/>
  <c r="M110" i="46"/>
  <c r="M118" i="46"/>
  <c r="M126" i="46"/>
  <c r="M134" i="46"/>
  <c r="M142" i="46"/>
  <c r="M150" i="46"/>
  <c r="M158" i="46"/>
  <c r="M166" i="46"/>
  <c r="M174" i="46"/>
  <c r="M182" i="46"/>
  <c r="M190" i="46"/>
  <c r="M198" i="46"/>
  <c r="M206" i="46"/>
  <c r="M214" i="46"/>
  <c r="M222" i="46"/>
  <c r="M230" i="46"/>
  <c r="M238" i="46"/>
  <c r="M246" i="46"/>
  <c r="M254" i="46"/>
  <c r="M262" i="46"/>
  <c r="M270" i="46"/>
  <c r="M278" i="46"/>
  <c r="M286" i="46"/>
  <c r="M294" i="46"/>
  <c r="M302" i="46"/>
  <c r="M310" i="46"/>
  <c r="M318" i="46"/>
  <c r="M326" i="46"/>
  <c r="M334" i="46"/>
  <c r="M342" i="46"/>
  <c r="M350" i="46"/>
  <c r="M358" i="46"/>
  <c r="M366" i="46"/>
  <c r="M374" i="46"/>
  <c r="M382" i="46"/>
  <c r="M390" i="46"/>
  <c r="M398" i="46"/>
  <c r="M406" i="46"/>
  <c r="M414" i="46"/>
  <c r="M422" i="46"/>
  <c r="M430" i="46"/>
  <c r="M438" i="46"/>
  <c r="M446" i="46"/>
  <c r="M454" i="46"/>
  <c r="M462" i="46"/>
  <c r="M470" i="46"/>
  <c r="M480" i="46"/>
  <c r="M488" i="46"/>
  <c r="M496" i="46"/>
  <c r="M504" i="46"/>
  <c r="M512" i="46"/>
  <c r="M520" i="46"/>
  <c r="M528" i="46"/>
  <c r="M825" i="46"/>
  <c r="M817" i="46"/>
  <c r="M809" i="46"/>
  <c r="M799" i="46"/>
  <c r="M788" i="46"/>
  <c r="M777" i="46"/>
  <c r="M769" i="46"/>
  <c r="M760" i="46"/>
  <c r="M752" i="46"/>
  <c r="M742" i="46"/>
  <c r="M732" i="46"/>
  <c r="M724" i="46"/>
  <c r="M716" i="46"/>
  <c r="M708" i="46"/>
  <c r="M700" i="46"/>
  <c r="M692" i="46"/>
  <c r="M682" i="46"/>
  <c r="M672" i="46"/>
  <c r="M659" i="46"/>
  <c r="M647" i="46"/>
  <c r="M630" i="46"/>
  <c r="M614" i="46"/>
  <c r="M598" i="46"/>
  <c r="M576" i="46"/>
  <c r="M553" i="46"/>
  <c r="M534" i="46"/>
  <c r="M502" i="46"/>
  <c r="M468" i="46"/>
  <c r="M436" i="46"/>
  <c r="M404" i="46"/>
  <c r="M356" i="46"/>
  <c r="M824" i="46"/>
  <c r="M816" i="46"/>
  <c r="M807" i="46"/>
  <c r="M798" i="46"/>
  <c r="M785" i="46"/>
  <c r="M776" i="46"/>
  <c r="M768" i="46"/>
  <c r="M759" i="46"/>
  <c r="M751" i="46"/>
  <c r="M741" i="46"/>
  <c r="M731" i="46"/>
  <c r="M723" i="46"/>
  <c r="M715" i="46"/>
  <c r="M707" i="46"/>
  <c r="M699" i="46"/>
  <c r="M691" i="46"/>
  <c r="M681" i="46"/>
  <c r="M671" i="46"/>
  <c r="M658" i="46"/>
  <c r="M642" i="46"/>
  <c r="M626" i="46"/>
  <c r="M610" i="46"/>
  <c r="M593" i="46"/>
  <c r="M574" i="46"/>
  <c r="M552" i="46"/>
  <c r="M529" i="46"/>
  <c r="M497" i="46"/>
  <c r="M463" i="46"/>
  <c r="M431" i="46"/>
  <c r="M399" i="46"/>
  <c r="M348" i="46"/>
  <c r="M815" i="46"/>
  <c r="M797" i="46"/>
  <c r="M784" i="46"/>
  <c r="M775" i="46"/>
  <c r="M767" i="46"/>
  <c r="M758" i="46"/>
  <c r="M750" i="46"/>
  <c r="M738" i="46"/>
  <c r="M730" i="46"/>
  <c r="M722" i="46"/>
  <c r="M714" i="46"/>
  <c r="M706" i="46"/>
  <c r="M698" i="46"/>
  <c r="M690" i="46"/>
  <c r="M680" i="46"/>
  <c r="M669" i="46"/>
  <c r="M657" i="46"/>
  <c r="M641" i="46"/>
  <c r="M625" i="46"/>
  <c r="M609" i="46"/>
  <c r="M592" i="46"/>
  <c r="M569" i="46"/>
  <c r="M550" i="46"/>
  <c r="M526" i="46"/>
  <c r="M494" i="46"/>
  <c r="M460" i="46"/>
  <c r="M428" i="46"/>
  <c r="M396" i="46"/>
  <c r="M340" i="46"/>
  <c r="N20" i="66"/>
  <c r="N21" i="66"/>
  <c r="N17" i="66"/>
  <c r="N19" i="66" s="1"/>
  <c r="V8" i="66"/>
  <c r="U13" i="66"/>
  <c r="R17" i="66"/>
  <c r="R19" i="66" s="1"/>
  <c r="D41" i="66"/>
  <c r="D48" i="66" s="1"/>
  <c r="E41" i="66"/>
  <c r="E48" i="66" s="1"/>
  <c r="F46" i="66"/>
  <c r="G46" i="66"/>
  <c r="T16" i="66" l="1"/>
  <c r="T17" i="66" s="1"/>
  <c r="T18" i="66" s="1"/>
  <c r="U17" i="66"/>
  <c r="U18" i="66" s="1"/>
  <c r="V13" i="66"/>
  <c r="G45" i="66"/>
  <c r="F45" i="66"/>
  <c r="V16" i="66" l="1"/>
  <c r="V17" i="66" s="1"/>
  <c r="V18" i="66"/>
  <c r="M696" i="45" l="1"/>
  <c r="M697" i="45" s="1"/>
  <c r="O696" i="45"/>
  <c r="P830" i="46"/>
  <c r="P829" i="46"/>
  <c r="P828" i="46"/>
  <c r="P827" i="46"/>
  <c r="P826" i="46"/>
  <c r="P825" i="46"/>
  <c r="P824" i="46"/>
  <c r="P823" i="46"/>
  <c r="P822" i="46"/>
  <c r="P821" i="46"/>
  <c r="P820" i="46"/>
  <c r="P819" i="46"/>
  <c r="P818" i="46"/>
  <c r="P817" i="46"/>
  <c r="P816" i="46"/>
  <c r="P815" i="46"/>
  <c r="P814" i="46"/>
  <c r="P813" i="46"/>
  <c r="P812" i="46"/>
  <c r="P811" i="46"/>
  <c r="P810" i="46"/>
  <c r="P809" i="46"/>
  <c r="P808" i="46"/>
  <c r="P807" i="46"/>
  <c r="P806" i="46"/>
  <c r="P805" i="46"/>
  <c r="P804" i="46"/>
  <c r="P803" i="46"/>
  <c r="P802" i="46"/>
  <c r="P801" i="46"/>
  <c r="P800" i="46"/>
  <c r="P799" i="46"/>
  <c r="P798" i="46"/>
  <c r="P797" i="46"/>
  <c r="P796" i="46"/>
  <c r="P795" i="46"/>
  <c r="P794" i="46"/>
  <c r="P793" i="46"/>
  <c r="P792" i="46"/>
  <c r="P791" i="46"/>
  <c r="P790" i="46"/>
  <c r="P789" i="46"/>
  <c r="P788" i="46"/>
  <c r="P787" i="46"/>
  <c r="P786" i="46"/>
  <c r="P785" i="46"/>
  <c r="P784" i="46"/>
  <c r="P783" i="46"/>
  <c r="P782" i="46"/>
  <c r="P781" i="46"/>
  <c r="P780" i="46"/>
  <c r="P779" i="46"/>
  <c r="P778" i="46"/>
  <c r="P777" i="46"/>
  <c r="P776" i="46"/>
  <c r="P775" i="46"/>
  <c r="P774" i="46"/>
  <c r="P773" i="46"/>
  <c r="P772" i="46"/>
  <c r="P771" i="46"/>
  <c r="P770" i="46"/>
  <c r="P769" i="46"/>
  <c r="P768" i="46"/>
  <c r="P767" i="46"/>
  <c r="P766" i="46"/>
  <c r="P765" i="46"/>
  <c r="P764" i="46"/>
  <c r="P763" i="46"/>
  <c r="P762" i="46"/>
  <c r="P761" i="46"/>
  <c r="P760" i="46"/>
  <c r="P759" i="46"/>
  <c r="P758" i="46"/>
  <c r="P757" i="46"/>
  <c r="P756" i="46"/>
  <c r="P755" i="46"/>
  <c r="P754" i="46"/>
  <c r="P753" i="46"/>
  <c r="P752" i="46"/>
  <c r="P751" i="46"/>
  <c r="P750" i="46"/>
  <c r="P749" i="46"/>
  <c r="P748" i="46"/>
  <c r="P747" i="46"/>
  <c r="P746" i="46"/>
  <c r="P745" i="46"/>
  <c r="P744" i="46"/>
  <c r="P743" i="46"/>
  <c r="P742" i="46"/>
  <c r="P741" i="46"/>
  <c r="P740" i="46"/>
  <c r="P739" i="46"/>
  <c r="P738" i="46"/>
  <c r="P737" i="46"/>
  <c r="P736" i="46"/>
  <c r="P735" i="46"/>
  <c r="P734" i="46"/>
  <c r="P733" i="46"/>
  <c r="P732" i="46"/>
  <c r="P731" i="46"/>
  <c r="P730" i="46"/>
  <c r="P729" i="46"/>
  <c r="P728" i="46"/>
  <c r="P727" i="46"/>
  <c r="P726" i="46"/>
  <c r="P725" i="46"/>
  <c r="P724" i="46"/>
  <c r="P723" i="46"/>
  <c r="P722" i="46"/>
  <c r="P721" i="46"/>
  <c r="P720" i="46"/>
  <c r="P719" i="46"/>
  <c r="P718" i="46"/>
  <c r="P717" i="46"/>
  <c r="P716" i="46"/>
  <c r="P715" i="46"/>
  <c r="P714" i="46"/>
  <c r="P713" i="46"/>
  <c r="P712" i="46"/>
  <c r="P711" i="46"/>
  <c r="P710" i="46"/>
  <c r="P709" i="46"/>
  <c r="P708" i="46"/>
  <c r="P707" i="46"/>
  <c r="P706" i="46"/>
  <c r="P705" i="46"/>
  <c r="P704" i="46"/>
  <c r="P703" i="46"/>
  <c r="P702" i="46"/>
  <c r="P701" i="46"/>
  <c r="P700" i="46"/>
  <c r="P699" i="46"/>
  <c r="P698" i="46"/>
  <c r="P697" i="46"/>
  <c r="P696" i="46"/>
  <c r="P695" i="46"/>
  <c r="P694" i="46"/>
  <c r="P693" i="46"/>
  <c r="P692" i="46"/>
  <c r="P691" i="46"/>
  <c r="P690" i="46"/>
  <c r="P689" i="46"/>
  <c r="P688" i="46"/>
  <c r="P687" i="46"/>
  <c r="P686" i="46"/>
  <c r="P685" i="46"/>
  <c r="P684" i="46"/>
  <c r="P683" i="46"/>
  <c r="P682" i="46"/>
  <c r="P681" i="46"/>
  <c r="P680" i="46"/>
  <c r="P679" i="46"/>
  <c r="P678" i="46"/>
  <c r="P677" i="46"/>
  <c r="P676" i="46"/>
  <c r="P675" i="46"/>
  <c r="P674" i="46"/>
  <c r="P673" i="46"/>
  <c r="P672" i="46"/>
  <c r="P671" i="46"/>
  <c r="P670" i="46"/>
  <c r="P669" i="46"/>
  <c r="P668" i="46"/>
  <c r="P667" i="46"/>
  <c r="P666" i="46"/>
  <c r="P665" i="46"/>
  <c r="P664" i="46"/>
  <c r="P663" i="46"/>
  <c r="P662" i="46"/>
  <c r="P661" i="46"/>
  <c r="P660" i="46"/>
  <c r="P659" i="46"/>
  <c r="P658" i="46"/>
  <c r="P657" i="46"/>
  <c r="P656" i="46"/>
  <c r="P655" i="46"/>
  <c r="P654" i="46"/>
  <c r="P653" i="46"/>
  <c r="P652" i="46"/>
  <c r="P651" i="46"/>
  <c r="P650" i="46"/>
  <c r="P649" i="46"/>
  <c r="P648" i="46"/>
  <c r="P647" i="46"/>
  <c r="P646" i="46"/>
  <c r="P645" i="46"/>
  <c r="P644" i="46"/>
  <c r="P643" i="46"/>
  <c r="P642" i="46"/>
  <c r="P641" i="46"/>
  <c r="P640" i="46"/>
  <c r="P639" i="46"/>
  <c r="P638" i="46"/>
  <c r="P637" i="46"/>
  <c r="P636" i="46"/>
  <c r="P635" i="46"/>
  <c r="P634" i="46"/>
  <c r="P633" i="46"/>
  <c r="P632" i="46"/>
  <c r="P631" i="46"/>
  <c r="P630" i="46"/>
  <c r="P629" i="46"/>
  <c r="P628" i="46"/>
  <c r="P627" i="46"/>
  <c r="P626" i="46"/>
  <c r="P625" i="46"/>
  <c r="P624" i="46"/>
  <c r="P623" i="46"/>
  <c r="P622" i="46"/>
  <c r="P621" i="46"/>
  <c r="P620" i="46"/>
  <c r="P619" i="46"/>
  <c r="P618" i="46"/>
  <c r="P617" i="46"/>
  <c r="P616" i="46"/>
  <c r="P615" i="46"/>
  <c r="P614" i="46"/>
  <c r="P613" i="46"/>
  <c r="P612" i="46"/>
  <c r="P611" i="46"/>
  <c r="P610" i="46"/>
  <c r="P609" i="46"/>
  <c r="P608" i="46"/>
  <c r="P607" i="46"/>
  <c r="P606" i="46"/>
  <c r="P605" i="46"/>
  <c r="P604" i="46"/>
  <c r="P603" i="46"/>
  <c r="P602" i="46"/>
  <c r="P601" i="46"/>
  <c r="P600" i="46"/>
  <c r="P599" i="46"/>
  <c r="P598" i="46"/>
  <c r="P597" i="46"/>
  <c r="P596" i="46"/>
  <c r="P595" i="46"/>
  <c r="P594" i="46"/>
  <c r="P593" i="46"/>
  <c r="P592" i="46"/>
  <c r="P591" i="46"/>
  <c r="P590" i="46"/>
  <c r="P589" i="46"/>
  <c r="P588" i="46"/>
  <c r="P587" i="46"/>
  <c r="P586" i="46"/>
  <c r="P585" i="46"/>
  <c r="P584" i="46"/>
  <c r="P583" i="46"/>
  <c r="P582" i="46"/>
  <c r="P581" i="46"/>
  <c r="P580" i="46"/>
  <c r="P579" i="46"/>
  <c r="P578" i="46"/>
  <c r="P577" i="46"/>
  <c r="P576" i="46"/>
  <c r="P575" i="46"/>
  <c r="P574" i="46"/>
  <c r="P573" i="46"/>
  <c r="P572" i="46"/>
  <c r="P571" i="46"/>
  <c r="P570" i="46"/>
  <c r="P569" i="46"/>
  <c r="P568" i="46"/>
  <c r="P567" i="46"/>
  <c r="P566" i="46"/>
  <c r="P563" i="46"/>
  <c r="O765" i="45" s="1"/>
  <c r="P562" i="46"/>
  <c r="O764" i="45" s="1"/>
  <c r="P561" i="46"/>
  <c r="O763" i="45" s="1"/>
  <c r="P560" i="46"/>
  <c r="O762" i="45" s="1"/>
  <c r="P559" i="46"/>
  <c r="O761" i="45" s="1"/>
  <c r="P558" i="46"/>
  <c r="O760" i="45" s="1"/>
  <c r="P557" i="46"/>
  <c r="O759" i="45" s="1"/>
  <c r="P556" i="46"/>
  <c r="O758" i="45" s="1"/>
  <c r="P555" i="46"/>
  <c r="P554" i="46"/>
  <c r="P553" i="46"/>
  <c r="P552" i="46"/>
  <c r="P551" i="46"/>
  <c r="P550" i="46"/>
  <c r="P549" i="46"/>
  <c r="P548" i="46"/>
  <c r="P547" i="46"/>
  <c r="P546" i="46"/>
  <c r="P545" i="46"/>
  <c r="P544" i="46"/>
  <c r="P543" i="46"/>
  <c r="P542" i="46"/>
  <c r="P541" i="46"/>
  <c r="P540" i="46"/>
  <c r="P539" i="46"/>
  <c r="P538" i="46"/>
  <c r="P537" i="46"/>
  <c r="P536" i="46"/>
  <c r="P535" i="46"/>
  <c r="P534" i="46"/>
  <c r="P532" i="46"/>
  <c r="O729" i="45" s="1"/>
  <c r="P531" i="46"/>
  <c r="O728" i="45" s="1"/>
  <c r="P530" i="46"/>
  <c r="O727" i="45" s="1"/>
  <c r="P529" i="46"/>
  <c r="O726" i="45" s="1"/>
  <c r="P528" i="46"/>
  <c r="P527" i="46"/>
  <c r="P526" i="46"/>
  <c r="P525" i="46"/>
  <c r="P524" i="46"/>
  <c r="P523" i="46"/>
  <c r="P522" i="46"/>
  <c r="P521" i="46"/>
  <c r="P520" i="46"/>
  <c r="P519" i="46"/>
  <c r="P518" i="46"/>
  <c r="P517" i="46"/>
  <c r="P516" i="46"/>
  <c r="P515" i="46"/>
  <c r="P511" i="46"/>
  <c r="P501" i="46"/>
  <c r="P500" i="46"/>
  <c r="P499" i="46"/>
  <c r="P498" i="46"/>
  <c r="P497" i="46"/>
  <c r="P493" i="46"/>
  <c r="P492" i="46"/>
  <c r="P491" i="46"/>
  <c r="P490" i="46"/>
  <c r="P489" i="46"/>
  <c r="P488" i="46"/>
  <c r="P487" i="46"/>
  <c r="P486" i="46"/>
  <c r="P485" i="46"/>
  <c r="P484" i="46"/>
  <c r="P483" i="46"/>
  <c r="P482" i="46"/>
  <c r="P481" i="46"/>
  <c r="P480" i="46"/>
  <c r="P479" i="46"/>
  <c r="P478" i="46"/>
  <c r="P477" i="46"/>
  <c r="P476" i="46"/>
  <c r="P475" i="46"/>
  <c r="P474" i="46"/>
  <c r="P473" i="46"/>
  <c r="P472" i="46"/>
  <c r="P471" i="46"/>
  <c r="P470" i="46"/>
  <c r="P469" i="46"/>
  <c r="P468" i="46"/>
  <c r="P467" i="46"/>
  <c r="P466" i="46"/>
  <c r="P465" i="46"/>
  <c r="P464" i="46"/>
  <c r="P463" i="46"/>
  <c r="P462" i="46"/>
  <c r="P461" i="46"/>
  <c r="P460" i="46"/>
  <c r="P459" i="46"/>
  <c r="P458" i="46"/>
  <c r="P457" i="46"/>
  <c r="P456" i="46"/>
  <c r="P455" i="46"/>
  <c r="P454" i="46"/>
  <c r="P453" i="46"/>
  <c r="P452" i="46"/>
  <c r="P451" i="46"/>
  <c r="P450" i="46"/>
  <c r="P449" i="46"/>
  <c r="P448" i="46"/>
  <c r="P447" i="46"/>
  <c r="P446" i="46"/>
  <c r="P445" i="46"/>
  <c r="P444" i="46"/>
  <c r="P443" i="46"/>
  <c r="P442" i="46"/>
  <c r="P441" i="46"/>
  <c r="P440" i="46"/>
  <c r="P439" i="46"/>
  <c r="P438" i="46"/>
  <c r="P437" i="46"/>
  <c r="P436" i="46"/>
  <c r="P435" i="46"/>
  <c r="P434" i="46"/>
  <c r="P433" i="46"/>
  <c r="P432" i="46"/>
  <c r="P431" i="46"/>
  <c r="P430" i="46"/>
  <c r="P429" i="46"/>
  <c r="P428" i="46"/>
  <c r="P427" i="46"/>
  <c r="P426" i="46"/>
  <c r="P425" i="46"/>
  <c r="P424" i="46"/>
  <c r="P423" i="46"/>
  <c r="P422" i="46"/>
  <c r="P421" i="46"/>
  <c r="P420" i="46"/>
  <c r="P419" i="46"/>
  <c r="P418" i="46"/>
  <c r="P417" i="46"/>
  <c r="P416" i="46"/>
  <c r="P415" i="46"/>
  <c r="P414" i="46"/>
  <c r="P413" i="46"/>
  <c r="P412" i="46"/>
  <c r="P411" i="46"/>
  <c r="P410" i="46"/>
  <c r="P409" i="46"/>
  <c r="P408" i="46"/>
  <c r="P407" i="46"/>
  <c r="P406" i="46"/>
  <c r="P405" i="46"/>
  <c r="P404" i="46"/>
  <c r="P403" i="46"/>
  <c r="P402" i="46"/>
  <c r="P401" i="46"/>
  <c r="P400" i="46"/>
  <c r="P399" i="46"/>
  <c r="P398" i="46"/>
  <c r="P397" i="46"/>
  <c r="P396" i="46"/>
  <c r="P395" i="46"/>
  <c r="P394" i="46"/>
  <c r="P393" i="46"/>
  <c r="P392" i="46"/>
  <c r="P391" i="46"/>
  <c r="P390" i="46"/>
  <c r="P389" i="46"/>
  <c r="P388" i="46"/>
  <c r="P387" i="46"/>
  <c r="P386" i="46"/>
  <c r="P385" i="46"/>
  <c r="P384" i="46"/>
  <c r="P383" i="46"/>
  <c r="P382" i="46"/>
  <c r="P381" i="46"/>
  <c r="P380" i="46"/>
  <c r="P379" i="46"/>
  <c r="P378" i="46"/>
  <c r="P377" i="46"/>
  <c r="P376" i="46"/>
  <c r="P375" i="46"/>
  <c r="P374" i="46"/>
  <c r="P373" i="46"/>
  <c r="P372" i="46"/>
  <c r="P371" i="46"/>
  <c r="P370" i="46"/>
  <c r="P369" i="46"/>
  <c r="P367" i="46"/>
  <c r="P366" i="46"/>
  <c r="P365" i="46"/>
  <c r="P364" i="46"/>
  <c r="P363" i="46"/>
  <c r="P362" i="46"/>
  <c r="P361" i="46"/>
  <c r="P360" i="46"/>
  <c r="P359" i="46"/>
  <c r="P358" i="46"/>
  <c r="P357" i="46"/>
  <c r="P356" i="46"/>
  <c r="P355" i="46"/>
  <c r="P354" i="46"/>
  <c r="P353" i="46"/>
  <c r="P352" i="46"/>
  <c r="P351" i="46"/>
  <c r="P350" i="46"/>
  <c r="P349" i="46"/>
  <c r="P348" i="46"/>
  <c r="P347" i="46"/>
  <c r="P346" i="46"/>
  <c r="P345" i="46"/>
  <c r="P344" i="46"/>
  <c r="P343" i="46"/>
  <c r="P342" i="46"/>
  <c r="P341" i="46"/>
  <c r="P340" i="46"/>
  <c r="P339" i="46"/>
  <c r="P338" i="46"/>
  <c r="P337" i="46"/>
  <c r="P336" i="46"/>
  <c r="P335" i="46"/>
  <c r="P334" i="46"/>
  <c r="P333" i="46"/>
  <c r="P332" i="46"/>
  <c r="P331" i="46"/>
  <c r="P330" i="46"/>
  <c r="P329" i="46"/>
  <c r="P328" i="46"/>
  <c r="P327" i="46"/>
  <c r="P326" i="46"/>
  <c r="P325" i="46"/>
  <c r="P324" i="46"/>
  <c r="P323" i="46"/>
  <c r="P322" i="46"/>
  <c r="P321" i="46"/>
  <c r="P320" i="46"/>
  <c r="P319" i="46"/>
  <c r="P318" i="46"/>
  <c r="P317" i="46"/>
  <c r="P316" i="46"/>
  <c r="P315" i="46"/>
  <c r="P314" i="46"/>
  <c r="P313" i="46"/>
  <c r="P312" i="46"/>
  <c r="P311" i="46"/>
  <c r="P310" i="46"/>
  <c r="P309" i="46"/>
  <c r="P308" i="46"/>
  <c r="P307" i="46"/>
  <c r="P306" i="46"/>
  <c r="P305" i="46"/>
  <c r="P304" i="46"/>
  <c r="P303" i="46"/>
  <c r="P302" i="46"/>
  <c r="P301" i="46"/>
  <c r="P300" i="46"/>
  <c r="P299" i="46"/>
  <c r="P298" i="46"/>
  <c r="P297" i="46"/>
  <c r="P296" i="46"/>
  <c r="P295" i="46"/>
  <c r="P294" i="46"/>
  <c r="P293" i="46"/>
  <c r="P292" i="46"/>
  <c r="P291" i="46"/>
  <c r="P290" i="46"/>
  <c r="P289" i="46"/>
  <c r="P288" i="46"/>
  <c r="P287" i="46"/>
  <c r="P286" i="46"/>
  <c r="P285" i="46"/>
  <c r="P284" i="46"/>
  <c r="P283" i="46"/>
  <c r="P282" i="46"/>
  <c r="P281" i="46"/>
  <c r="P280" i="46"/>
  <c r="P279" i="46"/>
  <c r="P278" i="46"/>
  <c r="P277" i="46"/>
  <c r="P276" i="46"/>
  <c r="P275" i="46"/>
  <c r="P274" i="46"/>
  <c r="P273" i="46"/>
  <c r="P272" i="46"/>
  <c r="P271" i="46"/>
  <c r="P270" i="46"/>
  <c r="P269" i="46"/>
  <c r="P268" i="46"/>
  <c r="P267" i="46"/>
  <c r="P266" i="46"/>
  <c r="P265" i="46"/>
  <c r="P264" i="46"/>
  <c r="P263" i="46"/>
  <c r="P262" i="46"/>
  <c r="P261" i="46"/>
  <c r="P260" i="46"/>
  <c r="P259" i="46"/>
  <c r="P258" i="46"/>
  <c r="P257" i="46"/>
  <c r="P256" i="46"/>
  <c r="P255" i="46"/>
  <c r="P254" i="46"/>
  <c r="P253" i="46"/>
  <c r="P252" i="46"/>
  <c r="P251" i="46"/>
  <c r="P250" i="46"/>
  <c r="P249" i="46"/>
  <c r="P248" i="46"/>
  <c r="P247" i="46"/>
  <c r="P246" i="46"/>
  <c r="P245" i="46"/>
  <c r="P244" i="46"/>
  <c r="P243" i="46"/>
  <c r="P242" i="46"/>
  <c r="P241" i="46"/>
  <c r="P240" i="46"/>
  <c r="P239" i="46"/>
  <c r="P238" i="46"/>
  <c r="P237" i="46"/>
  <c r="P236" i="46"/>
  <c r="P235" i="46"/>
  <c r="P234" i="46"/>
  <c r="P233" i="46"/>
  <c r="P232" i="46"/>
  <c r="P231" i="46"/>
  <c r="P230" i="46"/>
  <c r="P229" i="46"/>
  <c r="P228" i="46"/>
  <c r="P227" i="46"/>
  <c r="P226" i="46"/>
  <c r="P225" i="46"/>
  <c r="P224" i="46"/>
  <c r="P223" i="46"/>
  <c r="P222" i="46"/>
  <c r="P221" i="46"/>
  <c r="P220" i="46"/>
  <c r="P219" i="46"/>
  <c r="P218" i="46"/>
  <c r="P217" i="46"/>
  <c r="P216" i="46"/>
  <c r="P215" i="46"/>
  <c r="P214" i="46"/>
  <c r="P213" i="46"/>
  <c r="P212" i="46"/>
  <c r="P211" i="46"/>
  <c r="P210" i="46"/>
  <c r="P209" i="46"/>
  <c r="P208" i="46"/>
  <c r="P207" i="46"/>
  <c r="P206" i="46"/>
  <c r="P205" i="46"/>
  <c r="P204" i="46"/>
  <c r="P203" i="46"/>
  <c r="P202" i="46"/>
  <c r="P201" i="46"/>
  <c r="P200" i="46"/>
  <c r="P199" i="46"/>
  <c r="P198" i="46"/>
  <c r="P197" i="46"/>
  <c r="P196" i="46"/>
  <c r="P195" i="46"/>
  <c r="P194" i="46"/>
  <c r="P193" i="46"/>
  <c r="P192" i="46"/>
  <c r="P191" i="46"/>
  <c r="P190" i="46"/>
  <c r="P189" i="46"/>
  <c r="P188" i="46"/>
  <c r="P187" i="46"/>
  <c r="P186" i="46"/>
  <c r="P185" i="46"/>
  <c r="P184" i="46"/>
  <c r="P183" i="46"/>
  <c r="P182" i="46"/>
  <c r="P181" i="46"/>
  <c r="P180" i="46"/>
  <c r="P179" i="46"/>
  <c r="P178" i="46"/>
  <c r="P177" i="46"/>
  <c r="P176" i="46"/>
  <c r="P175" i="46"/>
  <c r="P174" i="46"/>
  <c r="P173" i="46"/>
  <c r="P172" i="46"/>
  <c r="P171" i="46"/>
  <c r="P170" i="46"/>
  <c r="P169" i="46"/>
  <c r="P168" i="46"/>
  <c r="P167" i="46"/>
  <c r="P166" i="46"/>
  <c r="P165" i="46"/>
  <c r="P164" i="46"/>
  <c r="P163" i="46"/>
  <c r="P162" i="46"/>
  <c r="P161" i="46"/>
  <c r="P160" i="46"/>
  <c r="P159" i="46"/>
  <c r="P158" i="46"/>
  <c r="P157" i="46"/>
  <c r="P156" i="46"/>
  <c r="P155" i="46"/>
  <c r="P154" i="46"/>
  <c r="P153" i="46"/>
  <c r="P152" i="46"/>
  <c r="P151" i="46"/>
  <c r="P150" i="46"/>
  <c r="P149" i="46"/>
  <c r="P148" i="46"/>
  <c r="P147" i="46"/>
  <c r="P146" i="46"/>
  <c r="P145" i="46"/>
  <c r="P144" i="46"/>
  <c r="P143" i="46"/>
  <c r="P142" i="46"/>
  <c r="P141" i="46"/>
  <c r="P140" i="46"/>
  <c r="P139" i="46"/>
  <c r="P138" i="46"/>
  <c r="P137" i="46"/>
  <c r="P136" i="46"/>
  <c r="P135" i="46"/>
  <c r="P134" i="46"/>
  <c r="P133" i="46"/>
  <c r="P132" i="46"/>
  <c r="P131" i="46"/>
  <c r="P130" i="46"/>
  <c r="P129" i="46"/>
  <c r="P128" i="46"/>
  <c r="P127" i="46"/>
  <c r="P126" i="46"/>
  <c r="P125" i="46"/>
  <c r="P124" i="46"/>
  <c r="P123" i="46"/>
  <c r="P122" i="46"/>
  <c r="P121" i="46"/>
  <c r="P120" i="46"/>
  <c r="P119" i="46"/>
  <c r="P118" i="46"/>
  <c r="P117" i="46"/>
  <c r="P116" i="46"/>
  <c r="P115" i="46"/>
  <c r="P114" i="46"/>
  <c r="P113" i="46"/>
  <c r="P112" i="46"/>
  <c r="P111" i="46"/>
  <c r="P110" i="46"/>
  <c r="P109" i="46"/>
  <c r="P108" i="46"/>
  <c r="P107" i="46"/>
  <c r="P106" i="46"/>
  <c r="P105" i="46"/>
  <c r="P104" i="46"/>
  <c r="P103" i="46"/>
  <c r="P102" i="46"/>
  <c r="P101" i="46"/>
  <c r="P100" i="46"/>
  <c r="P99" i="46"/>
  <c r="P98" i="46"/>
  <c r="P97" i="46"/>
  <c r="P96" i="46"/>
  <c r="P95" i="46"/>
  <c r="P94" i="46"/>
  <c r="P93" i="46"/>
  <c r="P92" i="46"/>
  <c r="P91" i="46"/>
  <c r="P90" i="46"/>
  <c r="P89" i="46"/>
  <c r="P88" i="46"/>
  <c r="P87" i="46"/>
  <c r="P86" i="46"/>
  <c r="P85" i="46"/>
  <c r="P84" i="46"/>
  <c r="P83" i="46"/>
  <c r="P82" i="46"/>
  <c r="P81" i="46"/>
  <c r="P80" i="46"/>
  <c r="P79" i="46"/>
  <c r="P78" i="46"/>
  <c r="P77" i="46"/>
  <c r="P76" i="46"/>
  <c r="P75" i="46"/>
  <c r="P74" i="46"/>
  <c r="P73" i="46"/>
  <c r="P72" i="46"/>
  <c r="P71" i="46"/>
  <c r="P70" i="46"/>
  <c r="P69" i="46"/>
  <c r="P68" i="46"/>
  <c r="P67" i="46"/>
  <c r="P66" i="46"/>
  <c r="P65" i="46"/>
  <c r="P64" i="46"/>
  <c r="P63" i="46"/>
  <c r="P62" i="46"/>
  <c r="P61" i="46"/>
  <c r="P60" i="46"/>
  <c r="P59" i="46"/>
  <c r="P58" i="46"/>
  <c r="P57" i="46"/>
  <c r="P56" i="46"/>
  <c r="P55" i="46"/>
  <c r="P54" i="46"/>
  <c r="P53" i="46"/>
  <c r="P52" i="46"/>
  <c r="P51" i="46"/>
  <c r="P50" i="46"/>
  <c r="P49" i="46"/>
  <c r="P48" i="46"/>
  <c r="P47" i="46"/>
  <c r="P46" i="46"/>
  <c r="P45" i="46"/>
  <c r="P44" i="46"/>
  <c r="P43" i="46"/>
  <c r="P42" i="46"/>
  <c r="P41" i="46"/>
  <c r="P40" i="46"/>
  <c r="P39" i="46"/>
  <c r="P38" i="46"/>
  <c r="P37" i="46"/>
  <c r="P36" i="46"/>
  <c r="P35" i="46"/>
  <c r="P34" i="46"/>
  <c r="P33" i="46"/>
  <c r="P32" i="46"/>
  <c r="P31" i="46"/>
  <c r="P30" i="46"/>
  <c r="P29" i="46"/>
  <c r="P28" i="46"/>
  <c r="P27" i="46"/>
  <c r="P26" i="46"/>
  <c r="P25" i="46"/>
  <c r="P24" i="46"/>
  <c r="P23" i="46"/>
  <c r="P22" i="46"/>
  <c r="P20" i="46"/>
  <c r="P19" i="46"/>
  <c r="P18" i="46"/>
  <c r="P17" i="46"/>
  <c r="P16" i="46"/>
  <c r="P15" i="46"/>
  <c r="P14" i="46"/>
  <c r="P13" i="46"/>
  <c r="P12" i="46"/>
  <c r="P11" i="46"/>
  <c r="P10" i="46"/>
  <c r="P9" i="46"/>
  <c r="P8" i="46"/>
  <c r="P7" i="46"/>
  <c r="P6" i="46"/>
  <c r="P5" i="46"/>
  <c r="P505" i="46"/>
  <c r="O701" i="45" s="1"/>
  <c r="P496" i="46"/>
  <c r="O690" i="45" s="1"/>
  <c r="P495" i="46"/>
  <c r="O689" i="45" s="1"/>
  <c r="P502" i="46"/>
  <c r="O698" i="45" s="1"/>
  <c r="P503" i="46"/>
  <c r="O699" i="45" s="1"/>
  <c r="P506" i="46"/>
  <c r="O702" i="45" s="1"/>
  <c r="P507" i="46"/>
  <c r="O703" i="45" s="1"/>
  <c r="P512" i="46"/>
  <c r="O708" i="45" s="1"/>
  <c r="P513" i="46"/>
  <c r="O709" i="45" s="1"/>
  <c r="P504" i="46"/>
  <c r="O700" i="45" s="1"/>
  <c r="P533" i="46"/>
  <c r="O730" i="45" s="1"/>
  <c r="P508" i="46"/>
  <c r="O704" i="45" s="1"/>
  <c r="P509" i="46"/>
  <c r="O705" i="45" s="1"/>
  <c r="P510" i="46"/>
  <c r="O706" i="45" s="1"/>
  <c r="P494" i="46"/>
  <c r="O688" i="45" s="1"/>
  <c r="A3" i="46"/>
  <c r="A1" i="46"/>
  <c r="A3" i="45"/>
  <c r="A1" i="45"/>
  <c r="F8" i="9" l="1"/>
  <c r="G8" i="9"/>
  <c r="H8" i="9"/>
  <c r="F9" i="9"/>
  <c r="G9" i="9"/>
  <c r="H9" i="9"/>
  <c r="F11" i="9"/>
  <c r="G11" i="9"/>
  <c r="H11" i="9"/>
  <c r="F12" i="9"/>
  <c r="G12" i="9"/>
  <c r="H12" i="9"/>
  <c r="F13" i="9"/>
  <c r="G13" i="9"/>
  <c r="H13" i="9"/>
  <c r="F14" i="9"/>
  <c r="G14" i="9"/>
  <c r="H14" i="9"/>
  <c r="F16" i="9"/>
  <c r="G16" i="9"/>
  <c r="H16" i="9"/>
  <c r="F17" i="9"/>
  <c r="G17" i="9"/>
  <c r="H17" i="9"/>
  <c r="F18" i="9"/>
  <c r="G18" i="9"/>
  <c r="H18" i="9"/>
  <c r="F19" i="9"/>
  <c r="G19" i="9"/>
  <c r="H19" i="9"/>
  <c r="F20" i="9"/>
  <c r="G20" i="9"/>
  <c r="H20" i="9"/>
  <c r="F21" i="9"/>
  <c r="G21" i="9"/>
  <c r="H21" i="9"/>
  <c r="F22" i="9"/>
  <c r="G22" i="9"/>
  <c r="H22" i="9"/>
  <c r="F23" i="9"/>
  <c r="G23" i="9"/>
  <c r="H23" i="9"/>
  <c r="F24" i="9"/>
  <c r="G24" i="9"/>
  <c r="H24" i="9"/>
  <c r="F26" i="9"/>
  <c r="G26" i="9"/>
  <c r="H26" i="9"/>
  <c r="F27" i="9"/>
  <c r="G27" i="9"/>
  <c r="H27" i="9"/>
  <c r="F28" i="9"/>
  <c r="G28" i="9"/>
  <c r="H28" i="9"/>
  <c r="F29" i="9"/>
  <c r="G29" i="9"/>
  <c r="H29" i="9"/>
  <c r="F30" i="9"/>
  <c r="G30" i="9"/>
  <c r="H30" i="9"/>
  <c r="F31" i="9"/>
  <c r="G31" i="9"/>
  <c r="H31" i="9"/>
  <c r="F32" i="9"/>
  <c r="G32" i="9"/>
  <c r="H32" i="9"/>
  <c r="F33" i="9"/>
  <c r="G33" i="9"/>
  <c r="H33" i="9"/>
  <c r="F34" i="9"/>
  <c r="G34" i="9"/>
  <c r="H34" i="9"/>
  <c r="F36" i="9"/>
  <c r="G36" i="9"/>
  <c r="H36" i="9"/>
  <c r="F37" i="9"/>
  <c r="G37" i="9"/>
  <c r="H37" i="9"/>
  <c r="F38" i="9"/>
  <c r="G38" i="9"/>
  <c r="H38" i="9"/>
  <c r="F39" i="9"/>
  <c r="G39" i="9"/>
  <c r="H39" i="9"/>
  <c r="F40" i="9"/>
  <c r="G40" i="9"/>
  <c r="H40" i="9"/>
  <c r="F41" i="9"/>
  <c r="G41" i="9"/>
  <c r="H41" i="9"/>
  <c r="F42" i="9"/>
  <c r="G42" i="9"/>
  <c r="H42" i="9"/>
  <c r="F43" i="9"/>
  <c r="G43" i="9"/>
  <c r="H43" i="9"/>
  <c r="F44" i="9"/>
  <c r="G44" i="9"/>
  <c r="H44" i="9"/>
  <c r="F45" i="9"/>
  <c r="G45" i="9"/>
  <c r="H45" i="9"/>
  <c r="F46" i="9"/>
  <c r="G46" i="9"/>
  <c r="H46" i="9"/>
  <c r="F49" i="9"/>
  <c r="G49" i="9"/>
  <c r="H49" i="9"/>
  <c r="F50" i="9"/>
  <c r="G50" i="9"/>
  <c r="H50" i="9"/>
  <c r="F51" i="9"/>
  <c r="G51" i="9"/>
  <c r="H51" i="9"/>
  <c r="F52" i="9"/>
  <c r="G52" i="9"/>
  <c r="H52" i="9"/>
  <c r="F53" i="9"/>
  <c r="G53" i="9"/>
  <c r="H53" i="9"/>
  <c r="F54" i="9"/>
  <c r="G54" i="9"/>
  <c r="H54" i="9"/>
  <c r="F57" i="9"/>
  <c r="G57" i="9"/>
  <c r="H57" i="9"/>
  <c r="F58" i="9"/>
  <c r="G58" i="9"/>
  <c r="H58" i="9"/>
  <c r="F59" i="9"/>
  <c r="G59" i="9"/>
  <c r="H59" i="9"/>
  <c r="F60" i="9"/>
  <c r="G60" i="9"/>
  <c r="H60" i="9"/>
  <c r="F61" i="9"/>
  <c r="G61" i="9"/>
  <c r="H61" i="9"/>
  <c r="F63" i="9"/>
  <c r="G63" i="9"/>
  <c r="H63" i="9"/>
  <c r="F64" i="9"/>
  <c r="G64" i="9"/>
  <c r="H64" i="9"/>
  <c r="F65" i="9"/>
  <c r="G65" i="9"/>
  <c r="H65" i="9"/>
  <c r="F67" i="9"/>
  <c r="G67" i="9"/>
  <c r="H67" i="9"/>
  <c r="F69" i="9"/>
  <c r="G69" i="9"/>
  <c r="H69" i="9"/>
  <c r="F70" i="9"/>
  <c r="G70" i="9"/>
  <c r="H70" i="9"/>
  <c r="F71" i="9"/>
  <c r="G71" i="9"/>
  <c r="H71" i="9"/>
  <c r="F72" i="9"/>
  <c r="G72" i="9"/>
  <c r="H72" i="9"/>
  <c r="F73" i="9"/>
  <c r="G73" i="9"/>
  <c r="H73" i="9"/>
  <c r="F74" i="9"/>
  <c r="G74" i="9"/>
  <c r="H74" i="9"/>
  <c r="F75" i="9"/>
  <c r="G75" i="9"/>
  <c r="H75" i="9"/>
  <c r="F76" i="9"/>
  <c r="G76" i="9"/>
  <c r="H76" i="9"/>
  <c r="F77" i="9"/>
  <c r="G77" i="9"/>
  <c r="H77" i="9"/>
  <c r="F78" i="9"/>
  <c r="G78" i="9"/>
  <c r="H78" i="9"/>
  <c r="G79" i="9"/>
  <c r="H79" i="9"/>
  <c r="F80" i="9"/>
  <c r="G80" i="9"/>
  <c r="H80" i="9"/>
  <c r="F81" i="9"/>
  <c r="G81" i="9"/>
  <c r="H81" i="9"/>
  <c r="F82" i="9"/>
  <c r="G82" i="9"/>
  <c r="H82" i="9"/>
  <c r="F83" i="9"/>
  <c r="G83" i="9"/>
  <c r="H83" i="9"/>
  <c r="F84" i="9"/>
  <c r="G84" i="9"/>
  <c r="H84" i="9"/>
  <c r="F85" i="9"/>
  <c r="G85" i="9"/>
  <c r="H85" i="9"/>
  <c r="F86" i="9"/>
  <c r="G86" i="9"/>
  <c r="H86" i="9"/>
  <c r="F87" i="9"/>
  <c r="G87" i="9"/>
  <c r="H87" i="9"/>
  <c r="F88" i="9"/>
  <c r="G88" i="9"/>
  <c r="H88" i="9"/>
  <c r="F89" i="9"/>
  <c r="G89" i="9"/>
  <c r="H89" i="9"/>
  <c r="F90" i="9"/>
  <c r="G90" i="9"/>
  <c r="H90" i="9"/>
  <c r="F94" i="9"/>
  <c r="G94" i="9"/>
  <c r="H94" i="9"/>
  <c r="F95" i="9"/>
  <c r="G95" i="9"/>
  <c r="H95" i="9"/>
  <c r="F96" i="9"/>
  <c r="G96" i="9"/>
  <c r="H96" i="9"/>
  <c r="F97" i="9"/>
  <c r="G97" i="9"/>
  <c r="H97" i="9"/>
  <c r="F98" i="9"/>
  <c r="G98" i="9"/>
  <c r="H98" i="9"/>
  <c r="F100" i="9"/>
  <c r="G100" i="9"/>
  <c r="H100" i="9"/>
  <c r="F103" i="9"/>
  <c r="G103" i="9"/>
  <c r="H103" i="9"/>
  <c r="F105" i="9"/>
  <c r="G105" i="9"/>
  <c r="H105" i="9"/>
  <c r="F106" i="9"/>
  <c r="G106" i="9"/>
  <c r="H106" i="9"/>
  <c r="F107" i="9"/>
  <c r="G107" i="9"/>
  <c r="H107" i="9"/>
  <c r="F108" i="9"/>
  <c r="G108" i="9"/>
  <c r="H108" i="9"/>
  <c r="F110" i="9"/>
  <c r="G110" i="9"/>
  <c r="H110" i="9"/>
  <c r="F111" i="9"/>
  <c r="G111" i="9"/>
  <c r="H111" i="9"/>
  <c r="F112" i="9"/>
  <c r="G112" i="9"/>
  <c r="H112" i="9"/>
  <c r="F113" i="9"/>
  <c r="G113" i="9"/>
  <c r="H113" i="9"/>
  <c r="F114" i="9"/>
  <c r="G114" i="9"/>
  <c r="H114" i="9"/>
  <c r="F115" i="9"/>
  <c r="G115" i="9"/>
  <c r="H115" i="9"/>
  <c r="F117" i="9"/>
  <c r="G117" i="9"/>
  <c r="H117" i="9"/>
  <c r="F119" i="9"/>
  <c r="G119" i="9"/>
  <c r="H119" i="9"/>
  <c r="F120" i="9"/>
  <c r="G120" i="9"/>
  <c r="H120" i="9"/>
  <c r="F121" i="9"/>
  <c r="G121" i="9"/>
  <c r="H121" i="9"/>
  <c r="F123" i="9"/>
  <c r="G123" i="9"/>
  <c r="H123" i="9"/>
  <c r="F124" i="9"/>
  <c r="G124" i="9"/>
  <c r="H124" i="9"/>
  <c r="F125" i="9"/>
  <c r="G125" i="9"/>
  <c r="H125" i="9"/>
  <c r="F128" i="9"/>
  <c r="G128" i="9"/>
  <c r="H128" i="9"/>
  <c r="F129" i="9"/>
  <c r="G129" i="9"/>
  <c r="H129" i="9"/>
  <c r="F130" i="9"/>
  <c r="G130" i="9"/>
  <c r="H130" i="9"/>
  <c r="F132" i="9"/>
  <c r="G132" i="9"/>
  <c r="H132" i="9"/>
  <c r="F133" i="9"/>
  <c r="G133" i="9"/>
  <c r="H133" i="9"/>
  <c r="F140" i="9"/>
  <c r="G140" i="9"/>
  <c r="H140" i="9"/>
  <c r="F141" i="9"/>
  <c r="G141" i="9"/>
  <c r="H141" i="9"/>
  <c r="F142" i="9"/>
  <c r="G142" i="9"/>
  <c r="H142" i="9"/>
  <c r="F143" i="9"/>
  <c r="G143" i="9"/>
  <c r="H143" i="9"/>
  <c r="F144" i="9"/>
  <c r="G144" i="9"/>
  <c r="H144" i="9"/>
  <c r="F145" i="9"/>
  <c r="G145" i="9"/>
  <c r="H145" i="9"/>
  <c r="F147" i="9"/>
  <c r="G147" i="9"/>
  <c r="H147" i="9"/>
  <c r="F148" i="9"/>
  <c r="G148" i="9"/>
  <c r="H148" i="9"/>
  <c r="F150" i="9"/>
  <c r="G150" i="9"/>
  <c r="H150" i="9"/>
  <c r="F151" i="9"/>
  <c r="G151" i="9"/>
  <c r="H151" i="9"/>
  <c r="F152" i="9"/>
  <c r="G152" i="9"/>
  <c r="H152" i="9"/>
  <c r="F153" i="9"/>
  <c r="G153" i="9"/>
  <c r="H153" i="9"/>
  <c r="F154" i="9"/>
  <c r="G154" i="9"/>
  <c r="H154" i="9"/>
  <c r="F155" i="9"/>
  <c r="G155" i="9"/>
  <c r="H155" i="9"/>
  <c r="F156" i="9"/>
  <c r="G156" i="9"/>
  <c r="H156" i="9"/>
  <c r="F195" i="9"/>
  <c r="G195" i="9"/>
  <c r="H195" i="9"/>
  <c r="F196" i="9"/>
  <c r="G196" i="9"/>
  <c r="H196" i="9"/>
  <c r="F197" i="9"/>
  <c r="G197" i="9"/>
  <c r="H197" i="9"/>
  <c r="F198" i="9"/>
  <c r="G198" i="9"/>
  <c r="H198" i="9"/>
  <c r="F199" i="9"/>
  <c r="G199" i="9"/>
  <c r="H199" i="9"/>
  <c r="F200" i="9"/>
  <c r="G200" i="9"/>
  <c r="H200" i="9"/>
  <c r="F201" i="9"/>
  <c r="G201" i="9"/>
  <c r="H201" i="9"/>
  <c r="F202" i="9"/>
  <c r="G202" i="9"/>
  <c r="H202" i="9"/>
  <c r="F203" i="9"/>
  <c r="G203" i="9"/>
  <c r="H203" i="9"/>
  <c r="F204" i="9"/>
  <c r="G204" i="9"/>
  <c r="H204" i="9"/>
  <c r="F205" i="9"/>
  <c r="G205" i="9"/>
  <c r="H205" i="9"/>
  <c r="F206" i="9"/>
  <c r="G206" i="9"/>
  <c r="H206" i="9"/>
  <c r="F207" i="9"/>
  <c r="G207" i="9"/>
  <c r="H207" i="9"/>
  <c r="F208" i="9"/>
  <c r="G208" i="9"/>
  <c r="H208" i="9"/>
  <c r="F210" i="9"/>
  <c r="G210" i="9"/>
  <c r="H210" i="9"/>
  <c r="F211" i="9"/>
  <c r="G211" i="9"/>
  <c r="H211" i="9"/>
  <c r="F212" i="9"/>
  <c r="G212" i="9"/>
  <c r="H212" i="9"/>
  <c r="F213" i="9"/>
  <c r="G213" i="9"/>
  <c r="H213" i="9"/>
  <c r="F214" i="9"/>
  <c r="G214" i="9"/>
  <c r="H214" i="9"/>
  <c r="F215" i="9"/>
  <c r="G215" i="9"/>
  <c r="H215" i="9"/>
  <c r="F216" i="9"/>
  <c r="G216" i="9"/>
  <c r="H216" i="9"/>
  <c r="F219" i="9"/>
  <c r="G219" i="9"/>
  <c r="H219" i="9"/>
  <c r="F220" i="9"/>
  <c r="G220" i="9"/>
  <c r="H220" i="9"/>
  <c r="F221" i="9"/>
  <c r="G221" i="9"/>
  <c r="H221" i="9"/>
  <c r="F222" i="9"/>
  <c r="G222" i="9"/>
  <c r="H222" i="9"/>
  <c r="F223" i="9"/>
  <c r="G223" i="9"/>
  <c r="H223" i="9"/>
  <c r="F224" i="9"/>
  <c r="G224" i="9"/>
  <c r="H224" i="9"/>
  <c r="F225" i="9"/>
  <c r="G225" i="9"/>
  <c r="H225" i="9"/>
  <c r="F226" i="9"/>
  <c r="G226" i="9"/>
  <c r="H226" i="9"/>
  <c r="F227" i="9"/>
  <c r="G227" i="9"/>
  <c r="H227" i="9"/>
  <c r="F228" i="9"/>
  <c r="G228" i="9"/>
  <c r="H228" i="9"/>
  <c r="F232" i="9"/>
  <c r="G232" i="9"/>
  <c r="H232" i="9"/>
  <c r="F233" i="9"/>
  <c r="G233" i="9"/>
  <c r="H233" i="9"/>
  <c r="F234" i="9"/>
  <c r="G234" i="9"/>
  <c r="H234" i="9"/>
  <c r="F236" i="9"/>
  <c r="G236" i="9"/>
  <c r="H236" i="9"/>
  <c r="F237" i="9"/>
  <c r="G237" i="9"/>
  <c r="H237" i="9"/>
  <c r="F238" i="9"/>
  <c r="G238" i="9"/>
  <c r="H238" i="9"/>
  <c r="F239" i="9"/>
  <c r="G239" i="9"/>
  <c r="H239" i="9"/>
  <c r="F240" i="9"/>
  <c r="G240" i="9"/>
  <c r="H240" i="9"/>
  <c r="F241" i="9"/>
  <c r="G241" i="9"/>
  <c r="H241" i="9"/>
  <c r="F242" i="9"/>
  <c r="G242" i="9"/>
  <c r="H242" i="9"/>
  <c r="F243" i="9"/>
  <c r="G243" i="9"/>
  <c r="H243" i="9"/>
  <c r="F244" i="9"/>
  <c r="G244" i="9"/>
  <c r="H244" i="9"/>
  <c r="F245" i="9"/>
  <c r="G245" i="9"/>
  <c r="H245" i="9"/>
  <c r="F246" i="9"/>
  <c r="G246" i="9"/>
  <c r="H246" i="9"/>
  <c r="F247" i="9"/>
  <c r="G247" i="9"/>
  <c r="H247" i="9"/>
  <c r="F248" i="9"/>
  <c r="G248" i="9"/>
  <c r="H248" i="9"/>
  <c r="F249" i="9"/>
  <c r="G249" i="9"/>
  <c r="H249" i="9"/>
  <c r="F250" i="9"/>
  <c r="G250" i="9"/>
  <c r="H250" i="9"/>
  <c r="F251" i="9"/>
  <c r="G251" i="9"/>
  <c r="H251" i="9"/>
  <c r="F252" i="9"/>
  <c r="G252" i="9"/>
  <c r="H252" i="9"/>
  <c r="F253" i="9"/>
  <c r="G253" i="9"/>
  <c r="H253" i="9"/>
  <c r="F254" i="9"/>
  <c r="G254" i="9"/>
  <c r="H254" i="9"/>
  <c r="F255" i="9"/>
  <c r="G255" i="9"/>
  <c r="H255" i="9"/>
  <c r="F256" i="9"/>
  <c r="G256" i="9"/>
  <c r="H256" i="9"/>
  <c r="F257" i="9"/>
  <c r="G257" i="9"/>
  <c r="H257" i="9"/>
  <c r="F258" i="9"/>
  <c r="G258" i="9"/>
  <c r="H258" i="9"/>
  <c r="F259" i="9"/>
  <c r="G259" i="9"/>
  <c r="H259" i="9"/>
  <c r="F260" i="9"/>
  <c r="G260" i="9"/>
  <c r="H260" i="9"/>
  <c r="F261" i="9"/>
  <c r="G261" i="9"/>
  <c r="H261" i="9"/>
  <c r="F262" i="9"/>
  <c r="G262" i="9"/>
  <c r="H262" i="9"/>
  <c r="F263" i="9"/>
  <c r="G263" i="9"/>
  <c r="H263" i="9"/>
  <c r="F264" i="9"/>
  <c r="G264" i="9"/>
  <c r="H264" i="9"/>
  <c r="F265" i="9"/>
  <c r="G265" i="9"/>
  <c r="H265" i="9"/>
  <c r="F266" i="9"/>
  <c r="G266" i="9"/>
  <c r="H266" i="9"/>
  <c r="F267" i="9"/>
  <c r="G267" i="9"/>
  <c r="H267" i="9"/>
  <c r="F268" i="9"/>
  <c r="G268" i="9"/>
  <c r="H268" i="9"/>
  <c r="F269" i="9"/>
  <c r="G269" i="9"/>
  <c r="H269" i="9"/>
  <c r="F270" i="9"/>
  <c r="G270" i="9"/>
  <c r="H270" i="9"/>
  <c r="F271" i="9"/>
  <c r="G271" i="9"/>
  <c r="H271" i="9"/>
  <c r="F272" i="9"/>
  <c r="G272" i="9"/>
  <c r="H272" i="9"/>
  <c r="F273" i="9"/>
  <c r="G273" i="9"/>
  <c r="H273" i="9"/>
  <c r="F274" i="9"/>
  <c r="G274" i="9"/>
  <c r="H274" i="9"/>
  <c r="F275" i="9"/>
  <c r="G275" i="9"/>
  <c r="H275" i="9"/>
  <c r="F276" i="9"/>
  <c r="G276" i="9"/>
  <c r="H276" i="9"/>
  <c r="F277" i="9"/>
  <c r="G277" i="9"/>
  <c r="H277" i="9"/>
  <c r="F278" i="9"/>
  <c r="G278" i="9"/>
  <c r="H278" i="9"/>
  <c r="F279" i="9"/>
  <c r="G279" i="9"/>
  <c r="H279" i="9"/>
  <c r="F280" i="9"/>
  <c r="G280" i="9"/>
  <c r="H280" i="9"/>
  <c r="F281" i="9"/>
  <c r="G281" i="9"/>
  <c r="H281" i="9"/>
  <c r="F282" i="9"/>
  <c r="G282" i="9"/>
  <c r="H282" i="9"/>
  <c r="F283" i="9"/>
  <c r="G283" i="9"/>
  <c r="H283" i="9"/>
  <c r="F284" i="9"/>
  <c r="G284" i="9"/>
  <c r="H284" i="9"/>
  <c r="F285" i="9"/>
  <c r="G285" i="9"/>
  <c r="H285" i="9"/>
  <c r="F286" i="9"/>
  <c r="G286" i="9"/>
  <c r="H286" i="9"/>
  <c r="F287" i="9"/>
  <c r="G287" i="9"/>
  <c r="H287" i="9"/>
  <c r="F288" i="9"/>
  <c r="G288" i="9"/>
  <c r="H288" i="9"/>
  <c r="F289" i="9"/>
  <c r="G289" i="9"/>
  <c r="H289" i="9"/>
  <c r="F290" i="9"/>
  <c r="G290" i="9"/>
  <c r="H290" i="9"/>
  <c r="F291" i="9"/>
  <c r="G291" i="9"/>
  <c r="H291" i="9"/>
  <c r="F292" i="9"/>
  <c r="G292" i="9"/>
  <c r="H292" i="9"/>
  <c r="F293" i="9"/>
  <c r="G293" i="9"/>
  <c r="H293" i="9"/>
  <c r="F294" i="9"/>
  <c r="G294" i="9"/>
  <c r="H294" i="9"/>
  <c r="F295" i="9"/>
  <c r="G295" i="9"/>
  <c r="H295" i="9"/>
  <c r="F296" i="9"/>
  <c r="G296" i="9"/>
  <c r="H296" i="9"/>
  <c r="F297" i="9"/>
  <c r="G297" i="9"/>
  <c r="H297" i="9"/>
  <c r="F298" i="9"/>
  <c r="G298" i="9"/>
  <c r="H298" i="9"/>
  <c r="F299" i="9"/>
  <c r="G299" i="9"/>
  <c r="H299" i="9"/>
  <c r="F300" i="9"/>
  <c r="G300" i="9"/>
  <c r="H300" i="9"/>
  <c r="F301" i="9"/>
  <c r="G301" i="9"/>
  <c r="H301" i="9"/>
  <c r="F302" i="9"/>
  <c r="G302" i="9"/>
  <c r="H302" i="9"/>
  <c r="F303" i="9"/>
  <c r="G303" i="9"/>
  <c r="H303" i="9"/>
  <c r="F304" i="9"/>
  <c r="G304" i="9"/>
  <c r="H304" i="9"/>
  <c r="F305" i="9"/>
  <c r="G305" i="9"/>
  <c r="H305" i="9"/>
  <c r="F306" i="9"/>
  <c r="G306" i="9"/>
  <c r="H306" i="9"/>
  <c r="F307" i="9"/>
  <c r="G307" i="9"/>
  <c r="H307" i="9"/>
  <c r="F308" i="9"/>
  <c r="G308" i="9"/>
  <c r="H308" i="9"/>
  <c r="F309" i="9"/>
  <c r="G309" i="9"/>
  <c r="H309" i="9"/>
  <c r="F310" i="9"/>
  <c r="G310" i="9"/>
  <c r="H310" i="9"/>
  <c r="F311" i="9"/>
  <c r="G311" i="9"/>
  <c r="H311" i="9"/>
  <c r="F312" i="9"/>
  <c r="G312" i="9"/>
  <c r="H312" i="9"/>
  <c r="F313" i="9"/>
  <c r="G313" i="9"/>
  <c r="H313" i="9"/>
  <c r="F314" i="9"/>
  <c r="G314" i="9"/>
  <c r="H314" i="9"/>
  <c r="F315" i="9"/>
  <c r="G315" i="9"/>
  <c r="H315" i="9"/>
  <c r="F316" i="9"/>
  <c r="G316" i="9"/>
  <c r="H316" i="9"/>
  <c r="F317" i="9"/>
  <c r="G317" i="9"/>
  <c r="H317" i="9"/>
  <c r="F318" i="9"/>
  <c r="G318" i="9"/>
  <c r="H318" i="9"/>
  <c r="F319" i="9"/>
  <c r="G319" i="9"/>
  <c r="H319" i="9"/>
  <c r="F320" i="9"/>
  <c r="G320" i="9"/>
  <c r="H320" i="9"/>
  <c r="F321" i="9"/>
  <c r="G321" i="9"/>
  <c r="H321" i="9"/>
  <c r="F322" i="9"/>
  <c r="G322" i="9"/>
  <c r="H322" i="9"/>
  <c r="F323" i="9"/>
  <c r="G323" i="9"/>
  <c r="H323" i="9"/>
  <c r="F324" i="9"/>
  <c r="G324" i="9"/>
  <c r="H324" i="9"/>
  <c r="F325" i="9"/>
  <c r="G325" i="9"/>
  <c r="H325" i="9"/>
  <c r="F326" i="9"/>
  <c r="G326" i="9"/>
  <c r="H326" i="9"/>
  <c r="F327" i="9"/>
  <c r="G327" i="9"/>
  <c r="H327" i="9"/>
  <c r="F328" i="9"/>
  <c r="G328" i="9"/>
  <c r="H328" i="9"/>
  <c r="F329" i="9"/>
  <c r="G329" i="9"/>
  <c r="H329" i="9"/>
  <c r="F330" i="9"/>
  <c r="G330" i="9"/>
  <c r="H330" i="9"/>
  <c r="F331" i="9"/>
  <c r="G331" i="9"/>
  <c r="H331" i="9"/>
  <c r="F332" i="9"/>
  <c r="G332" i="9"/>
  <c r="H332" i="9"/>
  <c r="F333" i="9"/>
  <c r="G333" i="9"/>
  <c r="H333" i="9"/>
  <c r="F334" i="9"/>
  <c r="G334" i="9"/>
  <c r="H334" i="9"/>
  <c r="F335" i="9"/>
  <c r="G335" i="9"/>
  <c r="H335" i="9"/>
  <c r="F336" i="9"/>
  <c r="G336" i="9"/>
  <c r="H336" i="9"/>
  <c r="F337" i="9"/>
  <c r="G337" i="9"/>
  <c r="H337" i="9"/>
  <c r="F338" i="9"/>
  <c r="G338" i="9"/>
  <c r="H338" i="9"/>
  <c r="F339" i="9"/>
  <c r="G339" i="9"/>
  <c r="H339" i="9"/>
  <c r="F340" i="9"/>
  <c r="G340" i="9"/>
  <c r="H340" i="9"/>
  <c r="F341" i="9"/>
  <c r="G341" i="9"/>
  <c r="H341" i="9"/>
  <c r="F342" i="9"/>
  <c r="G342" i="9"/>
  <c r="H342" i="9"/>
  <c r="F343" i="9"/>
  <c r="G343" i="9"/>
  <c r="H343" i="9"/>
  <c r="F344" i="9"/>
  <c r="G344" i="9"/>
  <c r="H344" i="9"/>
  <c r="F345" i="9"/>
  <c r="G345" i="9"/>
  <c r="H345" i="9"/>
  <c r="F346" i="9"/>
  <c r="G346" i="9"/>
  <c r="H346" i="9"/>
  <c r="H7" i="9"/>
  <c r="G7" i="9"/>
  <c r="F7" i="9"/>
  <c r="K642" i="46"/>
  <c r="K643" i="46"/>
  <c r="A8" i="9"/>
  <c r="A9" i="9"/>
  <c r="A11" i="9"/>
  <c r="A12" i="9"/>
  <c r="A13" i="9"/>
  <c r="A14" i="9"/>
  <c r="A16" i="9"/>
  <c r="A17" i="9"/>
  <c r="A18" i="9"/>
  <c r="A19" i="9"/>
  <c r="A20" i="9"/>
  <c r="A21" i="9"/>
  <c r="A22" i="9"/>
  <c r="A23" i="9"/>
  <c r="A24" i="9"/>
  <c r="A26" i="9"/>
  <c r="A27" i="9"/>
  <c r="A28" i="9"/>
  <c r="A29" i="9"/>
  <c r="A30" i="9"/>
  <c r="A31" i="9"/>
  <c r="A32" i="9"/>
  <c r="A33" i="9"/>
  <c r="A34" i="9"/>
  <c r="A36" i="9"/>
  <c r="A37" i="9"/>
  <c r="A38" i="9"/>
  <c r="A39" i="9"/>
  <c r="A40" i="9"/>
  <c r="A41" i="9"/>
  <c r="A42" i="9"/>
  <c r="A43" i="9"/>
  <c r="A44" i="9"/>
  <c r="A45" i="9"/>
  <c r="A46" i="9"/>
  <c r="A49" i="9"/>
  <c r="A50" i="9"/>
  <c r="A51" i="9"/>
  <c r="A52" i="9"/>
  <c r="A53" i="9"/>
  <c r="A54" i="9"/>
  <c r="A57" i="9"/>
  <c r="A58" i="9"/>
  <c r="A59" i="9"/>
  <c r="A60" i="9"/>
  <c r="A61" i="9"/>
  <c r="A63" i="9"/>
  <c r="A64" i="9"/>
  <c r="A65" i="9"/>
  <c r="A67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4" i="9"/>
  <c r="A95" i="9"/>
  <c r="A96" i="9"/>
  <c r="A97" i="9"/>
  <c r="A98" i="9"/>
  <c r="A100" i="9"/>
  <c r="A103" i="9"/>
  <c r="A105" i="9"/>
  <c r="A106" i="9"/>
  <c r="A107" i="9"/>
  <c r="A108" i="9"/>
  <c r="A110" i="9"/>
  <c r="A111" i="9"/>
  <c r="A112" i="9"/>
  <c r="A113" i="9"/>
  <c r="A114" i="9"/>
  <c r="A115" i="9"/>
  <c r="A117" i="9"/>
  <c r="A119" i="9"/>
  <c r="A120" i="9"/>
  <c r="A121" i="9"/>
  <c r="A123" i="9"/>
  <c r="A124" i="9"/>
  <c r="A125" i="9"/>
  <c r="A128" i="9"/>
  <c r="A129" i="9"/>
  <c r="A130" i="9"/>
  <c r="A132" i="9"/>
  <c r="A133" i="9"/>
  <c r="A140" i="9"/>
  <c r="A141" i="9"/>
  <c r="A142" i="9"/>
  <c r="A143" i="9"/>
  <c r="A144" i="9"/>
  <c r="A145" i="9"/>
  <c r="A147" i="9"/>
  <c r="A148" i="9"/>
  <c r="A150" i="9"/>
  <c r="A151" i="9"/>
  <c r="A152" i="9"/>
  <c r="A153" i="9"/>
  <c r="A154" i="9"/>
  <c r="A155" i="9"/>
  <c r="A156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10" i="9"/>
  <c r="A211" i="9"/>
  <c r="A212" i="9"/>
  <c r="A213" i="9"/>
  <c r="A214" i="9"/>
  <c r="A215" i="9"/>
  <c r="A216" i="9"/>
  <c r="A219" i="9"/>
  <c r="A220" i="9"/>
  <c r="A221" i="9"/>
  <c r="A222" i="9"/>
  <c r="A223" i="9"/>
  <c r="A224" i="9"/>
  <c r="A225" i="9"/>
  <c r="A226" i="9"/>
  <c r="A227" i="9"/>
  <c r="A228" i="9"/>
  <c r="A232" i="9"/>
  <c r="A233" i="9"/>
  <c r="A234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7" i="9"/>
  <c r="U3" i="9" l="1"/>
  <c r="O830" i="46" l="1"/>
  <c r="O829" i="46"/>
  <c r="O828" i="46"/>
  <c r="O827" i="46"/>
  <c r="O826" i="46"/>
  <c r="O825" i="46"/>
  <c r="O824" i="46"/>
  <c r="O823" i="46"/>
  <c r="O822" i="46"/>
  <c r="O821" i="46"/>
  <c r="O820" i="46"/>
  <c r="O819" i="46"/>
  <c r="O818" i="46"/>
  <c r="O817" i="46"/>
  <c r="O816" i="46"/>
  <c r="O815" i="46"/>
  <c r="O814" i="46"/>
  <c r="O813" i="46"/>
  <c r="O812" i="46"/>
  <c r="O811" i="46"/>
  <c r="O810" i="46"/>
  <c r="O809" i="46"/>
  <c r="O808" i="46"/>
  <c r="O807" i="46"/>
  <c r="O806" i="46"/>
  <c r="O805" i="46"/>
  <c r="O804" i="46"/>
  <c r="O803" i="46"/>
  <c r="O802" i="46"/>
  <c r="O801" i="46"/>
  <c r="O800" i="46"/>
  <c r="O799" i="46"/>
  <c r="O798" i="46"/>
  <c r="O797" i="46"/>
  <c r="O796" i="46"/>
  <c r="O795" i="46"/>
  <c r="O794" i="46"/>
  <c r="O793" i="46"/>
  <c r="O792" i="46"/>
  <c r="O791" i="46"/>
  <c r="O790" i="46"/>
  <c r="O789" i="46"/>
  <c r="O788" i="46"/>
  <c r="O787" i="46"/>
  <c r="O786" i="46"/>
  <c r="O785" i="46"/>
  <c r="O784" i="46"/>
  <c r="O783" i="46"/>
  <c r="O782" i="46"/>
  <c r="O781" i="46"/>
  <c r="O780" i="46"/>
  <c r="O779" i="46"/>
  <c r="O778" i="46"/>
  <c r="O777" i="46"/>
  <c r="O776" i="46"/>
  <c r="O775" i="46"/>
  <c r="O774" i="46"/>
  <c r="O773" i="46"/>
  <c r="O772" i="46"/>
  <c r="O771" i="46"/>
  <c r="O770" i="46"/>
  <c r="O769" i="46"/>
  <c r="O768" i="46"/>
  <c r="O767" i="46"/>
  <c r="O766" i="46"/>
  <c r="O765" i="46"/>
  <c r="O764" i="46"/>
  <c r="O763" i="46"/>
  <c r="O762" i="46"/>
  <c r="O761" i="46"/>
  <c r="O760" i="46"/>
  <c r="O759" i="46"/>
  <c r="O758" i="46"/>
  <c r="O757" i="46"/>
  <c r="O756" i="46"/>
  <c r="O755" i="46"/>
  <c r="O754" i="46"/>
  <c r="O753" i="46"/>
  <c r="O752" i="46"/>
  <c r="O751" i="46"/>
  <c r="O750" i="46"/>
  <c r="O749" i="46"/>
  <c r="O748" i="46"/>
  <c r="O747" i="46"/>
  <c r="O746" i="46"/>
  <c r="O745" i="46"/>
  <c r="O744" i="46"/>
  <c r="O743" i="46"/>
  <c r="O742" i="46"/>
  <c r="O741" i="46"/>
  <c r="O740" i="46"/>
  <c r="O739" i="46"/>
  <c r="O738" i="46"/>
  <c r="O737" i="46"/>
  <c r="O736" i="46"/>
  <c r="O735" i="46"/>
  <c r="O734" i="46"/>
  <c r="O733" i="46"/>
  <c r="O732" i="46"/>
  <c r="O731" i="46"/>
  <c r="O730" i="46"/>
  <c r="O729" i="46"/>
  <c r="O728" i="46"/>
  <c r="O727" i="46"/>
  <c r="O726" i="46"/>
  <c r="O725" i="46"/>
  <c r="O724" i="46"/>
  <c r="O723" i="46"/>
  <c r="O722" i="46"/>
  <c r="O720" i="46"/>
  <c r="O719" i="46"/>
  <c r="O717" i="46"/>
  <c r="O716" i="46"/>
  <c r="O715" i="46"/>
  <c r="O714" i="46"/>
  <c r="O713" i="46"/>
  <c r="O712" i="46"/>
  <c r="O711" i="46"/>
  <c r="O710" i="46"/>
  <c r="O709" i="46"/>
  <c r="O708" i="46"/>
  <c r="O707" i="46"/>
  <c r="O706" i="46"/>
  <c r="O705" i="46"/>
  <c r="O704" i="46"/>
  <c r="O703" i="46"/>
  <c r="O702" i="46"/>
  <c r="O701" i="46"/>
  <c r="O700" i="46"/>
  <c r="O699" i="46"/>
  <c r="O698" i="46"/>
  <c r="O697" i="46"/>
  <c r="O696" i="46"/>
  <c r="O695" i="46"/>
  <c r="O694" i="46"/>
  <c r="O693" i="46"/>
  <c r="O692" i="46"/>
  <c r="O691" i="46"/>
  <c r="O690" i="46"/>
  <c r="O689" i="46"/>
  <c r="O688" i="46"/>
  <c r="O687" i="46"/>
  <c r="O686" i="46"/>
  <c r="O685" i="46"/>
  <c r="O684" i="46"/>
  <c r="O683" i="46"/>
  <c r="O682" i="46"/>
  <c r="O681" i="46"/>
  <c r="O680" i="46"/>
  <c r="O679" i="46"/>
  <c r="O678" i="46"/>
  <c r="O677" i="46"/>
  <c r="O676" i="46"/>
  <c r="O675" i="46"/>
  <c r="O674" i="46"/>
  <c r="O673" i="46"/>
  <c r="O672" i="46"/>
  <c r="O671" i="46"/>
  <c r="O670" i="46"/>
  <c r="O669" i="46"/>
  <c r="O668" i="46"/>
  <c r="O667" i="46"/>
  <c r="O666" i="46"/>
  <c r="O665" i="46"/>
  <c r="O664" i="46"/>
  <c r="O663" i="46"/>
  <c r="O662" i="46"/>
  <c r="O661" i="46"/>
  <c r="O660" i="46"/>
  <c r="O659" i="46"/>
  <c r="O658" i="46"/>
  <c r="O657" i="46"/>
  <c r="O656" i="46"/>
  <c r="O655" i="46"/>
  <c r="O654" i="46"/>
  <c r="O653" i="46"/>
  <c r="O652" i="46"/>
  <c r="O651" i="46"/>
  <c r="O650" i="46"/>
  <c r="O649" i="46"/>
  <c r="O648" i="46"/>
  <c r="O647" i="46"/>
  <c r="O646" i="46"/>
  <c r="O645" i="46"/>
  <c r="O644" i="46"/>
  <c r="O643" i="46"/>
  <c r="O642" i="46"/>
  <c r="O641" i="46"/>
  <c r="O640" i="46"/>
  <c r="O639" i="46"/>
  <c r="O638" i="46"/>
  <c r="O637" i="46"/>
  <c r="O636" i="46"/>
  <c r="O635" i="46"/>
  <c r="O634" i="46"/>
  <c r="O633" i="46"/>
  <c r="O632" i="46"/>
  <c r="O631" i="46"/>
  <c r="O630" i="46"/>
  <c r="O629" i="46"/>
  <c r="O628" i="46"/>
  <c r="O627" i="46"/>
  <c r="O626" i="46"/>
  <c r="O625" i="46"/>
  <c r="O624" i="46"/>
  <c r="O623" i="46"/>
  <c r="O622" i="46"/>
  <c r="O621" i="46"/>
  <c r="O620" i="46"/>
  <c r="O619" i="46"/>
  <c r="O618" i="46"/>
  <c r="O617" i="46"/>
  <c r="O616" i="46"/>
  <c r="O615" i="46"/>
  <c r="O614" i="46"/>
  <c r="O613" i="46"/>
  <c r="O612" i="46"/>
  <c r="O611" i="46"/>
  <c r="O610" i="46"/>
  <c r="O609" i="46"/>
  <c r="O608" i="46"/>
  <c r="O607" i="46"/>
  <c r="O606" i="46"/>
  <c r="O605" i="46"/>
  <c r="O604" i="46"/>
  <c r="O603" i="46"/>
  <c r="O602" i="46"/>
  <c r="O601" i="46"/>
  <c r="O600" i="46"/>
  <c r="O599" i="46"/>
  <c r="O598" i="46"/>
  <c r="O597" i="46"/>
  <c r="O596" i="46"/>
  <c r="O595" i="46"/>
  <c r="O594" i="46"/>
  <c r="O593" i="46"/>
  <c r="O592" i="46"/>
  <c r="O591" i="46"/>
  <c r="O590" i="46"/>
  <c r="O589" i="46"/>
  <c r="O588" i="46"/>
  <c r="O587" i="46"/>
  <c r="O586" i="46"/>
  <c r="O585" i="46"/>
  <c r="O584" i="46"/>
  <c r="O583" i="46"/>
  <c r="O582" i="46"/>
  <c r="O581" i="46"/>
  <c r="O580" i="46"/>
  <c r="O579" i="46"/>
  <c r="O578" i="46"/>
  <c r="O577" i="46"/>
  <c r="O576" i="46"/>
  <c r="O575" i="46"/>
  <c r="O574" i="46"/>
  <c r="O573" i="46"/>
  <c r="O572" i="46"/>
  <c r="O571" i="46"/>
  <c r="O570" i="46"/>
  <c r="O569" i="46"/>
  <c r="O568" i="46"/>
  <c r="O567" i="46"/>
  <c r="O566" i="46"/>
  <c r="O565" i="46"/>
  <c r="O564" i="46"/>
  <c r="O563" i="46"/>
  <c r="O562" i="46"/>
  <c r="O561" i="46"/>
  <c r="O560" i="46"/>
  <c r="O559" i="46"/>
  <c r="O558" i="46"/>
  <c r="O557" i="46"/>
  <c r="O556" i="46"/>
  <c r="O555" i="46"/>
  <c r="O554" i="46"/>
  <c r="O553" i="46"/>
  <c r="O552" i="46"/>
  <c r="O551" i="46"/>
  <c r="O550" i="46"/>
  <c r="O549" i="46"/>
  <c r="O548" i="46"/>
  <c r="O547" i="46"/>
  <c r="O546" i="46"/>
  <c r="O545" i="46"/>
  <c r="O544" i="46"/>
  <c r="O543" i="46"/>
  <c r="O542" i="46"/>
  <c r="O541" i="46"/>
  <c r="O540" i="46"/>
  <c r="O539" i="46"/>
  <c r="O538" i="46"/>
  <c r="O537" i="46"/>
  <c r="O536" i="46"/>
  <c r="O535" i="46"/>
  <c r="O534" i="46"/>
  <c r="O533" i="46"/>
  <c r="O532" i="46"/>
  <c r="O531" i="46"/>
  <c r="O530" i="46"/>
  <c r="O529" i="46"/>
  <c r="O528" i="46"/>
  <c r="O527" i="46"/>
  <c r="O526" i="46"/>
  <c r="O525" i="46"/>
  <c r="O524" i="46"/>
  <c r="O523" i="46"/>
  <c r="O522" i="46"/>
  <c r="O521" i="46"/>
  <c r="O520" i="46"/>
  <c r="O519" i="46"/>
  <c r="O518" i="46"/>
  <c r="O517" i="46"/>
  <c r="O516" i="46"/>
  <c r="O515" i="46"/>
  <c r="O514" i="46"/>
  <c r="O513" i="46"/>
  <c r="O512" i="46"/>
  <c r="O511" i="46"/>
  <c r="O510" i="46"/>
  <c r="O509" i="46"/>
  <c r="O508" i="46"/>
  <c r="O507" i="46"/>
  <c r="O506" i="46"/>
  <c r="O505" i="46"/>
  <c r="O504" i="46"/>
  <c r="O503" i="46"/>
  <c r="O502" i="46"/>
  <c r="O501" i="46"/>
  <c r="O500" i="46"/>
  <c r="O499" i="46"/>
  <c r="O498" i="46"/>
  <c r="O497" i="46"/>
  <c r="O496" i="46"/>
  <c r="O495" i="46"/>
  <c r="O494" i="46"/>
  <c r="O493" i="46"/>
  <c r="O492" i="46"/>
  <c r="O491" i="46"/>
  <c r="O490" i="46"/>
  <c r="O489" i="46"/>
  <c r="O487" i="46"/>
  <c r="O486" i="46"/>
  <c r="O484" i="46"/>
  <c r="O483" i="46"/>
  <c r="O482" i="46"/>
  <c r="O481" i="46"/>
  <c r="O480" i="46"/>
  <c r="O479" i="46"/>
  <c r="O478" i="46"/>
  <c r="O477" i="46"/>
  <c r="O476" i="46"/>
  <c r="O475" i="46"/>
  <c r="O474" i="46"/>
  <c r="O473" i="46"/>
  <c r="O472" i="46"/>
  <c r="O471" i="46"/>
  <c r="O470" i="46"/>
  <c r="O469" i="46"/>
  <c r="O468" i="46"/>
  <c r="O467" i="46"/>
  <c r="O466" i="46"/>
  <c r="O465" i="46"/>
  <c r="O464" i="46"/>
  <c r="O463" i="46"/>
  <c r="O462" i="46"/>
  <c r="O461" i="46"/>
  <c r="O460" i="46"/>
  <c r="O459" i="46"/>
  <c r="O458" i="46"/>
  <c r="O457" i="46"/>
  <c r="O456" i="46"/>
  <c r="O455" i="46"/>
  <c r="O454" i="46"/>
  <c r="O453" i="46"/>
  <c r="O452" i="46"/>
  <c r="O451" i="46"/>
  <c r="O450" i="46"/>
  <c r="O449" i="46"/>
  <c r="O448" i="46"/>
  <c r="O447" i="46"/>
  <c r="O446" i="46"/>
  <c r="O445" i="46"/>
  <c r="O444" i="46"/>
  <c r="O443" i="46"/>
  <c r="O442" i="46"/>
  <c r="O441" i="46"/>
  <c r="O440" i="46"/>
  <c r="O439" i="46"/>
  <c r="O438" i="46"/>
  <c r="O437" i="46"/>
  <c r="O436" i="46"/>
  <c r="O435" i="46"/>
  <c r="O434" i="46"/>
  <c r="O433" i="46"/>
  <c r="O432" i="46"/>
  <c r="O431" i="46"/>
  <c r="O430" i="46"/>
  <c r="O429" i="46"/>
  <c r="O428" i="46"/>
  <c r="O427" i="46"/>
  <c r="O426" i="46"/>
  <c r="O425" i="46"/>
  <c r="O424" i="46"/>
  <c r="O423" i="46"/>
  <c r="O422" i="46"/>
  <c r="O421" i="46"/>
  <c r="O420" i="46"/>
  <c r="O419" i="46"/>
  <c r="O418" i="46"/>
  <c r="O417" i="46"/>
  <c r="O416" i="46"/>
  <c r="O415" i="46"/>
  <c r="O414" i="46"/>
  <c r="O413" i="46"/>
  <c r="O412" i="46"/>
  <c r="O411" i="46"/>
  <c r="O410" i="46"/>
  <c r="O409" i="46"/>
  <c r="O408" i="46"/>
  <c r="O407" i="46"/>
  <c r="O406" i="46"/>
  <c r="O405" i="46"/>
  <c r="O404" i="46"/>
  <c r="O403" i="46"/>
  <c r="O402" i="46"/>
  <c r="O401" i="46"/>
  <c r="O400" i="46"/>
  <c r="O399" i="46"/>
  <c r="O398" i="46"/>
  <c r="O397" i="46"/>
  <c r="O396" i="46"/>
  <c r="O395" i="46"/>
  <c r="O394" i="46"/>
  <c r="O393" i="46"/>
  <c r="O392" i="46"/>
  <c r="O391" i="46"/>
  <c r="O390" i="46"/>
  <c r="O389" i="46"/>
  <c r="O388" i="46"/>
  <c r="O387" i="46"/>
  <c r="O386" i="46"/>
  <c r="O385" i="46"/>
  <c r="O384" i="46"/>
  <c r="O383" i="46"/>
  <c r="O382" i="46"/>
  <c r="O381" i="46"/>
  <c r="O380" i="46"/>
  <c r="O379" i="46"/>
  <c r="O378" i="46"/>
  <c r="O377" i="46"/>
  <c r="O376" i="46"/>
  <c r="O375" i="46"/>
  <c r="O374" i="46"/>
  <c r="O373" i="46"/>
  <c r="O372" i="46"/>
  <c r="O371" i="46"/>
  <c r="O370" i="46"/>
  <c r="O369" i="46"/>
  <c r="O368" i="46"/>
  <c r="O367" i="46"/>
  <c r="O366" i="46"/>
  <c r="O365" i="46"/>
  <c r="O364" i="46"/>
  <c r="O363" i="46"/>
  <c r="O362" i="46"/>
  <c r="O361" i="46"/>
  <c r="O360" i="46"/>
  <c r="O359" i="46"/>
  <c r="O358" i="46"/>
  <c r="O357" i="46"/>
  <c r="O356" i="46"/>
  <c r="O355" i="46"/>
  <c r="O354" i="46"/>
  <c r="O353" i="46"/>
  <c r="O352" i="46"/>
  <c r="O351" i="46"/>
  <c r="O350" i="46"/>
  <c r="O349" i="46"/>
  <c r="O348" i="46"/>
  <c r="O347" i="46"/>
  <c r="O346" i="46"/>
  <c r="O345" i="46"/>
  <c r="O344" i="46"/>
  <c r="O343" i="46"/>
  <c r="O342" i="46"/>
  <c r="O341" i="46"/>
  <c r="O340" i="46"/>
  <c r="O339" i="46"/>
  <c r="O338" i="46"/>
  <c r="O337" i="46"/>
  <c r="O336" i="46"/>
  <c r="O335" i="46"/>
  <c r="O334" i="46"/>
  <c r="O333" i="46"/>
  <c r="O332" i="46"/>
  <c r="O331" i="46"/>
  <c r="O330" i="46"/>
  <c r="O329" i="46"/>
  <c r="O328" i="46"/>
  <c r="O327" i="46"/>
  <c r="O326" i="46"/>
  <c r="O325" i="46"/>
  <c r="O324" i="46"/>
  <c r="O323" i="46"/>
  <c r="O322" i="46"/>
  <c r="O321" i="46"/>
  <c r="O320" i="46"/>
  <c r="O319" i="46"/>
  <c r="O318" i="46"/>
  <c r="O317" i="46"/>
  <c r="O316" i="46"/>
  <c r="O315" i="46"/>
  <c r="O314" i="46"/>
  <c r="O313" i="46"/>
  <c r="O312" i="46"/>
  <c r="O311" i="46"/>
  <c r="O310" i="46"/>
  <c r="O309" i="46"/>
  <c r="O308" i="46"/>
  <c r="O307" i="46"/>
  <c r="O306" i="46"/>
  <c r="O305" i="46"/>
  <c r="O304" i="46"/>
  <c r="O303" i="46"/>
  <c r="O302" i="46"/>
  <c r="O301" i="46"/>
  <c r="O300" i="46"/>
  <c r="O299" i="46"/>
  <c r="O298" i="46"/>
  <c r="O297" i="46"/>
  <c r="O296" i="46"/>
  <c r="O295" i="46"/>
  <c r="O294" i="46"/>
  <c r="O293" i="46"/>
  <c r="O292" i="46"/>
  <c r="O291" i="46"/>
  <c r="O290" i="46"/>
  <c r="O289" i="46"/>
  <c r="O288" i="46"/>
  <c r="O287" i="46"/>
  <c r="O286" i="46"/>
  <c r="O285" i="46"/>
  <c r="O284" i="46"/>
  <c r="O283" i="46"/>
  <c r="O282" i="46"/>
  <c r="O281" i="46"/>
  <c r="O280" i="46"/>
  <c r="O279" i="46"/>
  <c r="O278" i="46"/>
  <c r="O277" i="46"/>
  <c r="O276" i="46"/>
  <c r="O275" i="46"/>
  <c r="O274" i="46"/>
  <c r="O273" i="46"/>
  <c r="O272" i="46"/>
  <c r="O271" i="46"/>
  <c r="O270" i="46"/>
  <c r="O269" i="46"/>
  <c r="O268" i="46"/>
  <c r="O267" i="46"/>
  <c r="O266" i="46"/>
  <c r="O265" i="46"/>
  <c r="O264" i="46"/>
  <c r="O263" i="46"/>
  <c r="O262" i="46"/>
  <c r="O261" i="46"/>
  <c r="O260" i="46"/>
  <c r="O259" i="46"/>
  <c r="O258" i="46"/>
  <c r="O257" i="46"/>
  <c r="O256" i="46"/>
  <c r="O255" i="46"/>
  <c r="O254" i="46"/>
  <c r="O253" i="46"/>
  <c r="O252" i="46"/>
  <c r="O251" i="46"/>
  <c r="O250" i="46"/>
  <c r="O249" i="46"/>
  <c r="O248" i="46"/>
  <c r="O247" i="46"/>
  <c r="O246" i="46"/>
  <c r="O245" i="46"/>
  <c r="O244" i="46"/>
  <c r="O243" i="46"/>
  <c r="O242" i="46"/>
  <c r="O241" i="46"/>
  <c r="O240" i="46"/>
  <c r="O239" i="46"/>
  <c r="O238" i="46"/>
  <c r="O237" i="46"/>
  <c r="O236" i="46"/>
  <c r="O235" i="46"/>
  <c r="O234" i="46"/>
  <c r="O233" i="46"/>
  <c r="O232" i="46"/>
  <c r="O231" i="46"/>
  <c r="O230" i="46"/>
  <c r="O229" i="46"/>
  <c r="O228" i="46"/>
  <c r="O227" i="46"/>
  <c r="O226" i="46"/>
  <c r="O225" i="46"/>
  <c r="O224" i="46"/>
  <c r="O223" i="46"/>
  <c r="O222" i="46"/>
  <c r="O221" i="46"/>
  <c r="O220" i="46"/>
  <c r="O219" i="46"/>
  <c r="O218" i="46"/>
  <c r="O217" i="46"/>
  <c r="O216" i="46"/>
  <c r="O215" i="46"/>
  <c r="O214" i="46"/>
  <c r="O213" i="46"/>
  <c r="O212" i="46"/>
  <c r="O211" i="46"/>
  <c r="O210" i="46"/>
  <c r="O209" i="46"/>
  <c r="O208" i="46"/>
  <c r="O207" i="46"/>
  <c r="O206" i="46"/>
  <c r="O205" i="46"/>
  <c r="O204" i="46"/>
  <c r="O203" i="46"/>
  <c r="O202" i="46"/>
  <c r="O201" i="46"/>
  <c r="O200" i="46"/>
  <c r="O199" i="46"/>
  <c r="O198" i="46"/>
  <c r="O197" i="46"/>
  <c r="O196" i="46"/>
  <c r="O195" i="46"/>
  <c r="O194" i="46"/>
  <c r="O193" i="46"/>
  <c r="O192" i="46"/>
  <c r="O191" i="46"/>
  <c r="O190" i="46"/>
  <c r="O189" i="46"/>
  <c r="O188" i="46"/>
  <c r="O187" i="46"/>
  <c r="O186" i="46"/>
  <c r="O185" i="46"/>
  <c r="O184" i="46"/>
  <c r="O183" i="46"/>
  <c r="O182" i="46"/>
  <c r="O181" i="46"/>
  <c r="O180" i="46"/>
  <c r="O179" i="46"/>
  <c r="O178" i="46"/>
  <c r="O177" i="46"/>
  <c r="O176" i="46"/>
  <c r="O175" i="46"/>
  <c r="O174" i="46"/>
  <c r="O173" i="46"/>
  <c r="O172" i="46"/>
  <c r="O171" i="46"/>
  <c r="O170" i="46"/>
  <c r="O169" i="46"/>
  <c r="O168" i="46"/>
  <c r="O167" i="46"/>
  <c r="O166" i="46"/>
  <c r="O165" i="46"/>
  <c r="O164" i="46"/>
  <c r="O163" i="46"/>
  <c r="O162" i="46"/>
  <c r="O161" i="46"/>
  <c r="O160" i="46"/>
  <c r="O159" i="46"/>
  <c r="O158" i="46"/>
  <c r="O157" i="46"/>
  <c r="O156" i="46"/>
  <c r="O155" i="46"/>
  <c r="O154" i="46"/>
  <c r="O153" i="46"/>
  <c r="O152" i="46"/>
  <c r="O151" i="46"/>
  <c r="O150" i="46"/>
  <c r="O149" i="46"/>
  <c r="O148" i="46"/>
  <c r="O147" i="46"/>
  <c r="O146" i="46"/>
  <c r="O145" i="46"/>
  <c r="O144" i="46"/>
  <c r="O143" i="46"/>
  <c r="O142" i="46"/>
  <c r="O141" i="46"/>
  <c r="O140" i="46"/>
  <c r="O139" i="46"/>
  <c r="O138" i="46"/>
  <c r="O137" i="46"/>
  <c r="O136" i="46"/>
  <c r="O135" i="46"/>
  <c r="O134" i="46"/>
  <c r="O133" i="46"/>
  <c r="O132" i="46"/>
  <c r="O131" i="46"/>
  <c r="O130" i="46"/>
  <c r="O129" i="46"/>
  <c r="O128" i="46"/>
  <c r="O127" i="46"/>
  <c r="O126" i="46"/>
  <c r="O125" i="46"/>
  <c r="O124" i="46"/>
  <c r="O123" i="46"/>
  <c r="O122" i="46"/>
  <c r="O121" i="46"/>
  <c r="O120" i="46"/>
  <c r="O119" i="46"/>
  <c r="O118" i="46"/>
  <c r="O117" i="46"/>
  <c r="O116" i="46"/>
  <c r="O115" i="46"/>
  <c r="O114" i="46"/>
  <c r="O113" i="46"/>
  <c r="O112" i="46"/>
  <c r="O111" i="46"/>
  <c r="O110" i="46"/>
  <c r="O109" i="46"/>
  <c r="O108" i="46"/>
  <c r="O107" i="46"/>
  <c r="O106" i="46"/>
  <c r="O105" i="46"/>
  <c r="O104" i="46"/>
  <c r="O103" i="46"/>
  <c r="O102" i="46"/>
  <c r="O101" i="46"/>
  <c r="O100" i="46"/>
  <c r="O99" i="46"/>
  <c r="O98" i="46"/>
  <c r="O97" i="46"/>
  <c r="O96" i="46"/>
  <c r="O95" i="46"/>
  <c r="O94" i="46"/>
  <c r="O93" i="46"/>
  <c r="O92" i="46"/>
  <c r="O91" i="46"/>
  <c r="O90" i="46"/>
  <c r="O89" i="46"/>
  <c r="O88" i="46"/>
  <c r="O87" i="46"/>
  <c r="O86" i="46"/>
  <c r="O85" i="46"/>
  <c r="O84" i="46"/>
  <c r="O83" i="46"/>
  <c r="O82" i="46"/>
  <c r="O81" i="46"/>
  <c r="O80" i="46"/>
  <c r="O79" i="46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63" i="46"/>
  <c r="O62" i="46"/>
  <c r="O61" i="46"/>
  <c r="O60" i="46"/>
  <c r="O59" i="46"/>
  <c r="O58" i="46"/>
  <c r="O57" i="46"/>
  <c r="O56" i="46"/>
  <c r="O55" i="46"/>
  <c r="O54" i="46"/>
  <c r="O53" i="46"/>
  <c r="O52" i="46"/>
  <c r="O51" i="46"/>
  <c r="O50" i="46"/>
  <c r="O49" i="46"/>
  <c r="O48" i="46"/>
  <c r="O47" i="46"/>
  <c r="O46" i="46"/>
  <c r="O45" i="46"/>
  <c r="O44" i="46"/>
  <c r="O43" i="46"/>
  <c r="O42" i="46"/>
  <c r="O41" i="46"/>
  <c r="O40" i="46"/>
  <c r="O39" i="46"/>
  <c r="O38" i="46"/>
  <c r="O37" i="46"/>
  <c r="O36" i="46"/>
  <c r="O35" i="46"/>
  <c r="O34" i="46"/>
  <c r="O33" i="46"/>
  <c r="O32" i="46"/>
  <c r="O31" i="46"/>
  <c r="O30" i="46"/>
  <c r="O29" i="46"/>
  <c r="O28" i="46"/>
  <c r="O27" i="46"/>
  <c r="O26" i="46"/>
  <c r="O25" i="46"/>
  <c r="O24" i="46"/>
  <c r="O23" i="46"/>
  <c r="O22" i="46"/>
  <c r="O21" i="46"/>
  <c r="O20" i="46"/>
  <c r="O19" i="46"/>
  <c r="O18" i="46"/>
  <c r="O17" i="46"/>
  <c r="O16" i="46"/>
  <c r="O15" i="46"/>
  <c r="O14" i="46"/>
  <c r="O13" i="46"/>
  <c r="O12" i="46"/>
  <c r="O11" i="46"/>
  <c r="O10" i="46"/>
  <c r="O9" i="46"/>
  <c r="O8" i="46"/>
  <c r="O7" i="46"/>
  <c r="O6" i="46"/>
  <c r="O5" i="46"/>
  <c r="J272" i="9" l="1"/>
  <c r="I272" i="9"/>
  <c r="K272" i="9" l="1"/>
  <c r="L272" i="9" s="1"/>
  <c r="O485" i="46" l="1"/>
  <c r="O718" i="46" l="1"/>
  <c r="J312" i="9" l="1"/>
  <c r="I312" i="9"/>
  <c r="J301" i="9"/>
  <c r="I301" i="9"/>
  <c r="J266" i="9"/>
  <c r="I266" i="9"/>
  <c r="J260" i="9"/>
  <c r="I260" i="9"/>
  <c r="J255" i="9"/>
  <c r="I255" i="9"/>
  <c r="J239" i="9"/>
  <c r="I239" i="9"/>
  <c r="J225" i="9"/>
  <c r="I225" i="9"/>
  <c r="J222" i="9"/>
  <c r="I222" i="9"/>
  <c r="J214" i="9"/>
  <c r="I214" i="9"/>
  <c r="J211" i="9"/>
  <c r="I211" i="9"/>
  <c r="J208" i="9"/>
  <c r="I208" i="9"/>
  <c r="J201" i="9"/>
  <c r="I201" i="9"/>
  <c r="J200" i="9"/>
  <c r="I200" i="9"/>
  <c r="J156" i="9"/>
  <c r="I156" i="9"/>
  <c r="J105" i="9"/>
  <c r="I105" i="9"/>
  <c r="J82" i="9"/>
  <c r="I82" i="9"/>
  <c r="J75" i="9"/>
  <c r="I75" i="9"/>
  <c r="J74" i="9"/>
  <c r="I74" i="9"/>
  <c r="J50" i="9"/>
  <c r="I50" i="9"/>
  <c r="J40" i="9"/>
  <c r="I40" i="9"/>
  <c r="K74" i="9" l="1"/>
  <c r="L74" i="9" s="1"/>
  <c r="K50" i="9"/>
  <c r="K82" i="9"/>
  <c r="L82" i="9" s="1"/>
  <c r="K40" i="9"/>
  <c r="K156" i="9"/>
  <c r="K239" i="9"/>
  <c r="K301" i="9"/>
  <c r="K105" i="9"/>
  <c r="L105" i="9" s="1"/>
  <c r="K208" i="9"/>
  <c r="L208" i="9" s="1"/>
  <c r="K225" i="9"/>
  <c r="K201" i="9"/>
  <c r="K255" i="9"/>
  <c r="L255" i="9" s="1"/>
  <c r="K211" i="9"/>
  <c r="K266" i="9"/>
  <c r="L266" i="9" s="1"/>
  <c r="K222" i="9"/>
  <c r="K312" i="9"/>
  <c r="K75" i="9"/>
  <c r="K200" i="9"/>
  <c r="K260" i="9"/>
  <c r="K214" i="9"/>
  <c r="L75" i="9"/>
  <c r="L200" i="9"/>
  <c r="L312" i="9" l="1"/>
  <c r="L260" i="9"/>
  <c r="L301" i="9"/>
  <c r="L40" i="9"/>
  <c r="L50" i="9"/>
  <c r="L239" i="9"/>
  <c r="L211" i="9"/>
  <c r="L214" i="9"/>
  <c r="L201" i="9"/>
  <c r="L156" i="9"/>
  <c r="L225" i="9"/>
  <c r="L222" i="9"/>
  <c r="I346" i="9" l="1"/>
  <c r="J346" i="9"/>
  <c r="K346" i="9" l="1"/>
  <c r="L346" i="9" s="1"/>
  <c r="L6" i="46" l="1"/>
  <c r="L7" i="46"/>
  <c r="L8" i="46"/>
  <c r="L9" i="46"/>
  <c r="L10" i="46"/>
  <c r="L11" i="46"/>
  <c r="L12" i="46"/>
  <c r="L13" i="46"/>
  <c r="L14" i="46"/>
  <c r="L15" i="46"/>
  <c r="L16" i="46"/>
  <c r="L17" i="46"/>
  <c r="L18" i="46"/>
  <c r="L19" i="46"/>
  <c r="L20" i="46"/>
  <c r="L21" i="46"/>
  <c r="L22" i="46"/>
  <c r="L23" i="46"/>
  <c r="L24" i="46"/>
  <c r="L25" i="46"/>
  <c r="L26" i="46"/>
  <c r="L27" i="46"/>
  <c r="L28" i="46"/>
  <c r="L29" i="46"/>
  <c r="L30" i="46"/>
  <c r="L31" i="46"/>
  <c r="L32" i="46"/>
  <c r="L33" i="46"/>
  <c r="L34" i="46"/>
  <c r="L35" i="46"/>
  <c r="L36" i="46"/>
  <c r="L37" i="46"/>
  <c r="L38" i="46"/>
  <c r="L39" i="46"/>
  <c r="L40" i="46"/>
  <c r="L41" i="46"/>
  <c r="L42" i="46"/>
  <c r="L43" i="46"/>
  <c r="L44" i="46"/>
  <c r="L45" i="46"/>
  <c r="L46" i="46"/>
  <c r="L47" i="46"/>
  <c r="L48" i="46"/>
  <c r="L49" i="46"/>
  <c r="L50" i="46"/>
  <c r="L51" i="46"/>
  <c r="L52" i="46"/>
  <c r="L53" i="46"/>
  <c r="L54" i="46"/>
  <c r="L55" i="46"/>
  <c r="L56" i="46"/>
  <c r="L57" i="46"/>
  <c r="L58" i="46"/>
  <c r="L59" i="46"/>
  <c r="L60" i="46"/>
  <c r="L61" i="46"/>
  <c r="L62" i="46"/>
  <c r="L63" i="46"/>
  <c r="L64" i="46"/>
  <c r="L65" i="46"/>
  <c r="L66" i="46"/>
  <c r="L67" i="46"/>
  <c r="L68" i="46"/>
  <c r="L69" i="46"/>
  <c r="L70" i="46"/>
  <c r="L71" i="46"/>
  <c r="L72" i="46"/>
  <c r="L73" i="46"/>
  <c r="L74" i="46"/>
  <c r="L75" i="46"/>
  <c r="L76" i="46"/>
  <c r="L77" i="46"/>
  <c r="L78" i="46"/>
  <c r="L79" i="46"/>
  <c r="L80" i="46"/>
  <c r="L81" i="46"/>
  <c r="L82" i="46"/>
  <c r="L83" i="46"/>
  <c r="L84" i="46"/>
  <c r="L85" i="46"/>
  <c r="L86" i="46"/>
  <c r="L87" i="46"/>
  <c r="L88" i="46"/>
  <c r="L89" i="46"/>
  <c r="L90" i="46"/>
  <c r="L91" i="46"/>
  <c r="L92" i="46"/>
  <c r="L93" i="46"/>
  <c r="L94" i="46"/>
  <c r="L95" i="46"/>
  <c r="L96" i="46"/>
  <c r="L97" i="46"/>
  <c r="L98" i="46"/>
  <c r="L99" i="46"/>
  <c r="L100" i="46"/>
  <c r="L101" i="46"/>
  <c r="L102" i="46"/>
  <c r="L103" i="46"/>
  <c r="L104" i="46"/>
  <c r="L105" i="46"/>
  <c r="L106" i="46"/>
  <c r="L107" i="46"/>
  <c r="L108" i="46"/>
  <c r="L109" i="46"/>
  <c r="L110" i="46"/>
  <c r="L111" i="46"/>
  <c r="L112" i="46"/>
  <c r="L113" i="46"/>
  <c r="L114" i="46"/>
  <c r="L115" i="46"/>
  <c r="L116" i="46"/>
  <c r="L117" i="46"/>
  <c r="L118" i="46"/>
  <c r="L119" i="46"/>
  <c r="L120" i="46"/>
  <c r="L121" i="46"/>
  <c r="L122" i="46"/>
  <c r="L123" i="46"/>
  <c r="L124" i="46"/>
  <c r="L125" i="46"/>
  <c r="L126" i="46"/>
  <c r="L127" i="46"/>
  <c r="L128" i="46"/>
  <c r="L129" i="46"/>
  <c r="L130" i="46"/>
  <c r="L131" i="46"/>
  <c r="L132" i="46"/>
  <c r="L133" i="46"/>
  <c r="L134" i="46"/>
  <c r="L135" i="46"/>
  <c r="L136" i="46"/>
  <c r="L137" i="46"/>
  <c r="L138" i="46"/>
  <c r="L139" i="46"/>
  <c r="L140" i="46"/>
  <c r="L141" i="46"/>
  <c r="L142" i="46"/>
  <c r="L143" i="46"/>
  <c r="L144" i="46"/>
  <c r="L145" i="46"/>
  <c r="L146" i="46"/>
  <c r="L147" i="46"/>
  <c r="L148" i="46"/>
  <c r="L149" i="46"/>
  <c r="L150" i="46"/>
  <c r="L151" i="46"/>
  <c r="L152" i="46"/>
  <c r="L153" i="46"/>
  <c r="L154" i="46"/>
  <c r="L155" i="46"/>
  <c r="L156" i="46"/>
  <c r="L157" i="46"/>
  <c r="L158" i="46"/>
  <c r="L159" i="46"/>
  <c r="L160" i="46"/>
  <c r="L161" i="46"/>
  <c r="L162" i="46"/>
  <c r="L163" i="46"/>
  <c r="L164" i="46"/>
  <c r="L165" i="46"/>
  <c r="L166" i="46"/>
  <c r="L167" i="46"/>
  <c r="L168" i="46"/>
  <c r="L169" i="46"/>
  <c r="L170" i="46"/>
  <c r="L171" i="46"/>
  <c r="L172" i="46"/>
  <c r="L173" i="46"/>
  <c r="L174" i="46"/>
  <c r="L175" i="46"/>
  <c r="L176" i="46"/>
  <c r="L177" i="46"/>
  <c r="L178" i="46"/>
  <c r="L179" i="46"/>
  <c r="L180" i="46"/>
  <c r="L181" i="46"/>
  <c r="L182" i="46"/>
  <c r="L183" i="46"/>
  <c r="L184" i="46"/>
  <c r="L185" i="46"/>
  <c r="L186" i="46"/>
  <c r="L187" i="46"/>
  <c r="L188" i="46"/>
  <c r="L189" i="46"/>
  <c r="L190" i="46"/>
  <c r="L191" i="46"/>
  <c r="L192" i="46"/>
  <c r="L193" i="46"/>
  <c r="L194" i="46"/>
  <c r="L195" i="46"/>
  <c r="L196" i="46"/>
  <c r="L197" i="46"/>
  <c r="L198" i="46"/>
  <c r="L199" i="46"/>
  <c r="L200" i="46"/>
  <c r="L201" i="46"/>
  <c r="L202" i="46"/>
  <c r="L203" i="46"/>
  <c r="L204" i="46"/>
  <c r="L205" i="46"/>
  <c r="L206" i="46"/>
  <c r="L207" i="46"/>
  <c r="L208" i="46"/>
  <c r="L209" i="46"/>
  <c r="L210" i="46"/>
  <c r="L211" i="46"/>
  <c r="L212" i="46"/>
  <c r="L213" i="46"/>
  <c r="L214" i="46"/>
  <c r="L215" i="46"/>
  <c r="L216" i="46"/>
  <c r="L217" i="46"/>
  <c r="L218" i="46"/>
  <c r="L219" i="46"/>
  <c r="L220" i="46"/>
  <c r="L221" i="46"/>
  <c r="L222" i="46"/>
  <c r="L223" i="46"/>
  <c r="L224" i="46"/>
  <c r="L225" i="46"/>
  <c r="L226" i="46"/>
  <c r="L227" i="46"/>
  <c r="L228" i="46"/>
  <c r="L229" i="46"/>
  <c r="L230" i="46"/>
  <c r="L231" i="46"/>
  <c r="L232" i="46"/>
  <c r="L233" i="46"/>
  <c r="L234" i="46"/>
  <c r="L235" i="46"/>
  <c r="L236" i="46"/>
  <c r="L237" i="46"/>
  <c r="L238" i="46"/>
  <c r="L239" i="46"/>
  <c r="L240" i="46"/>
  <c r="L241" i="46"/>
  <c r="L242" i="46"/>
  <c r="L243" i="46"/>
  <c r="L244" i="46"/>
  <c r="L245" i="46"/>
  <c r="L246" i="46"/>
  <c r="L247" i="46"/>
  <c r="L248" i="46"/>
  <c r="L249" i="46"/>
  <c r="L250" i="46"/>
  <c r="L251" i="46"/>
  <c r="L252" i="46"/>
  <c r="L253" i="46"/>
  <c r="L254" i="46"/>
  <c r="L255" i="46"/>
  <c r="L256" i="46"/>
  <c r="L257" i="46"/>
  <c r="L258" i="46"/>
  <c r="L259" i="46"/>
  <c r="L260" i="46"/>
  <c r="L261" i="46"/>
  <c r="L262" i="46"/>
  <c r="L263" i="46"/>
  <c r="L264" i="46"/>
  <c r="L265" i="46"/>
  <c r="L266" i="46"/>
  <c r="L267" i="46"/>
  <c r="L268" i="46"/>
  <c r="L269" i="46"/>
  <c r="L270" i="46"/>
  <c r="L271" i="46"/>
  <c r="L272" i="46"/>
  <c r="L273" i="46"/>
  <c r="L274" i="46"/>
  <c r="L275" i="46"/>
  <c r="L276" i="46"/>
  <c r="L277" i="46"/>
  <c r="L278" i="46"/>
  <c r="L279" i="46"/>
  <c r="L280" i="46"/>
  <c r="L281" i="46"/>
  <c r="L282" i="46"/>
  <c r="L283" i="46"/>
  <c r="L284" i="46"/>
  <c r="L285" i="46"/>
  <c r="L286" i="46"/>
  <c r="L287" i="46"/>
  <c r="L288" i="46"/>
  <c r="L289" i="46"/>
  <c r="L290" i="46"/>
  <c r="L291" i="46"/>
  <c r="L292" i="46"/>
  <c r="L293" i="46"/>
  <c r="L294" i="46"/>
  <c r="L295" i="46"/>
  <c r="L296" i="46"/>
  <c r="L297" i="46"/>
  <c r="L298" i="46"/>
  <c r="L299" i="46"/>
  <c r="L300" i="46"/>
  <c r="L301" i="46"/>
  <c r="L302" i="46"/>
  <c r="L303" i="46"/>
  <c r="L304" i="46"/>
  <c r="L305" i="46"/>
  <c r="L306" i="46"/>
  <c r="L307" i="46"/>
  <c r="L308" i="46"/>
  <c r="L309" i="46"/>
  <c r="L310" i="46"/>
  <c r="L311" i="46"/>
  <c r="L312" i="46"/>
  <c r="L313" i="46"/>
  <c r="L314" i="46"/>
  <c r="L315" i="46"/>
  <c r="L316" i="46"/>
  <c r="L317" i="46"/>
  <c r="L318" i="46"/>
  <c r="L319" i="46"/>
  <c r="L320" i="46"/>
  <c r="L321" i="46"/>
  <c r="L322" i="46"/>
  <c r="L323" i="46"/>
  <c r="L324" i="46"/>
  <c r="L325" i="46"/>
  <c r="L326" i="46"/>
  <c r="L327" i="46"/>
  <c r="L328" i="46"/>
  <c r="L329" i="46"/>
  <c r="L330" i="46"/>
  <c r="L331" i="46"/>
  <c r="L332" i="46"/>
  <c r="L333" i="46"/>
  <c r="L334" i="46"/>
  <c r="L335" i="46"/>
  <c r="L336" i="46"/>
  <c r="L337" i="46"/>
  <c r="L338" i="46"/>
  <c r="L339" i="46"/>
  <c r="L340" i="46"/>
  <c r="L341" i="46"/>
  <c r="L342" i="46"/>
  <c r="L343" i="46"/>
  <c r="L344" i="46"/>
  <c r="L345" i="46"/>
  <c r="L346" i="46"/>
  <c r="L347" i="46"/>
  <c r="L348" i="46"/>
  <c r="L349" i="46"/>
  <c r="L350" i="46"/>
  <c r="L351" i="46"/>
  <c r="L352" i="46"/>
  <c r="L353" i="46"/>
  <c r="L354" i="46"/>
  <c r="L355" i="46"/>
  <c r="L356" i="46"/>
  <c r="L357" i="46"/>
  <c r="L358" i="46"/>
  <c r="L359" i="46"/>
  <c r="L360" i="46"/>
  <c r="L361" i="46"/>
  <c r="L362" i="46"/>
  <c r="L363" i="46"/>
  <c r="L364" i="46"/>
  <c r="L365" i="46"/>
  <c r="L366" i="46"/>
  <c r="L367" i="46"/>
  <c r="L368" i="46"/>
  <c r="L369" i="46"/>
  <c r="L370" i="46"/>
  <c r="L371" i="46"/>
  <c r="L372" i="46"/>
  <c r="L373" i="46"/>
  <c r="L374" i="46"/>
  <c r="L375" i="46"/>
  <c r="L376" i="46"/>
  <c r="L377" i="46"/>
  <c r="L378" i="46"/>
  <c r="L379" i="46"/>
  <c r="L380" i="46"/>
  <c r="L381" i="46"/>
  <c r="L382" i="46"/>
  <c r="L383" i="46"/>
  <c r="L384" i="46"/>
  <c r="L385" i="46"/>
  <c r="L386" i="46"/>
  <c r="L387" i="46"/>
  <c r="L388" i="46"/>
  <c r="L389" i="46"/>
  <c r="L390" i="46"/>
  <c r="L391" i="46"/>
  <c r="L392" i="46"/>
  <c r="L393" i="46"/>
  <c r="L394" i="46"/>
  <c r="L395" i="46"/>
  <c r="L396" i="46"/>
  <c r="L397" i="46"/>
  <c r="L398" i="46"/>
  <c r="L399" i="46"/>
  <c r="L400" i="46"/>
  <c r="L401" i="46"/>
  <c r="L402" i="46"/>
  <c r="L403" i="46"/>
  <c r="L404" i="46"/>
  <c r="L405" i="46"/>
  <c r="L406" i="46"/>
  <c r="L407" i="46"/>
  <c r="L408" i="46"/>
  <c r="L409" i="46"/>
  <c r="L410" i="46"/>
  <c r="L411" i="46"/>
  <c r="L412" i="46"/>
  <c r="L413" i="46"/>
  <c r="L414" i="46"/>
  <c r="L415" i="46"/>
  <c r="L416" i="46"/>
  <c r="L417" i="46"/>
  <c r="L418" i="46"/>
  <c r="L419" i="46"/>
  <c r="L420" i="46"/>
  <c r="L421" i="46"/>
  <c r="L422" i="46"/>
  <c r="L423" i="46"/>
  <c r="L424" i="46"/>
  <c r="L425" i="46"/>
  <c r="L426" i="46"/>
  <c r="L427" i="46"/>
  <c r="L428" i="46"/>
  <c r="L429" i="46"/>
  <c r="L430" i="46"/>
  <c r="L431" i="46"/>
  <c r="L432" i="46"/>
  <c r="L433" i="46"/>
  <c r="L434" i="46"/>
  <c r="L435" i="46"/>
  <c r="L436" i="46"/>
  <c r="L437" i="46"/>
  <c r="L438" i="46"/>
  <c r="L439" i="46"/>
  <c r="L440" i="46"/>
  <c r="L441" i="46"/>
  <c r="L442" i="46"/>
  <c r="L443" i="46"/>
  <c r="L444" i="46"/>
  <c r="L445" i="46"/>
  <c r="L446" i="46"/>
  <c r="L447" i="46"/>
  <c r="L448" i="46"/>
  <c r="L449" i="46"/>
  <c r="L450" i="46"/>
  <c r="L451" i="46"/>
  <c r="L452" i="46"/>
  <c r="L453" i="46"/>
  <c r="L454" i="46"/>
  <c r="L455" i="46"/>
  <c r="L456" i="46"/>
  <c r="L457" i="46"/>
  <c r="L458" i="46"/>
  <c r="L459" i="46"/>
  <c r="L460" i="46"/>
  <c r="L461" i="46"/>
  <c r="L462" i="46"/>
  <c r="L463" i="46"/>
  <c r="L464" i="46"/>
  <c r="L465" i="46"/>
  <c r="L466" i="46"/>
  <c r="L467" i="46"/>
  <c r="L468" i="46"/>
  <c r="L469" i="46"/>
  <c r="L470" i="46"/>
  <c r="L471" i="46"/>
  <c r="L472" i="46"/>
  <c r="L473" i="46"/>
  <c r="L474" i="46"/>
  <c r="L475" i="46"/>
  <c r="L476" i="46"/>
  <c r="L477" i="46"/>
  <c r="L478" i="46"/>
  <c r="L479" i="46"/>
  <c r="L480" i="46"/>
  <c r="L481" i="46"/>
  <c r="L482" i="46"/>
  <c r="L483" i="46"/>
  <c r="L484" i="46"/>
  <c r="L485" i="46"/>
  <c r="L486" i="46"/>
  <c r="L487" i="46"/>
  <c r="L488" i="46"/>
  <c r="L489" i="46"/>
  <c r="L490" i="46"/>
  <c r="L491" i="46"/>
  <c r="L492" i="46"/>
  <c r="L493" i="46"/>
  <c r="L494" i="46"/>
  <c r="L495" i="46"/>
  <c r="L496" i="46"/>
  <c r="L497" i="46"/>
  <c r="L498" i="46"/>
  <c r="L499" i="46"/>
  <c r="L500" i="46"/>
  <c r="L501" i="46"/>
  <c r="L502" i="46"/>
  <c r="L503" i="46"/>
  <c r="L504" i="46"/>
  <c r="L505" i="46"/>
  <c r="L506" i="46"/>
  <c r="L507" i="46"/>
  <c r="L508" i="46"/>
  <c r="L509" i="46"/>
  <c r="L510" i="46"/>
  <c r="L511" i="46"/>
  <c r="L512" i="46"/>
  <c r="L513" i="46"/>
  <c r="L514" i="46"/>
  <c r="L515" i="46"/>
  <c r="L516" i="46"/>
  <c r="L517" i="46"/>
  <c r="L518" i="46"/>
  <c r="L519" i="46"/>
  <c r="L520" i="46"/>
  <c r="L521" i="46"/>
  <c r="L522" i="46"/>
  <c r="L523" i="46"/>
  <c r="L524" i="46"/>
  <c r="L525" i="46"/>
  <c r="L526" i="46"/>
  <c r="L527" i="46"/>
  <c r="L528" i="46"/>
  <c r="L529" i="46"/>
  <c r="L530" i="46"/>
  <c r="L531" i="46"/>
  <c r="L532" i="46"/>
  <c r="L533" i="46"/>
  <c r="L534" i="46"/>
  <c r="L535" i="46"/>
  <c r="L536" i="46"/>
  <c r="L537" i="46"/>
  <c r="L538" i="46"/>
  <c r="L539" i="46"/>
  <c r="L540" i="46"/>
  <c r="L541" i="46"/>
  <c r="L542" i="46"/>
  <c r="L543" i="46"/>
  <c r="L544" i="46"/>
  <c r="L545" i="46"/>
  <c r="L546" i="46"/>
  <c r="L547" i="46"/>
  <c r="L548" i="46"/>
  <c r="L549" i="46"/>
  <c r="L550" i="46"/>
  <c r="L551" i="46"/>
  <c r="L552" i="46"/>
  <c r="L553" i="46"/>
  <c r="L554" i="46"/>
  <c r="L555" i="46"/>
  <c r="L556" i="46"/>
  <c r="L557" i="46"/>
  <c r="L558" i="46"/>
  <c r="L559" i="46"/>
  <c r="L560" i="46"/>
  <c r="L561" i="46"/>
  <c r="L562" i="46"/>
  <c r="L563" i="46"/>
  <c r="L564" i="46"/>
  <c r="L565" i="46"/>
  <c r="L566" i="46"/>
  <c r="L567" i="46"/>
  <c r="L568" i="46"/>
  <c r="L569" i="46"/>
  <c r="L570" i="46"/>
  <c r="L571" i="46"/>
  <c r="L572" i="46"/>
  <c r="L573" i="46"/>
  <c r="L574" i="46"/>
  <c r="L575" i="46"/>
  <c r="L576" i="46"/>
  <c r="L577" i="46"/>
  <c r="L578" i="46"/>
  <c r="L579" i="46"/>
  <c r="L580" i="46"/>
  <c r="L581" i="46"/>
  <c r="L582" i="46"/>
  <c r="L583" i="46"/>
  <c r="L584" i="46"/>
  <c r="L585" i="46"/>
  <c r="L586" i="46"/>
  <c r="L587" i="46"/>
  <c r="L588" i="46"/>
  <c r="L589" i="46"/>
  <c r="L590" i="46"/>
  <c r="L592" i="46"/>
  <c r="L593" i="46"/>
  <c r="L594" i="46"/>
  <c r="L595" i="46"/>
  <c r="L596" i="46"/>
  <c r="L597" i="46"/>
  <c r="L598" i="46"/>
  <c r="L599" i="46"/>
  <c r="L600" i="46"/>
  <c r="L601" i="46"/>
  <c r="L602" i="46"/>
  <c r="L603" i="46"/>
  <c r="L604" i="46"/>
  <c r="L605" i="46"/>
  <c r="L606" i="46"/>
  <c r="L607" i="46"/>
  <c r="L608" i="46"/>
  <c r="L609" i="46"/>
  <c r="L610" i="46"/>
  <c r="L611" i="46"/>
  <c r="L612" i="46"/>
  <c r="L613" i="46"/>
  <c r="L614" i="46"/>
  <c r="L615" i="46"/>
  <c r="L616" i="46"/>
  <c r="L617" i="46"/>
  <c r="L618" i="46"/>
  <c r="L619" i="46"/>
  <c r="L620" i="46"/>
  <c r="L621" i="46"/>
  <c r="L622" i="46"/>
  <c r="L623" i="46"/>
  <c r="L624" i="46"/>
  <c r="L625" i="46"/>
  <c r="L626" i="46"/>
  <c r="L627" i="46"/>
  <c r="L628" i="46"/>
  <c r="L629" i="46"/>
  <c r="L630" i="46"/>
  <c r="L631" i="46"/>
  <c r="L632" i="46"/>
  <c r="L633" i="46"/>
  <c r="L634" i="46"/>
  <c r="L635" i="46"/>
  <c r="L636" i="46"/>
  <c r="L637" i="46"/>
  <c r="L638" i="46"/>
  <c r="L639" i="46"/>
  <c r="L640" i="46"/>
  <c r="L641" i="46"/>
  <c r="L642" i="46"/>
  <c r="L643" i="46"/>
  <c r="L644" i="46"/>
  <c r="L645" i="46"/>
  <c r="L646" i="46"/>
  <c r="L647" i="46"/>
  <c r="L648" i="46"/>
  <c r="L649" i="46"/>
  <c r="L650" i="46"/>
  <c r="L651" i="46"/>
  <c r="L652" i="46"/>
  <c r="L653" i="46"/>
  <c r="L654" i="46"/>
  <c r="L655" i="46"/>
  <c r="L656" i="46"/>
  <c r="L657" i="46"/>
  <c r="L658" i="46"/>
  <c r="L659" i="46"/>
  <c r="L660" i="46"/>
  <c r="L661" i="46"/>
  <c r="L662" i="46"/>
  <c r="L663" i="46"/>
  <c r="L664" i="46"/>
  <c r="L665" i="46"/>
  <c r="L666" i="46"/>
  <c r="L667" i="46"/>
  <c r="L668" i="46"/>
  <c r="L669" i="46"/>
  <c r="L670" i="46"/>
  <c r="L671" i="46"/>
  <c r="L672" i="46"/>
  <c r="L673" i="46"/>
  <c r="L674" i="46"/>
  <c r="L675" i="46"/>
  <c r="L676" i="46"/>
  <c r="L677" i="46"/>
  <c r="L678" i="46"/>
  <c r="L679" i="46"/>
  <c r="L680" i="46"/>
  <c r="L681" i="46"/>
  <c r="L682" i="46"/>
  <c r="L683" i="46"/>
  <c r="L684" i="46"/>
  <c r="L685" i="46"/>
  <c r="L686" i="46"/>
  <c r="L687" i="46"/>
  <c r="L688" i="46"/>
  <c r="L689" i="46"/>
  <c r="L690" i="46"/>
  <c r="L691" i="46"/>
  <c r="L692" i="46"/>
  <c r="L693" i="46"/>
  <c r="L694" i="46"/>
  <c r="L695" i="46"/>
  <c r="L696" i="46"/>
  <c r="L697" i="46"/>
  <c r="L698" i="46"/>
  <c r="L699" i="46"/>
  <c r="L700" i="46"/>
  <c r="L701" i="46"/>
  <c r="L702" i="46"/>
  <c r="L703" i="46"/>
  <c r="L704" i="46"/>
  <c r="L705" i="46"/>
  <c r="L706" i="46"/>
  <c r="L707" i="46"/>
  <c r="L708" i="46"/>
  <c r="L709" i="46"/>
  <c r="L710" i="46"/>
  <c r="L711" i="46"/>
  <c r="L712" i="46"/>
  <c r="L713" i="46"/>
  <c r="L714" i="46"/>
  <c r="L715" i="46"/>
  <c r="L716" i="46"/>
  <c r="L717" i="46"/>
  <c r="L718" i="46"/>
  <c r="L719" i="46"/>
  <c r="L720" i="46"/>
  <c r="L721" i="46"/>
  <c r="L722" i="46"/>
  <c r="L723" i="46"/>
  <c r="L724" i="46"/>
  <c r="L725" i="46"/>
  <c r="L726" i="46"/>
  <c r="L727" i="46"/>
  <c r="L728" i="46"/>
  <c r="L729" i="46"/>
  <c r="L730" i="46"/>
  <c r="L731" i="46"/>
  <c r="L732" i="46"/>
  <c r="L733" i="46"/>
  <c r="L734" i="46"/>
  <c r="L735" i="46"/>
  <c r="L736" i="46"/>
  <c r="L737" i="46"/>
  <c r="L738" i="46"/>
  <c r="L739" i="46"/>
  <c r="L740" i="46"/>
  <c r="L741" i="46"/>
  <c r="L742" i="46"/>
  <c r="L743" i="46"/>
  <c r="L744" i="46"/>
  <c r="L745" i="46"/>
  <c r="L746" i="46"/>
  <c r="L747" i="46"/>
  <c r="L748" i="46"/>
  <c r="L749" i="46"/>
  <c r="L750" i="46"/>
  <c r="L751" i="46"/>
  <c r="L752" i="46"/>
  <c r="L753" i="46"/>
  <c r="L754" i="46"/>
  <c r="L755" i="46"/>
  <c r="L756" i="46"/>
  <c r="L757" i="46"/>
  <c r="L758" i="46"/>
  <c r="L759" i="46"/>
  <c r="L760" i="46"/>
  <c r="L761" i="46"/>
  <c r="L762" i="46"/>
  <c r="L763" i="46"/>
  <c r="L764" i="46"/>
  <c r="L765" i="46"/>
  <c r="L766" i="46"/>
  <c r="L767" i="46"/>
  <c r="L768" i="46"/>
  <c r="L769" i="46"/>
  <c r="L770" i="46"/>
  <c r="L771" i="46"/>
  <c r="L772" i="46"/>
  <c r="L773" i="46"/>
  <c r="L774" i="46"/>
  <c r="L775" i="46"/>
  <c r="L776" i="46"/>
  <c r="L777" i="46"/>
  <c r="L778" i="46"/>
  <c r="L779" i="46"/>
  <c r="L780" i="46"/>
  <c r="L781" i="46"/>
  <c r="L782" i="46"/>
  <c r="L783" i="46"/>
  <c r="L784" i="46"/>
  <c r="L785" i="46"/>
  <c r="L786" i="46"/>
  <c r="L787" i="46"/>
  <c r="L788" i="46"/>
  <c r="L789" i="46"/>
  <c r="L790" i="46"/>
  <c r="L791" i="46"/>
  <c r="L792" i="46"/>
  <c r="L793" i="46"/>
  <c r="L794" i="46"/>
  <c r="L795" i="46"/>
  <c r="L796" i="46"/>
  <c r="L797" i="46"/>
  <c r="L798" i="46"/>
  <c r="L799" i="46"/>
  <c r="L800" i="46"/>
  <c r="L801" i="46"/>
  <c r="L802" i="46"/>
  <c r="L803" i="46"/>
  <c r="L804" i="46"/>
  <c r="L805" i="46"/>
  <c r="L806" i="46"/>
  <c r="L807" i="46"/>
  <c r="L808" i="46"/>
  <c r="L809" i="46"/>
  <c r="L810" i="46"/>
  <c r="L811" i="46"/>
  <c r="L812" i="46"/>
  <c r="L813" i="46"/>
  <c r="L814" i="46"/>
  <c r="L815" i="46"/>
  <c r="L816" i="46"/>
  <c r="L817" i="46"/>
  <c r="L818" i="46"/>
  <c r="L819" i="46"/>
  <c r="L820" i="46"/>
  <c r="L821" i="46"/>
  <c r="L822" i="46"/>
  <c r="L823" i="46"/>
  <c r="L824" i="46"/>
  <c r="L825" i="46"/>
  <c r="L826" i="46"/>
  <c r="L827" i="46"/>
  <c r="L828" i="46"/>
  <c r="L829" i="46"/>
  <c r="L830" i="46"/>
  <c r="L5" i="46"/>
  <c r="O721" i="46" l="1"/>
  <c r="S779" i="45" l="1"/>
  <c r="S778" i="45"/>
  <c r="S777" i="45"/>
  <c r="S776" i="45"/>
  <c r="S775" i="45"/>
  <c r="S774" i="45"/>
  <c r="S773" i="45"/>
  <c r="S772" i="45"/>
  <c r="S771" i="45"/>
  <c r="S770" i="45"/>
  <c r="S769" i="45"/>
  <c r="S768" i="45"/>
  <c r="S767" i="45"/>
  <c r="S766" i="45"/>
  <c r="S765" i="45"/>
  <c r="S764" i="45"/>
  <c r="S763" i="45"/>
  <c r="S762" i="45"/>
  <c r="S761" i="45"/>
  <c r="S760" i="45"/>
  <c r="S759" i="45"/>
  <c r="S758" i="45"/>
  <c r="S757" i="45"/>
  <c r="S756" i="45"/>
  <c r="S755" i="45"/>
  <c r="S754" i="45"/>
  <c r="S753" i="45"/>
  <c r="S752" i="45"/>
  <c r="S751" i="45"/>
  <c r="S750" i="45"/>
  <c r="S749" i="45"/>
  <c r="S748" i="45"/>
  <c r="S747" i="45"/>
  <c r="S746" i="45"/>
  <c r="S745" i="45"/>
  <c r="S744" i="45"/>
  <c r="S743" i="45"/>
  <c r="S742" i="45"/>
  <c r="S741" i="45"/>
  <c r="S740" i="45"/>
  <c r="S739" i="45"/>
  <c r="S738" i="45"/>
  <c r="S737" i="45"/>
  <c r="S736" i="45"/>
  <c r="S735" i="45"/>
  <c r="S734" i="45"/>
  <c r="S733" i="45"/>
  <c r="S732" i="45"/>
  <c r="S731" i="45"/>
  <c r="S730" i="45"/>
  <c r="S729" i="45"/>
  <c r="S728" i="45"/>
  <c r="S727" i="45"/>
  <c r="S726" i="45"/>
  <c r="S725" i="45"/>
  <c r="S724" i="45"/>
  <c r="S723" i="45"/>
  <c r="S722" i="45"/>
  <c r="S721" i="45"/>
  <c r="S720" i="45"/>
  <c r="S719" i="45"/>
  <c r="S718" i="45"/>
  <c r="S717" i="45"/>
  <c r="S716" i="45"/>
  <c r="S715" i="45"/>
  <c r="S714" i="45"/>
  <c r="S713" i="45"/>
  <c r="S712" i="45"/>
  <c r="S711" i="45"/>
  <c r="S710" i="45"/>
  <c r="S709" i="45"/>
  <c r="S708" i="45"/>
  <c r="S707" i="45"/>
  <c r="S706" i="45"/>
  <c r="S705" i="45"/>
  <c r="S704" i="45"/>
  <c r="S703" i="45"/>
  <c r="S702" i="45"/>
  <c r="S701" i="45"/>
  <c r="S700" i="45"/>
  <c r="S699" i="45"/>
  <c r="S698" i="45"/>
  <c r="S697" i="45"/>
  <c r="S696" i="45"/>
  <c r="S695" i="45"/>
  <c r="S694" i="45"/>
  <c r="S693" i="45"/>
  <c r="S692" i="45"/>
  <c r="S691" i="45"/>
  <c r="S690" i="45"/>
  <c r="S689" i="45"/>
  <c r="S688" i="45"/>
  <c r="V687" i="45"/>
  <c r="S686" i="45"/>
  <c r="S685" i="45"/>
  <c r="S684" i="45"/>
  <c r="S683" i="45"/>
  <c r="S682" i="45"/>
  <c r="S681" i="45"/>
  <c r="S680" i="45"/>
  <c r="S679" i="45"/>
  <c r="S678" i="45"/>
  <c r="S677" i="45"/>
  <c r="S676" i="45"/>
  <c r="S675" i="45"/>
  <c r="S674" i="45"/>
  <c r="S673" i="45"/>
  <c r="S672" i="45"/>
  <c r="S671" i="45"/>
  <c r="S670" i="45"/>
  <c r="S669" i="45"/>
  <c r="S668" i="45"/>
  <c r="S667" i="45"/>
  <c r="S666" i="45"/>
  <c r="S665" i="45"/>
  <c r="S664" i="45"/>
  <c r="S663" i="45"/>
  <c r="S662" i="45"/>
  <c r="S661" i="45"/>
  <c r="S660" i="45"/>
  <c r="W659" i="45"/>
  <c r="S659" i="45"/>
  <c r="W658" i="45"/>
  <c r="S658" i="45"/>
  <c r="S657" i="45"/>
  <c r="V656" i="45"/>
  <c r="W657" i="45" s="1"/>
  <c r="S656" i="45"/>
  <c r="S655" i="45"/>
  <c r="S654" i="45"/>
  <c r="T653" i="45"/>
  <c r="S653" i="45"/>
  <c r="S652" i="45"/>
  <c r="S651" i="45"/>
  <c r="S650" i="45"/>
  <c r="S649" i="45"/>
  <c r="S648" i="45"/>
  <c r="S647" i="45"/>
  <c r="S646" i="45"/>
  <c r="S645" i="45"/>
  <c r="S644" i="45"/>
  <c r="S643" i="45"/>
  <c r="S642" i="45"/>
  <c r="AV641" i="45"/>
  <c r="S641" i="45"/>
  <c r="AV640" i="45"/>
  <c r="S640" i="45"/>
  <c r="AV639" i="45"/>
  <c r="S639" i="45"/>
  <c r="AV638" i="45"/>
  <c r="S638" i="45"/>
  <c r="AV637" i="45"/>
  <c r="S637" i="45"/>
  <c r="AV636" i="45"/>
  <c r="S636" i="45"/>
  <c r="AV635" i="45"/>
  <c r="S635" i="45"/>
  <c r="AV634" i="45"/>
  <c r="S634" i="45"/>
  <c r="AV633" i="45"/>
  <c r="S633" i="45"/>
  <c r="AV632" i="45"/>
  <c r="S632" i="45"/>
  <c r="AV631" i="45"/>
  <c r="S631" i="45"/>
  <c r="AV630" i="45"/>
  <c r="S630" i="45"/>
  <c r="AV629" i="45"/>
  <c r="S629" i="45"/>
  <c r="AV628" i="45"/>
  <c r="S628" i="45"/>
  <c r="AV627" i="45"/>
  <c r="S627" i="45"/>
  <c r="AV626" i="45"/>
  <c r="S626" i="45"/>
  <c r="AV625" i="45"/>
  <c r="S625" i="45"/>
  <c r="AV624" i="45"/>
  <c r="S624" i="45"/>
  <c r="AV623" i="45"/>
  <c r="S623" i="45"/>
  <c r="AV622" i="45"/>
  <c r="S622" i="45"/>
  <c r="AV621" i="45"/>
  <c r="S621" i="45"/>
  <c r="AV620" i="45"/>
  <c r="S620" i="45"/>
  <c r="AV619" i="45"/>
  <c r="S619" i="45"/>
  <c r="AV618" i="45"/>
  <c r="S618" i="45"/>
  <c r="AV617" i="45"/>
  <c r="S617" i="45"/>
  <c r="AV616" i="45"/>
  <c r="S616" i="45"/>
  <c r="AV615" i="45"/>
  <c r="S615" i="45"/>
  <c r="AV614" i="45"/>
  <c r="S614" i="45"/>
  <c r="AV613" i="45"/>
  <c r="S613" i="45"/>
  <c r="AV612" i="45"/>
  <c r="S612" i="45"/>
  <c r="AV611" i="45"/>
  <c r="S611" i="45"/>
  <c r="AV610" i="45"/>
  <c r="S610" i="45"/>
  <c r="AV609" i="45"/>
  <c r="S609" i="45"/>
  <c r="AV608" i="45"/>
  <c r="S608" i="45"/>
  <c r="AV607" i="45"/>
  <c r="S607" i="45"/>
  <c r="AV606" i="45"/>
  <c r="S606" i="45"/>
  <c r="AV605" i="45"/>
  <c r="S605" i="45"/>
  <c r="AV604" i="45"/>
  <c r="S604" i="45"/>
  <c r="AV603" i="45"/>
  <c r="S603" i="45"/>
  <c r="AV602" i="45"/>
  <c r="S602" i="45"/>
  <c r="AV601" i="45"/>
  <c r="S601" i="45"/>
  <c r="AV600" i="45"/>
  <c r="S600" i="45"/>
  <c r="AV599" i="45"/>
  <c r="S599" i="45"/>
  <c r="AV598" i="45"/>
  <c r="S598" i="45"/>
  <c r="AV597" i="45"/>
  <c r="S597" i="45"/>
  <c r="AV596" i="45"/>
  <c r="S596" i="45"/>
  <c r="AV595" i="45"/>
  <c r="S595" i="45"/>
  <c r="AV594" i="45"/>
  <c r="S594" i="45"/>
  <c r="AV593" i="45"/>
  <c r="S593" i="45"/>
  <c r="AV592" i="45"/>
  <c r="S592" i="45"/>
  <c r="AV591" i="45"/>
  <c r="S591" i="45"/>
  <c r="AV590" i="45"/>
  <c r="S590" i="45"/>
  <c r="AV589" i="45"/>
  <c r="S589" i="45"/>
  <c r="AV588" i="45"/>
  <c r="S588" i="45"/>
  <c r="AV587" i="45"/>
  <c r="S587" i="45"/>
  <c r="AV586" i="45"/>
  <c r="S586" i="45"/>
  <c r="AV585" i="45"/>
  <c r="S585" i="45"/>
  <c r="AV584" i="45"/>
  <c r="S584" i="45"/>
  <c r="AV583" i="45"/>
  <c r="S583" i="45"/>
  <c r="AV582" i="45"/>
  <c r="S582" i="45"/>
  <c r="AV581" i="45"/>
  <c r="S581" i="45"/>
  <c r="AV580" i="45"/>
  <c r="S580" i="45"/>
  <c r="AV579" i="45"/>
  <c r="S579" i="45"/>
  <c r="AV578" i="45"/>
  <c r="S578" i="45"/>
  <c r="AV577" i="45"/>
  <c r="S577" i="45"/>
  <c r="AV576" i="45"/>
  <c r="S576" i="45"/>
  <c r="AV575" i="45"/>
  <c r="S575" i="45"/>
  <c r="AV574" i="45"/>
  <c r="S574" i="45"/>
  <c r="AV573" i="45"/>
  <c r="S573" i="45"/>
  <c r="AV572" i="45"/>
  <c r="S572" i="45"/>
  <c r="AV571" i="45"/>
  <c r="S571" i="45"/>
  <c r="AV570" i="45"/>
  <c r="S570" i="45"/>
  <c r="AV569" i="45"/>
  <c r="S569" i="45"/>
  <c r="AV568" i="45"/>
  <c r="S568" i="45"/>
  <c r="AV567" i="45"/>
  <c r="S567" i="45"/>
  <c r="AV566" i="45"/>
  <c r="S566" i="45"/>
  <c r="AV565" i="45"/>
  <c r="S565" i="45"/>
  <c r="AV564" i="45"/>
  <c r="S564" i="45"/>
  <c r="AV563" i="45"/>
  <c r="S563" i="45"/>
  <c r="AV562" i="45"/>
  <c r="S562" i="45"/>
  <c r="AV561" i="45"/>
  <c r="S561" i="45"/>
  <c r="AV560" i="45"/>
  <c r="S560" i="45"/>
  <c r="AV559" i="45"/>
  <c r="S559" i="45"/>
  <c r="AV558" i="45"/>
  <c r="S558" i="45"/>
  <c r="AV557" i="45"/>
  <c r="S557" i="45"/>
  <c r="AV556" i="45"/>
  <c r="S556" i="45"/>
  <c r="AV555" i="45"/>
  <c r="S555" i="45"/>
  <c r="AV554" i="45"/>
  <c r="S554" i="45"/>
  <c r="AV553" i="45"/>
  <c r="S553" i="45"/>
  <c r="AV552" i="45"/>
  <c r="S552" i="45"/>
  <c r="AV551" i="45"/>
  <c r="S551" i="45"/>
  <c r="AV550" i="45"/>
  <c r="S550" i="45"/>
  <c r="AV549" i="45"/>
  <c r="S549" i="45"/>
  <c r="AV548" i="45"/>
  <c r="S548" i="45"/>
  <c r="AV547" i="45"/>
  <c r="S547" i="45"/>
  <c r="AV546" i="45"/>
  <c r="S546" i="45"/>
  <c r="AV545" i="45"/>
  <c r="S545" i="45"/>
  <c r="AV544" i="45"/>
  <c r="S544" i="45"/>
  <c r="AV543" i="45"/>
  <c r="S543" i="45"/>
  <c r="AV542" i="45"/>
  <c r="S542" i="45"/>
  <c r="AV541" i="45"/>
  <c r="S541" i="45"/>
  <c r="AV540" i="45"/>
  <c r="S540" i="45"/>
  <c r="AV539" i="45"/>
  <c r="S539" i="45"/>
  <c r="AV538" i="45"/>
  <c r="S538" i="45"/>
  <c r="AV537" i="45"/>
  <c r="S537" i="45"/>
  <c r="AV536" i="45"/>
  <c r="S536" i="45"/>
  <c r="AV535" i="45"/>
  <c r="S535" i="45"/>
  <c r="AV534" i="45"/>
  <c r="S534" i="45"/>
  <c r="AV533" i="45"/>
  <c r="S533" i="45"/>
  <c r="AV532" i="45"/>
  <c r="S532" i="45"/>
  <c r="AV531" i="45"/>
  <c r="S531" i="45"/>
  <c r="AV530" i="45"/>
  <c r="S530" i="45"/>
  <c r="AV529" i="45"/>
  <c r="S529" i="45"/>
  <c r="AV528" i="45"/>
  <c r="S528" i="45"/>
  <c r="AV527" i="45"/>
  <c r="S527" i="45"/>
  <c r="AV526" i="45"/>
  <c r="S526" i="45"/>
  <c r="AV525" i="45"/>
  <c r="S525" i="45"/>
  <c r="AV524" i="45"/>
  <c r="S524" i="45"/>
  <c r="AV523" i="45"/>
  <c r="S523" i="45"/>
  <c r="AV522" i="45"/>
  <c r="S522" i="45"/>
  <c r="AV521" i="45"/>
  <c r="S521" i="45"/>
  <c r="AV520" i="45"/>
  <c r="S520" i="45"/>
  <c r="AV519" i="45"/>
  <c r="S519" i="45"/>
  <c r="AV518" i="45"/>
  <c r="S518" i="45"/>
  <c r="AV517" i="45"/>
  <c r="S517" i="45"/>
  <c r="AV516" i="45"/>
  <c r="S516" i="45"/>
  <c r="AV515" i="45"/>
  <c r="S515" i="45"/>
  <c r="AV514" i="45"/>
  <c r="S514" i="45"/>
  <c r="AV513" i="45"/>
  <c r="S513" i="45"/>
  <c r="AV512" i="45"/>
  <c r="S512" i="45"/>
  <c r="AV511" i="45"/>
  <c r="S511" i="45"/>
  <c r="AV510" i="45"/>
  <c r="S510" i="45"/>
  <c r="AV509" i="45"/>
  <c r="S509" i="45"/>
  <c r="AV508" i="45"/>
  <c r="S508" i="45"/>
  <c r="AV507" i="45"/>
  <c r="S507" i="45"/>
  <c r="S504" i="45"/>
  <c r="S503" i="45"/>
  <c r="S502" i="45"/>
  <c r="S501" i="45"/>
  <c r="S500" i="45"/>
  <c r="S499" i="45"/>
  <c r="S498" i="45"/>
  <c r="S497" i="45"/>
  <c r="S496" i="45"/>
  <c r="S495" i="45"/>
  <c r="S494" i="45"/>
  <c r="S493" i="45"/>
  <c r="S492" i="45"/>
  <c r="S491" i="45"/>
  <c r="S490" i="45"/>
  <c r="S489" i="45"/>
  <c r="S488" i="45"/>
  <c r="AL487" i="45"/>
  <c r="S487" i="45"/>
  <c r="AL486" i="45"/>
  <c r="S486" i="45"/>
  <c r="AL485" i="45"/>
  <c r="S485" i="45"/>
  <c r="AL484" i="45"/>
  <c r="S484" i="45"/>
  <c r="AL483" i="45"/>
  <c r="S483" i="45"/>
  <c r="AL482" i="45"/>
  <c r="S482" i="45"/>
  <c r="AL481" i="45"/>
  <c r="S481" i="45"/>
  <c r="AL480" i="45"/>
  <c r="S480" i="45"/>
  <c r="AL479" i="45"/>
  <c r="S479" i="45"/>
  <c r="AL478" i="45"/>
  <c r="S478" i="45"/>
  <c r="AL477" i="45"/>
  <c r="S477" i="45"/>
  <c r="AL476" i="45"/>
  <c r="S476" i="45"/>
  <c r="AL475" i="45"/>
  <c r="S475" i="45"/>
  <c r="AL474" i="45"/>
  <c r="S474" i="45"/>
  <c r="AL473" i="45"/>
  <c r="S473" i="45"/>
  <c r="AL472" i="45"/>
  <c r="S472" i="45"/>
  <c r="AL471" i="45"/>
  <c r="S471" i="45"/>
  <c r="AL470" i="45"/>
  <c r="S470" i="45"/>
  <c r="AL469" i="45"/>
  <c r="S469" i="45"/>
  <c r="AL468" i="45"/>
  <c r="S468" i="45"/>
  <c r="AL467" i="45"/>
  <c r="S467" i="45"/>
  <c r="AL466" i="45"/>
  <c r="S466" i="45"/>
  <c r="AL465" i="45"/>
  <c r="S465" i="45"/>
  <c r="AL464" i="45"/>
  <c r="S464" i="45"/>
  <c r="AL463" i="45"/>
  <c r="S463" i="45"/>
  <c r="AL462" i="45"/>
  <c r="S462" i="45"/>
  <c r="AL461" i="45"/>
  <c r="S461" i="45"/>
  <c r="AL460" i="45"/>
  <c r="S460" i="45"/>
  <c r="AL459" i="45"/>
  <c r="S459" i="45"/>
  <c r="AL458" i="45"/>
  <c r="S458" i="45"/>
  <c r="AL457" i="45"/>
  <c r="S457" i="45"/>
  <c r="AL456" i="45"/>
  <c r="S456" i="45"/>
  <c r="AL455" i="45"/>
  <c r="S455" i="45"/>
  <c r="S454" i="45"/>
  <c r="S453" i="45"/>
  <c r="S452" i="45"/>
  <c r="S451" i="45"/>
  <c r="AL450" i="45"/>
  <c r="S450" i="45"/>
  <c r="AL449" i="45"/>
  <c r="S449" i="45"/>
  <c r="AL448" i="45"/>
  <c r="S448" i="45"/>
  <c r="AL447" i="45"/>
  <c r="S447" i="45"/>
  <c r="AL446" i="45"/>
  <c r="S446" i="45"/>
  <c r="AL445" i="45"/>
  <c r="S445" i="45"/>
  <c r="AL444" i="45"/>
  <c r="S444" i="45"/>
  <c r="AL443" i="45"/>
  <c r="S443" i="45"/>
  <c r="AL442" i="45"/>
  <c r="S442" i="45"/>
  <c r="AL441" i="45"/>
  <c r="S441" i="45"/>
  <c r="AL440" i="45"/>
  <c r="S440" i="45"/>
  <c r="AL439" i="45"/>
  <c r="S439" i="45"/>
  <c r="AL438" i="45"/>
  <c r="S438" i="45"/>
  <c r="AL437" i="45"/>
  <c r="S437" i="45"/>
  <c r="AL436" i="45"/>
  <c r="S436" i="45"/>
  <c r="AL435" i="45"/>
  <c r="S435" i="45"/>
  <c r="AL434" i="45"/>
  <c r="S434" i="45"/>
  <c r="AL433" i="45"/>
  <c r="S433" i="45"/>
  <c r="AL432" i="45"/>
  <c r="S432" i="45"/>
  <c r="AL431" i="45"/>
  <c r="S431" i="45"/>
  <c r="AL430" i="45"/>
  <c r="S430" i="45"/>
  <c r="AL429" i="45"/>
  <c r="S429" i="45"/>
  <c r="AL428" i="45"/>
  <c r="S428" i="45"/>
  <c r="AL427" i="45"/>
  <c r="S427" i="45"/>
  <c r="AL426" i="45"/>
  <c r="S426" i="45"/>
  <c r="AL425" i="45"/>
  <c r="S425" i="45"/>
  <c r="AL424" i="45"/>
  <c r="S424" i="45"/>
  <c r="AL423" i="45"/>
  <c r="S423" i="45"/>
  <c r="AL422" i="45"/>
  <c r="S422" i="45"/>
  <c r="AL421" i="45"/>
  <c r="S421" i="45"/>
  <c r="AL420" i="45"/>
  <c r="S420" i="45"/>
  <c r="AL419" i="45"/>
  <c r="S419" i="45"/>
  <c r="AL418" i="45"/>
  <c r="S418" i="45"/>
  <c r="AL417" i="45"/>
  <c r="S417" i="45"/>
  <c r="AL416" i="45"/>
  <c r="S416" i="45"/>
  <c r="AL415" i="45"/>
  <c r="S415" i="45"/>
  <c r="AL414" i="45"/>
  <c r="S414" i="45"/>
  <c r="AL413" i="45"/>
  <c r="S413" i="45"/>
  <c r="AL412" i="45"/>
  <c r="S412" i="45"/>
  <c r="AL411" i="45"/>
  <c r="S411" i="45"/>
  <c r="AL410" i="45"/>
  <c r="S410" i="45"/>
  <c r="AL409" i="45"/>
  <c r="S409" i="45"/>
  <c r="AL408" i="45"/>
  <c r="S408" i="45"/>
  <c r="AL407" i="45"/>
  <c r="S407" i="45"/>
  <c r="S406" i="45"/>
  <c r="S405" i="45"/>
  <c r="S404" i="45"/>
  <c r="AL403" i="45"/>
  <c r="S403" i="45"/>
  <c r="AL402" i="45"/>
  <c r="S402" i="45"/>
  <c r="AL401" i="45"/>
  <c r="S401" i="45"/>
  <c r="AL400" i="45"/>
  <c r="S400" i="45"/>
  <c r="AL399" i="45"/>
  <c r="S399" i="45"/>
  <c r="AL398" i="45"/>
  <c r="S398" i="45"/>
  <c r="AL397" i="45"/>
  <c r="S397" i="45"/>
  <c r="AL396" i="45"/>
  <c r="S396" i="45"/>
  <c r="AL395" i="45"/>
  <c r="S395" i="45"/>
  <c r="AL394" i="45"/>
  <c r="S394" i="45"/>
  <c r="AL393" i="45"/>
  <c r="S393" i="45"/>
  <c r="T389" i="45"/>
  <c r="S388" i="45"/>
  <c r="S387" i="45"/>
  <c r="S386" i="45"/>
  <c r="S385" i="45"/>
  <c r="S384" i="45"/>
  <c r="S383" i="45"/>
  <c r="S382" i="45"/>
  <c r="S381" i="45"/>
  <c r="S380" i="45"/>
  <c r="S379" i="45"/>
  <c r="S378" i="45"/>
  <c r="S377" i="45"/>
  <c r="S376" i="45"/>
  <c r="S375" i="45"/>
  <c r="S374" i="45"/>
  <c r="S373" i="45"/>
  <c r="S372" i="45"/>
  <c r="S371" i="45"/>
  <c r="S370" i="45"/>
  <c r="S369" i="45"/>
  <c r="S368" i="45"/>
  <c r="S367" i="45"/>
  <c r="S366" i="45"/>
  <c r="S365" i="45"/>
  <c r="S364" i="45"/>
  <c r="S363" i="45"/>
  <c r="S362" i="45"/>
  <c r="S361" i="45"/>
  <c r="S360" i="45"/>
  <c r="S359" i="45"/>
  <c r="S358" i="45"/>
  <c r="S357" i="45"/>
  <c r="S356" i="45"/>
  <c r="S355" i="45"/>
  <c r="S354" i="45"/>
  <c r="S353" i="45"/>
  <c r="S352" i="45"/>
  <c r="S351" i="45"/>
  <c r="S350" i="45"/>
  <c r="S349" i="45"/>
  <c r="S348" i="45"/>
  <c r="S347" i="45"/>
  <c r="S346" i="45"/>
  <c r="S345" i="45"/>
  <c r="S344" i="45"/>
  <c r="S343" i="45"/>
  <c r="S342" i="45"/>
  <c r="S341" i="45"/>
  <c r="S340" i="45"/>
  <c r="S339" i="45"/>
  <c r="S338" i="45"/>
  <c r="S337" i="45"/>
  <c r="S336" i="45"/>
  <c r="S335" i="45"/>
  <c r="S334" i="45"/>
  <c r="S333" i="45"/>
  <c r="S332" i="45"/>
  <c r="S331" i="45"/>
  <c r="S330" i="45"/>
  <c r="S329" i="45"/>
  <c r="S328" i="45"/>
  <c r="S327" i="45"/>
  <c r="S326" i="45"/>
  <c r="S325" i="45"/>
  <c r="S324" i="45"/>
  <c r="S323" i="45"/>
  <c r="S322" i="45"/>
  <c r="S321" i="45"/>
  <c r="S320" i="45"/>
  <c r="S319" i="45"/>
  <c r="S318" i="45"/>
  <c r="S317" i="45"/>
  <c r="S316" i="45"/>
  <c r="S315" i="45"/>
  <c r="S314" i="45"/>
  <c r="S313" i="45"/>
  <c r="S312" i="45"/>
  <c r="S311" i="45"/>
  <c r="S310" i="45"/>
  <c r="S309" i="45"/>
  <c r="S308" i="45"/>
  <c r="S307" i="45"/>
  <c r="S306" i="45"/>
  <c r="S305" i="45"/>
  <c r="S304" i="45"/>
  <c r="S303" i="45"/>
  <c r="S302" i="45"/>
  <c r="S301" i="45"/>
  <c r="S300" i="45"/>
  <c r="S299" i="45"/>
  <c r="S298" i="45"/>
  <c r="S297" i="45"/>
  <c r="S296" i="45"/>
  <c r="S295" i="45"/>
  <c r="S294" i="45"/>
  <c r="S293" i="45"/>
  <c r="S292" i="45"/>
  <c r="S291" i="45"/>
  <c r="S290" i="45"/>
  <c r="S289" i="45"/>
  <c r="S288" i="45"/>
  <c r="S287" i="45"/>
  <c r="S286" i="45"/>
  <c r="S285" i="45"/>
  <c r="S284" i="45"/>
  <c r="S283" i="45"/>
  <c r="S282" i="45"/>
  <c r="S281" i="45"/>
  <c r="S280" i="45"/>
  <c r="S279" i="45"/>
  <c r="S278" i="45"/>
  <c r="S277" i="45"/>
  <c r="S276" i="45"/>
  <c r="S275" i="45"/>
  <c r="S274" i="45"/>
  <c r="S273" i="45"/>
  <c r="S272" i="45"/>
  <c r="S271" i="45"/>
  <c r="S270" i="45"/>
  <c r="S269" i="45"/>
  <c r="S268" i="45"/>
  <c r="S267" i="45"/>
  <c r="S266" i="45"/>
  <c r="S265" i="45"/>
  <c r="S264" i="45"/>
  <c r="S263" i="45"/>
  <c r="S262" i="45"/>
  <c r="S261" i="45"/>
  <c r="S260" i="45"/>
  <c r="S259" i="45"/>
  <c r="S258" i="45"/>
  <c r="S257" i="45"/>
  <c r="S256" i="45"/>
  <c r="S255" i="45"/>
  <c r="S254" i="45"/>
  <c r="S253" i="45"/>
  <c r="S252" i="45"/>
  <c r="S251" i="45"/>
  <c r="S250" i="45"/>
  <c r="S249" i="45"/>
  <c r="S248" i="45"/>
  <c r="S247" i="45"/>
  <c r="S246" i="45"/>
  <c r="S245" i="45"/>
  <c r="S244" i="45"/>
  <c r="S243" i="45"/>
  <c r="S242" i="45"/>
  <c r="S241" i="45"/>
  <c r="S240" i="45"/>
  <c r="S239" i="45"/>
  <c r="S238" i="45"/>
  <c r="S237" i="45"/>
  <c r="S236" i="45"/>
  <c r="S235" i="45"/>
  <c r="S234" i="45"/>
  <c r="S233" i="45"/>
  <c r="S232" i="45"/>
  <c r="S231" i="45"/>
  <c r="S230" i="45"/>
  <c r="S229" i="45"/>
  <c r="S228" i="45"/>
  <c r="S227" i="45"/>
  <c r="S226" i="45"/>
  <c r="S225" i="45"/>
  <c r="S224" i="45"/>
  <c r="S223" i="45"/>
  <c r="S222" i="45"/>
  <c r="S221" i="45"/>
  <c r="S220" i="45"/>
  <c r="S219" i="45"/>
  <c r="S218" i="45"/>
  <c r="S217" i="45"/>
  <c r="S216" i="45"/>
  <c r="S215" i="45"/>
  <c r="S214" i="45"/>
  <c r="S213" i="45"/>
  <c r="S212" i="45"/>
  <c r="S211" i="45"/>
  <c r="S210" i="45"/>
  <c r="S209" i="45"/>
  <c r="S208" i="45"/>
  <c r="S207" i="45"/>
  <c r="S206" i="45"/>
  <c r="S205" i="45"/>
  <c r="S204" i="45"/>
  <c r="S203" i="45"/>
  <c r="S202" i="45"/>
  <c r="S201" i="45"/>
  <c r="S200" i="45"/>
  <c r="S199" i="45"/>
  <c r="S198" i="45"/>
  <c r="S197" i="45"/>
  <c r="S196" i="45"/>
  <c r="S195" i="45"/>
  <c r="S194" i="45"/>
  <c r="S193" i="45"/>
  <c r="S192" i="45"/>
  <c r="S191" i="45"/>
  <c r="S190" i="45"/>
  <c r="S189" i="45"/>
  <c r="S188" i="45"/>
  <c r="S187" i="45"/>
  <c r="S186" i="45"/>
  <c r="S185" i="45"/>
  <c r="S184" i="45"/>
  <c r="S183" i="45"/>
  <c r="S182" i="45"/>
  <c r="S181" i="45"/>
  <c r="S180" i="45"/>
  <c r="S179" i="45"/>
  <c r="S178" i="45"/>
  <c r="S177" i="45"/>
  <c r="S176" i="45"/>
  <c r="S175" i="45"/>
  <c r="S174" i="45"/>
  <c r="S173" i="45"/>
  <c r="S172" i="45"/>
  <c r="S171" i="45"/>
  <c r="S170" i="45"/>
  <c r="S169" i="45"/>
  <c r="S168" i="45"/>
  <c r="S167" i="45"/>
  <c r="S166" i="45"/>
  <c r="S165" i="45"/>
  <c r="S164" i="45"/>
  <c r="S163" i="45"/>
  <c r="S162" i="45"/>
  <c r="S161" i="45"/>
  <c r="S160" i="45"/>
  <c r="S159" i="45"/>
  <c r="S158" i="45"/>
  <c r="S157" i="45"/>
  <c r="S156" i="45"/>
  <c r="S155" i="45"/>
  <c r="S154" i="45"/>
  <c r="S153" i="45"/>
  <c r="S152" i="45"/>
  <c r="S151" i="45"/>
  <c r="S150" i="45"/>
  <c r="S149" i="45"/>
  <c r="S148" i="45"/>
  <c r="S147" i="45"/>
  <c r="S146" i="45"/>
  <c r="S145" i="45"/>
  <c r="S144" i="45"/>
  <c r="S143" i="45"/>
  <c r="S142" i="45"/>
  <c r="S141" i="45"/>
  <c r="S140" i="45"/>
  <c r="S139" i="45"/>
  <c r="S138" i="45"/>
  <c r="S137" i="45"/>
  <c r="S136" i="45"/>
  <c r="S135" i="45"/>
  <c r="S134" i="45"/>
  <c r="S133" i="45"/>
  <c r="S132" i="45"/>
  <c r="S131" i="45"/>
  <c r="S130" i="45"/>
  <c r="S129" i="45"/>
  <c r="S128" i="45"/>
  <c r="S127" i="45"/>
  <c r="S126" i="45"/>
  <c r="S125" i="45"/>
  <c r="S124" i="45"/>
  <c r="S123" i="45"/>
  <c r="S122" i="45"/>
  <c r="S121" i="45"/>
  <c r="S120" i="45"/>
  <c r="S119" i="45"/>
  <c r="S118" i="45"/>
  <c r="S117" i="45"/>
  <c r="S116" i="45"/>
  <c r="S115" i="45"/>
  <c r="S114" i="45"/>
  <c r="S113" i="45"/>
  <c r="S112" i="45"/>
  <c r="S111" i="45"/>
  <c r="S110" i="45"/>
  <c r="S109" i="45"/>
  <c r="S108" i="45"/>
  <c r="S107" i="45"/>
  <c r="S106" i="45"/>
  <c r="S105" i="45"/>
  <c r="S104" i="45"/>
  <c r="S103" i="45"/>
  <c r="S102" i="45"/>
  <c r="S101" i="45"/>
  <c r="S100" i="45"/>
  <c r="S99" i="45"/>
  <c r="S98" i="45"/>
  <c r="S97" i="45"/>
  <c r="S96" i="45"/>
  <c r="S95" i="45"/>
  <c r="S94" i="45"/>
  <c r="S93" i="45"/>
  <c r="S92" i="45"/>
  <c r="S91" i="45"/>
  <c r="S90" i="45"/>
  <c r="S89" i="45"/>
  <c r="S88" i="45"/>
  <c r="S87" i="45"/>
  <c r="S86" i="45"/>
  <c r="S85" i="45"/>
  <c r="S84" i="45"/>
  <c r="S83" i="45"/>
  <c r="S82" i="45"/>
  <c r="S81" i="45"/>
  <c r="S80" i="45"/>
  <c r="S79" i="45"/>
  <c r="S78" i="45"/>
  <c r="S77" i="45"/>
  <c r="S76" i="45"/>
  <c r="S75" i="45"/>
  <c r="S74" i="45"/>
  <c r="S73" i="45"/>
  <c r="S72" i="45"/>
  <c r="S71" i="45"/>
  <c r="S70" i="45"/>
  <c r="S69" i="45"/>
  <c r="S68" i="45"/>
  <c r="S67" i="45"/>
  <c r="S66" i="45"/>
  <c r="S65" i="45"/>
  <c r="S64" i="45"/>
  <c r="S63" i="45"/>
  <c r="S62" i="45"/>
  <c r="S61" i="45"/>
  <c r="S60" i="45"/>
  <c r="S59" i="45"/>
  <c r="S58" i="45"/>
  <c r="S57" i="45"/>
  <c r="S56" i="45"/>
  <c r="S55" i="45"/>
  <c r="S54" i="45"/>
  <c r="S53" i="45"/>
  <c r="S52" i="45"/>
  <c r="S51" i="45"/>
  <c r="S50" i="45"/>
  <c r="S49" i="45"/>
  <c r="S48" i="45"/>
  <c r="S47" i="45"/>
  <c r="S46" i="45"/>
  <c r="S45" i="45"/>
  <c r="S44" i="45"/>
  <c r="S43" i="45"/>
  <c r="S42" i="45"/>
  <c r="S41" i="45"/>
  <c r="S40" i="45"/>
  <c r="S39" i="45"/>
  <c r="S38" i="45"/>
  <c r="S37" i="45"/>
  <c r="S36" i="45"/>
  <c r="S35" i="45"/>
  <c r="S34" i="45"/>
  <c r="S33" i="45"/>
  <c r="S32" i="45"/>
  <c r="S31" i="45"/>
  <c r="S30" i="45"/>
  <c r="S29" i="45"/>
  <c r="T28" i="45"/>
  <c r="T29" i="45" s="1"/>
  <c r="S28" i="45"/>
  <c r="S27" i="45"/>
  <c r="S26" i="45"/>
  <c r="S25" i="45"/>
  <c r="S24" i="45"/>
  <c r="S23" i="45"/>
  <c r="S22" i="45"/>
  <c r="S21" i="45"/>
  <c r="S20" i="45"/>
  <c r="S19" i="45"/>
  <c r="S18" i="45"/>
  <c r="S17" i="45"/>
  <c r="S16" i="45"/>
  <c r="S15" i="45"/>
  <c r="S14" i="45"/>
  <c r="S13" i="45"/>
  <c r="S12" i="45"/>
  <c r="S11" i="45"/>
  <c r="S10" i="45"/>
  <c r="S9" i="45"/>
  <c r="S8" i="45"/>
  <c r="T7" i="45"/>
  <c r="T8" i="45" s="1"/>
  <c r="T9" i="45" s="1"/>
  <c r="S7" i="45"/>
  <c r="T6" i="45"/>
  <c r="U6" i="45" s="1"/>
  <c r="S6" i="45"/>
  <c r="K830" i="46"/>
  <c r="K829" i="46"/>
  <c r="K828" i="46"/>
  <c r="K827" i="46"/>
  <c r="K826" i="46"/>
  <c r="K825" i="46"/>
  <c r="K824" i="46"/>
  <c r="K823" i="46"/>
  <c r="K822" i="46"/>
  <c r="K821" i="46"/>
  <c r="K820" i="46"/>
  <c r="K819" i="46"/>
  <c r="K818" i="46"/>
  <c r="K817" i="46"/>
  <c r="K816" i="46"/>
  <c r="K815" i="46"/>
  <c r="K814" i="46"/>
  <c r="K813" i="46"/>
  <c r="K812" i="46"/>
  <c r="K811" i="46"/>
  <c r="K810" i="46"/>
  <c r="K809" i="46"/>
  <c r="K808" i="46"/>
  <c r="K807" i="46"/>
  <c r="K806" i="46"/>
  <c r="K805" i="46"/>
  <c r="K804" i="46"/>
  <c r="K803" i="46"/>
  <c r="K802" i="46"/>
  <c r="K801" i="46"/>
  <c r="K800" i="46"/>
  <c r="K799" i="46"/>
  <c r="K798" i="46"/>
  <c r="K797" i="46"/>
  <c r="K796" i="46"/>
  <c r="K795" i="46"/>
  <c r="K794" i="46"/>
  <c r="K793" i="46"/>
  <c r="K792" i="46"/>
  <c r="K791" i="46"/>
  <c r="K790" i="46"/>
  <c r="K789" i="46"/>
  <c r="K788" i="46"/>
  <c r="K787" i="46"/>
  <c r="K786" i="46"/>
  <c r="K785" i="46"/>
  <c r="K784" i="46"/>
  <c r="K783" i="46"/>
  <c r="K782" i="46"/>
  <c r="K781" i="46"/>
  <c r="K780" i="46"/>
  <c r="K779" i="46"/>
  <c r="K778" i="46"/>
  <c r="K777" i="46"/>
  <c r="K776" i="46"/>
  <c r="K775" i="46"/>
  <c r="K774" i="46"/>
  <c r="K773" i="46"/>
  <c r="K772" i="46"/>
  <c r="K771" i="46"/>
  <c r="K770" i="46"/>
  <c r="K769" i="46"/>
  <c r="K768" i="46"/>
  <c r="K767" i="46"/>
  <c r="K766" i="46"/>
  <c r="K765" i="46"/>
  <c r="K764" i="46"/>
  <c r="K763" i="46"/>
  <c r="K762" i="46"/>
  <c r="K761" i="46"/>
  <c r="K760" i="46"/>
  <c r="K759" i="46"/>
  <c r="K758" i="46"/>
  <c r="K757" i="46"/>
  <c r="K756" i="46"/>
  <c r="K755" i="46"/>
  <c r="K754" i="46"/>
  <c r="K753" i="46"/>
  <c r="K752" i="46"/>
  <c r="K751" i="46"/>
  <c r="K750" i="46"/>
  <c r="K749" i="46"/>
  <c r="K748" i="46"/>
  <c r="K747" i="46"/>
  <c r="K746" i="46"/>
  <c r="K745" i="46"/>
  <c r="K744" i="46"/>
  <c r="K743" i="46"/>
  <c r="K742" i="46"/>
  <c r="K741" i="46"/>
  <c r="K740" i="46"/>
  <c r="K739" i="46"/>
  <c r="K738" i="46"/>
  <c r="K737" i="46"/>
  <c r="K736" i="46"/>
  <c r="K735" i="46"/>
  <c r="K734" i="46"/>
  <c r="K733" i="46"/>
  <c r="K732" i="46"/>
  <c r="K731" i="46"/>
  <c r="K730" i="46"/>
  <c r="K729" i="46"/>
  <c r="K728" i="46"/>
  <c r="K727" i="46"/>
  <c r="K726" i="46"/>
  <c r="K725" i="46"/>
  <c r="K724" i="46"/>
  <c r="K723" i="46"/>
  <c r="K722" i="46"/>
  <c r="K721" i="46"/>
  <c r="K720" i="46"/>
  <c r="K719" i="46"/>
  <c r="K718" i="46"/>
  <c r="K717" i="46"/>
  <c r="K716" i="46"/>
  <c r="K715" i="46"/>
  <c r="K713" i="46"/>
  <c r="K710" i="46"/>
  <c r="K709" i="46"/>
  <c r="K708" i="46"/>
  <c r="K706" i="46"/>
  <c r="K705" i="46"/>
  <c r="K703" i="46"/>
  <c r="K702" i="46"/>
  <c r="K700" i="46"/>
  <c r="K698" i="46"/>
  <c r="K696" i="46"/>
  <c r="K688" i="46"/>
  <c r="K687" i="46"/>
  <c r="K686" i="46"/>
  <c r="K685" i="46"/>
  <c r="K684" i="46"/>
  <c r="K682" i="46"/>
  <c r="K681" i="46"/>
  <c r="K680" i="46"/>
  <c r="K679" i="46"/>
  <c r="K678" i="46"/>
  <c r="K677" i="46"/>
  <c r="K676" i="46"/>
  <c r="K675" i="46"/>
  <c r="K674" i="46"/>
  <c r="K673" i="46"/>
  <c r="K672" i="46"/>
  <c r="K671" i="46"/>
  <c r="K670" i="46"/>
  <c r="K669" i="46"/>
  <c r="K667" i="46"/>
  <c r="K666" i="46"/>
  <c r="K665" i="46"/>
  <c r="K664" i="46"/>
  <c r="K663" i="46"/>
  <c r="K661" i="46"/>
  <c r="K660" i="46"/>
  <c r="K659" i="46"/>
  <c r="K658" i="46"/>
  <c r="K657" i="46"/>
  <c r="K656" i="46"/>
  <c r="K655" i="46"/>
  <c r="K654" i="46"/>
  <c r="K648" i="46"/>
  <c r="K641" i="46"/>
  <c r="K640" i="46"/>
  <c r="K639" i="46"/>
  <c r="K638" i="46"/>
  <c r="K637" i="46"/>
  <c r="K636" i="46"/>
  <c r="K635" i="46"/>
  <c r="K634" i="46"/>
  <c r="K633" i="46"/>
  <c r="K632" i="46"/>
  <c r="K631" i="46"/>
  <c r="K630" i="46"/>
  <c r="K629" i="46"/>
  <c r="K628" i="46"/>
  <c r="K627" i="46"/>
  <c r="K626" i="46"/>
  <c r="K625" i="46"/>
  <c r="K624" i="46"/>
  <c r="K623" i="46"/>
  <c r="K622" i="46"/>
  <c r="K621" i="46"/>
  <c r="K620" i="46"/>
  <c r="K619" i="46"/>
  <c r="K618" i="46"/>
  <c r="K617" i="46"/>
  <c r="K616" i="46"/>
  <c r="K615" i="46"/>
  <c r="K614" i="46"/>
  <c r="K613" i="46"/>
  <c r="K612" i="46"/>
  <c r="K611" i="46"/>
  <c r="K610" i="46"/>
  <c r="K609" i="46"/>
  <c r="K608" i="46"/>
  <c r="K607" i="46"/>
  <c r="K606" i="46"/>
  <c r="K605" i="46"/>
  <c r="K604" i="46"/>
  <c r="K603" i="46"/>
  <c r="K602" i="46"/>
  <c r="K601" i="46"/>
  <c r="K600" i="46"/>
  <c r="K599" i="46"/>
  <c r="K598" i="46"/>
  <c r="K597" i="46"/>
  <c r="K596" i="46"/>
  <c r="K595" i="46"/>
  <c r="K594" i="46"/>
  <c r="K593" i="46"/>
  <c r="K592" i="46"/>
  <c r="K591" i="46"/>
  <c r="K590" i="46"/>
  <c r="K589" i="46"/>
  <c r="K588" i="46"/>
  <c r="K587" i="46"/>
  <c r="K586" i="46"/>
  <c r="K585" i="46"/>
  <c r="K584" i="46"/>
  <c r="K583" i="46"/>
  <c r="K582" i="46"/>
  <c r="K581" i="46"/>
  <c r="K580" i="46"/>
  <c r="K579" i="46"/>
  <c r="K578" i="46"/>
  <c r="K577" i="46"/>
  <c r="K576" i="46"/>
  <c r="K575" i="46"/>
  <c r="K574" i="46"/>
  <c r="K573" i="46"/>
  <c r="K572" i="46"/>
  <c r="K571" i="46"/>
  <c r="K570" i="46"/>
  <c r="K569" i="46"/>
  <c r="K568" i="46"/>
  <c r="K567" i="46"/>
  <c r="K566" i="46"/>
  <c r="K563" i="46"/>
  <c r="K562" i="46"/>
  <c r="K561" i="46"/>
  <c r="K560" i="46"/>
  <c r="K559" i="46"/>
  <c r="K558" i="46"/>
  <c r="K557" i="46"/>
  <c r="K556" i="46"/>
  <c r="K555" i="46"/>
  <c r="K554" i="46"/>
  <c r="K553" i="46"/>
  <c r="K552" i="46"/>
  <c r="K551" i="46"/>
  <c r="K550" i="46"/>
  <c r="K549" i="46"/>
  <c r="K547" i="46"/>
  <c r="K546" i="46"/>
  <c r="K545" i="46"/>
  <c r="K544" i="46"/>
  <c r="K543" i="46"/>
  <c r="K542" i="46"/>
  <c r="K541" i="46"/>
  <c r="K540" i="46"/>
  <c r="K539" i="46"/>
  <c r="K538" i="46"/>
  <c r="K537" i="46"/>
  <c r="K536" i="46"/>
  <c r="K535" i="46"/>
  <c r="K534" i="46"/>
  <c r="K533" i="46"/>
  <c r="K532" i="46"/>
  <c r="K531" i="46"/>
  <c r="K530" i="46"/>
  <c r="K529" i="46"/>
  <c r="K528" i="46"/>
  <c r="K527" i="46"/>
  <c r="K526" i="46"/>
  <c r="K525" i="46"/>
  <c r="K524" i="46"/>
  <c r="K523" i="46"/>
  <c r="K522" i="46"/>
  <c r="K521" i="46"/>
  <c r="K520" i="46"/>
  <c r="K519" i="46"/>
  <c r="K518" i="46"/>
  <c r="K517" i="46"/>
  <c r="K516" i="46"/>
  <c r="K515" i="46"/>
  <c r="K514" i="46"/>
  <c r="K513" i="46"/>
  <c r="K512" i="46"/>
  <c r="K511" i="46"/>
  <c r="K510" i="46"/>
  <c r="K509" i="46"/>
  <c r="K508" i="46"/>
  <c r="K507" i="46"/>
  <c r="K506" i="46"/>
  <c r="K505" i="46"/>
  <c r="K504" i="46"/>
  <c r="K503" i="46"/>
  <c r="K502" i="46"/>
  <c r="K501" i="46"/>
  <c r="K500" i="46"/>
  <c r="K499" i="46"/>
  <c r="K498" i="46"/>
  <c r="K497" i="46"/>
  <c r="K496" i="46"/>
  <c r="K495" i="46"/>
  <c r="K494" i="46"/>
  <c r="K493" i="46"/>
  <c r="K492" i="46"/>
  <c r="K491" i="46"/>
  <c r="K490" i="46"/>
  <c r="K489" i="46"/>
  <c r="K488" i="46"/>
  <c r="K487" i="46"/>
  <c r="K486" i="46"/>
  <c r="K485" i="46"/>
  <c r="K484" i="46"/>
  <c r="K483" i="46"/>
  <c r="K482" i="46"/>
  <c r="K481" i="46"/>
  <c r="K480" i="46"/>
  <c r="K479" i="46"/>
  <c r="K478" i="46"/>
  <c r="K477" i="46"/>
  <c r="K476" i="46"/>
  <c r="K475" i="46"/>
  <c r="K474" i="46"/>
  <c r="K472" i="46"/>
  <c r="K471" i="46"/>
  <c r="K470" i="46"/>
  <c r="K469" i="46"/>
  <c r="K468" i="46"/>
  <c r="K467" i="46"/>
  <c r="K466" i="46"/>
  <c r="K465" i="46"/>
  <c r="K464" i="46"/>
  <c r="K463" i="46"/>
  <c r="K462" i="46"/>
  <c r="K461" i="46"/>
  <c r="K460" i="46"/>
  <c r="K459" i="46"/>
  <c r="K458" i="46"/>
  <c r="K457" i="46"/>
  <c r="K456" i="46"/>
  <c r="K454" i="46"/>
  <c r="K452" i="46"/>
  <c r="K451" i="46"/>
  <c r="K450" i="46"/>
  <c r="K449" i="46"/>
  <c r="K446" i="46"/>
  <c r="K444" i="46"/>
  <c r="K443" i="46"/>
  <c r="K442" i="46"/>
  <c r="K440" i="46"/>
  <c r="K439" i="46"/>
  <c r="K438" i="46"/>
  <c r="K437" i="46"/>
  <c r="K436" i="46"/>
  <c r="K435" i="46"/>
  <c r="K432" i="46"/>
  <c r="K431" i="46"/>
  <c r="K430" i="46"/>
  <c r="K429" i="46"/>
  <c r="K427" i="46"/>
  <c r="K426" i="46"/>
  <c r="K424" i="46"/>
  <c r="K423" i="46"/>
  <c r="K421" i="46"/>
  <c r="K419" i="46"/>
  <c r="K416" i="46"/>
  <c r="K415" i="46"/>
  <c r="K414" i="46"/>
  <c r="K413" i="46"/>
  <c r="K412" i="46"/>
  <c r="K411" i="46"/>
  <c r="K410" i="46"/>
  <c r="K409" i="46"/>
  <c r="K408" i="46"/>
  <c r="K407" i="46"/>
  <c r="K406" i="46"/>
  <c r="K405" i="46"/>
  <c r="K404" i="46"/>
  <c r="K403" i="46"/>
  <c r="K402" i="46"/>
  <c r="K401" i="46"/>
  <c r="K400" i="46"/>
  <c r="K399" i="46"/>
  <c r="K398" i="46"/>
  <c r="K397" i="46"/>
  <c r="K396" i="46"/>
  <c r="K395" i="46"/>
  <c r="K394" i="46"/>
  <c r="K393" i="46"/>
  <c r="K392" i="46"/>
  <c r="K391" i="46"/>
  <c r="K390" i="46"/>
  <c r="K388" i="46"/>
  <c r="K387" i="46"/>
  <c r="K386" i="46"/>
  <c r="K385" i="46"/>
  <c r="K381" i="46"/>
  <c r="K380" i="46"/>
  <c r="K379" i="46"/>
  <c r="K378" i="46"/>
  <c r="K377" i="46"/>
  <c r="K376" i="46"/>
  <c r="K375" i="46"/>
  <c r="K374" i="46"/>
  <c r="K373" i="46"/>
  <c r="K372" i="46"/>
  <c r="K371" i="46"/>
  <c r="K370" i="46"/>
  <c r="K369" i="46"/>
  <c r="K368" i="46"/>
  <c r="K367" i="46"/>
  <c r="K366" i="46"/>
  <c r="K365" i="46"/>
  <c r="K364" i="46"/>
  <c r="K363" i="46"/>
  <c r="K362" i="46"/>
  <c r="K361" i="46"/>
  <c r="K360" i="46"/>
  <c r="K359" i="46"/>
  <c r="K358" i="46"/>
  <c r="K357" i="46"/>
  <c r="K356" i="46"/>
  <c r="K355" i="46"/>
  <c r="K354" i="46"/>
  <c r="K353" i="46"/>
  <c r="K351" i="46"/>
  <c r="K350" i="46"/>
  <c r="K349" i="46"/>
  <c r="K348" i="46"/>
  <c r="K347" i="46"/>
  <c r="K346" i="46"/>
  <c r="K345" i="46"/>
  <c r="K344" i="46"/>
  <c r="K342" i="46"/>
  <c r="K341" i="46"/>
  <c r="K340" i="46"/>
  <c r="K339" i="46"/>
  <c r="K338" i="46"/>
  <c r="K337" i="46"/>
  <c r="K336" i="46"/>
  <c r="K335" i="46"/>
  <c r="K334" i="46"/>
  <c r="K333" i="46"/>
  <c r="K331" i="46"/>
  <c r="K329" i="46"/>
  <c r="K328" i="46"/>
  <c r="K327" i="46"/>
  <c r="K326" i="46"/>
  <c r="K323" i="46"/>
  <c r="K322" i="46"/>
  <c r="K321" i="46"/>
  <c r="K320" i="46"/>
  <c r="K319" i="46"/>
  <c r="K318" i="46"/>
  <c r="K317" i="46"/>
  <c r="K316" i="46"/>
  <c r="K315" i="46"/>
  <c r="K314" i="46"/>
  <c r="K313" i="46"/>
  <c r="K312" i="46"/>
  <c r="K311" i="46"/>
  <c r="K310" i="46"/>
  <c r="K309" i="46"/>
  <c r="K308" i="46"/>
  <c r="K307" i="46"/>
  <c r="K306" i="46"/>
  <c r="K304" i="46"/>
  <c r="K302" i="46"/>
  <c r="K301" i="46"/>
  <c r="K300" i="46"/>
  <c r="K299" i="46"/>
  <c r="K298" i="46"/>
  <c r="K297" i="46"/>
  <c r="K296" i="46"/>
  <c r="K295" i="46"/>
  <c r="K294" i="46"/>
  <c r="K293" i="46"/>
  <c r="K292" i="46"/>
  <c r="K291" i="46"/>
  <c r="K289" i="46"/>
  <c r="K286" i="46"/>
  <c r="K285" i="46"/>
  <c r="K284" i="46"/>
  <c r="K283" i="46"/>
  <c r="K282" i="46"/>
  <c r="K281" i="46"/>
  <c r="K280" i="46"/>
  <c r="K279" i="46"/>
  <c r="K277" i="46"/>
  <c r="K276" i="46"/>
  <c r="K275" i="46"/>
  <c r="K274" i="46"/>
  <c r="K272" i="46"/>
  <c r="K265" i="46"/>
  <c r="K264" i="46"/>
  <c r="K263" i="46"/>
  <c r="K261" i="46"/>
  <c r="K258" i="46"/>
  <c r="K257" i="46"/>
  <c r="K255" i="46"/>
  <c r="K254" i="46"/>
  <c r="K253" i="46"/>
  <c r="K252" i="46"/>
  <c r="K251" i="46"/>
  <c r="K250" i="46"/>
  <c r="K249" i="46"/>
  <c r="K248" i="46"/>
  <c r="K246" i="46"/>
  <c r="K245" i="46"/>
  <c r="K244" i="46"/>
  <c r="K243" i="46"/>
  <c r="K242" i="46"/>
  <c r="K241" i="46"/>
  <c r="K240" i="46"/>
  <c r="K239" i="46"/>
  <c r="K238" i="46"/>
  <c r="K233" i="46"/>
  <c r="K232" i="46"/>
  <c r="K231" i="46"/>
  <c r="K230" i="46"/>
  <c r="K229" i="46"/>
  <c r="K228" i="46"/>
  <c r="K227" i="46"/>
  <c r="K225" i="46"/>
  <c r="K224" i="46"/>
  <c r="K223" i="46"/>
  <c r="K222" i="46"/>
  <c r="K221" i="46"/>
  <c r="K219" i="46"/>
  <c r="K218" i="46"/>
  <c r="K217" i="46"/>
  <c r="K216" i="46"/>
  <c r="K215" i="46"/>
  <c r="K213" i="46"/>
  <c r="K212" i="46"/>
  <c r="K211" i="46"/>
  <c r="K208" i="46"/>
  <c r="K206" i="46"/>
  <c r="K205" i="46"/>
  <c r="K204" i="46"/>
  <c r="K203" i="46"/>
  <c r="K202" i="46"/>
  <c r="K200" i="46"/>
  <c r="K195" i="46"/>
  <c r="K194" i="46"/>
  <c r="K193" i="46"/>
  <c r="K192" i="46"/>
  <c r="K191" i="46"/>
  <c r="K189" i="46"/>
  <c r="K188" i="46"/>
  <c r="K187" i="46"/>
  <c r="K185" i="46"/>
  <c r="K183" i="46"/>
  <c r="K182" i="46"/>
  <c r="K181" i="46"/>
  <c r="K179" i="46"/>
  <c r="K175" i="46"/>
  <c r="K174" i="46"/>
  <c r="K173" i="46"/>
  <c r="K172" i="46"/>
  <c r="K171" i="46"/>
  <c r="K170" i="46"/>
  <c r="K169" i="46"/>
  <c r="K168" i="46"/>
  <c r="K167" i="46"/>
  <c r="K166" i="46"/>
  <c r="K165" i="46"/>
  <c r="K164" i="46"/>
  <c r="K163" i="46"/>
  <c r="K162" i="46"/>
  <c r="K161" i="46"/>
  <c r="K160" i="46"/>
  <c r="K159" i="46"/>
  <c r="K158" i="46"/>
  <c r="K157" i="46"/>
  <c r="K155" i="46"/>
  <c r="K153" i="46"/>
  <c r="K150" i="46"/>
  <c r="K149" i="46"/>
  <c r="K148" i="46"/>
  <c r="K147" i="46"/>
  <c r="K146" i="46"/>
  <c r="K145" i="46"/>
  <c r="K144" i="46"/>
  <c r="K143" i="46"/>
  <c r="K142" i="46"/>
  <c r="K141" i="46"/>
  <c r="K140" i="46"/>
  <c r="K139" i="46"/>
  <c r="K138" i="46"/>
  <c r="K137" i="46"/>
  <c r="K136" i="46"/>
  <c r="K135" i="46"/>
  <c r="K134" i="46"/>
  <c r="K133" i="46"/>
  <c r="K132" i="46"/>
  <c r="K131" i="46"/>
  <c r="K130" i="46"/>
  <c r="K129" i="46"/>
  <c r="K128" i="46"/>
  <c r="K127" i="46"/>
  <c r="K126" i="46"/>
  <c r="K125" i="46"/>
  <c r="K124" i="46"/>
  <c r="K123" i="46"/>
  <c r="K122" i="46"/>
  <c r="K121" i="46"/>
  <c r="K120" i="46"/>
  <c r="K119" i="46"/>
  <c r="K118" i="46"/>
  <c r="K117" i="46"/>
  <c r="K116" i="46"/>
  <c r="K115" i="46"/>
  <c r="K114" i="46"/>
  <c r="K113" i="46"/>
  <c r="K112" i="46"/>
  <c r="K111" i="46"/>
  <c r="K110" i="46"/>
  <c r="K109" i="46"/>
  <c r="K108" i="46"/>
  <c r="K107" i="46"/>
  <c r="K106" i="46"/>
  <c r="K105" i="46"/>
  <c r="K104" i="46"/>
  <c r="K103" i="46"/>
  <c r="K101" i="46"/>
  <c r="K100" i="46"/>
  <c r="K98" i="46"/>
  <c r="K97" i="46"/>
  <c r="K93" i="46"/>
  <c r="K92" i="46"/>
  <c r="K91" i="46"/>
  <c r="K90" i="46"/>
  <c r="K89" i="46"/>
  <c r="K88" i="46"/>
  <c r="K87" i="46"/>
  <c r="K83" i="46"/>
  <c r="K82" i="46"/>
  <c r="K81" i="46"/>
  <c r="K80" i="46"/>
  <c r="K78" i="46"/>
  <c r="K77" i="46"/>
  <c r="K72" i="46"/>
  <c r="K68" i="46"/>
  <c r="K67" i="46"/>
  <c r="K66" i="46"/>
  <c r="K65" i="46"/>
  <c r="K64" i="46"/>
  <c r="K63" i="46"/>
  <c r="K62" i="46"/>
  <c r="K61" i="46"/>
  <c r="K60" i="46"/>
  <c r="K58" i="46"/>
  <c r="K57" i="46"/>
  <c r="K56" i="46"/>
  <c r="K55" i="46"/>
  <c r="K54" i="46"/>
  <c r="K53" i="46"/>
  <c r="K52" i="46"/>
  <c r="K51" i="46"/>
  <c r="K50" i="46"/>
  <c r="K46" i="46"/>
  <c r="K45" i="46"/>
  <c r="K44" i="46"/>
  <c r="K43" i="46"/>
  <c r="K42" i="46"/>
  <c r="K41" i="46"/>
  <c r="K40" i="46"/>
  <c r="K39" i="46"/>
  <c r="K38" i="46"/>
  <c r="K37" i="46"/>
  <c r="K35" i="46"/>
  <c r="K34" i="46"/>
  <c r="K32" i="46"/>
  <c r="K31" i="46"/>
  <c r="K30" i="46"/>
  <c r="K29" i="46"/>
  <c r="K27" i="46"/>
  <c r="K25" i="46"/>
  <c r="K23" i="46"/>
  <c r="K21" i="46"/>
  <c r="K20" i="46"/>
  <c r="K19" i="46"/>
  <c r="K18" i="46"/>
  <c r="K17" i="46"/>
  <c r="K16" i="46"/>
  <c r="K15" i="46"/>
  <c r="K14" i="46"/>
  <c r="K13" i="46"/>
  <c r="K12" i="46"/>
  <c r="K11" i="46"/>
  <c r="K10" i="46"/>
  <c r="K9" i="46"/>
  <c r="K8" i="46"/>
  <c r="K7" i="46"/>
  <c r="K6" i="46"/>
  <c r="K5" i="46"/>
  <c r="J345" i="9"/>
  <c r="I345" i="9"/>
  <c r="J344" i="9"/>
  <c r="I344" i="9"/>
  <c r="J343" i="9"/>
  <c r="I343" i="9"/>
  <c r="J342" i="9"/>
  <c r="I342" i="9"/>
  <c r="J341" i="9"/>
  <c r="I341" i="9"/>
  <c r="J340" i="9"/>
  <c r="I340" i="9"/>
  <c r="J339" i="9"/>
  <c r="I339" i="9"/>
  <c r="J338" i="9"/>
  <c r="I338" i="9"/>
  <c r="J337" i="9"/>
  <c r="I337" i="9"/>
  <c r="J336" i="9"/>
  <c r="I336" i="9"/>
  <c r="J335" i="9"/>
  <c r="I335" i="9"/>
  <c r="J334" i="9"/>
  <c r="I334" i="9"/>
  <c r="J333" i="9"/>
  <c r="I333" i="9"/>
  <c r="J332" i="9"/>
  <c r="I332" i="9"/>
  <c r="J331" i="9"/>
  <c r="I331" i="9"/>
  <c r="J330" i="9"/>
  <c r="I330" i="9"/>
  <c r="J329" i="9"/>
  <c r="I329" i="9"/>
  <c r="J328" i="9"/>
  <c r="I328" i="9"/>
  <c r="J327" i="9"/>
  <c r="I327" i="9"/>
  <c r="J326" i="9"/>
  <c r="I326" i="9"/>
  <c r="J325" i="9"/>
  <c r="I325" i="9"/>
  <c r="J324" i="9"/>
  <c r="I324" i="9"/>
  <c r="J323" i="9"/>
  <c r="I323" i="9"/>
  <c r="J322" i="9"/>
  <c r="I322" i="9"/>
  <c r="J321" i="9"/>
  <c r="I321" i="9"/>
  <c r="J320" i="9"/>
  <c r="I320" i="9"/>
  <c r="J319" i="9"/>
  <c r="I319" i="9"/>
  <c r="J318" i="9"/>
  <c r="I318" i="9"/>
  <c r="J317" i="9"/>
  <c r="I317" i="9"/>
  <c r="J316" i="9"/>
  <c r="I316" i="9"/>
  <c r="J315" i="9"/>
  <c r="I315" i="9"/>
  <c r="J314" i="9"/>
  <c r="I314" i="9"/>
  <c r="J313" i="9"/>
  <c r="I313" i="9"/>
  <c r="J311" i="9"/>
  <c r="I311" i="9"/>
  <c r="J310" i="9"/>
  <c r="I310" i="9"/>
  <c r="J309" i="9"/>
  <c r="I309" i="9"/>
  <c r="J308" i="9"/>
  <c r="I308" i="9"/>
  <c r="J307" i="9"/>
  <c r="I307" i="9"/>
  <c r="J306" i="9"/>
  <c r="I306" i="9"/>
  <c r="J305" i="9"/>
  <c r="I305" i="9"/>
  <c r="J304" i="9"/>
  <c r="I304" i="9"/>
  <c r="J303" i="9"/>
  <c r="I303" i="9"/>
  <c r="J302" i="9"/>
  <c r="I302" i="9"/>
  <c r="J300" i="9"/>
  <c r="I300" i="9"/>
  <c r="J299" i="9"/>
  <c r="I299" i="9"/>
  <c r="J298" i="9"/>
  <c r="I298" i="9"/>
  <c r="J297" i="9"/>
  <c r="I297" i="9"/>
  <c r="J296" i="9"/>
  <c r="I296" i="9"/>
  <c r="J295" i="9"/>
  <c r="I295" i="9"/>
  <c r="J294" i="9"/>
  <c r="I294" i="9"/>
  <c r="J293" i="9"/>
  <c r="I293" i="9"/>
  <c r="J292" i="9"/>
  <c r="I292" i="9"/>
  <c r="J291" i="9"/>
  <c r="I291" i="9"/>
  <c r="J290" i="9"/>
  <c r="I290" i="9"/>
  <c r="J289" i="9"/>
  <c r="I289" i="9"/>
  <c r="J288" i="9"/>
  <c r="I288" i="9"/>
  <c r="J287" i="9"/>
  <c r="I287" i="9"/>
  <c r="J286" i="9"/>
  <c r="I286" i="9"/>
  <c r="J285" i="9"/>
  <c r="I285" i="9"/>
  <c r="J284" i="9"/>
  <c r="I284" i="9"/>
  <c r="J283" i="9"/>
  <c r="I283" i="9"/>
  <c r="J282" i="9"/>
  <c r="I282" i="9"/>
  <c r="J281" i="9"/>
  <c r="I281" i="9"/>
  <c r="J280" i="9"/>
  <c r="I280" i="9"/>
  <c r="J279" i="9"/>
  <c r="I279" i="9"/>
  <c r="J278" i="9"/>
  <c r="I278" i="9"/>
  <c r="J277" i="9"/>
  <c r="I277" i="9"/>
  <c r="J276" i="9"/>
  <c r="I276" i="9"/>
  <c r="J275" i="9"/>
  <c r="I275" i="9"/>
  <c r="J274" i="9"/>
  <c r="I274" i="9"/>
  <c r="J273" i="9"/>
  <c r="I273" i="9"/>
  <c r="J271" i="9"/>
  <c r="I271" i="9"/>
  <c r="J270" i="9"/>
  <c r="I270" i="9"/>
  <c r="J269" i="9"/>
  <c r="I269" i="9"/>
  <c r="J268" i="9"/>
  <c r="I268" i="9"/>
  <c r="J267" i="9"/>
  <c r="I267" i="9"/>
  <c r="J265" i="9"/>
  <c r="I265" i="9"/>
  <c r="J264" i="9"/>
  <c r="I264" i="9"/>
  <c r="J263" i="9"/>
  <c r="I263" i="9"/>
  <c r="J262" i="9"/>
  <c r="I262" i="9"/>
  <c r="J261" i="9"/>
  <c r="I261" i="9"/>
  <c r="J259" i="9"/>
  <c r="I259" i="9"/>
  <c r="J258" i="9"/>
  <c r="I258" i="9"/>
  <c r="J257" i="9"/>
  <c r="I257" i="9"/>
  <c r="J256" i="9"/>
  <c r="I256" i="9"/>
  <c r="J254" i="9"/>
  <c r="I254" i="9"/>
  <c r="J253" i="9"/>
  <c r="I253" i="9"/>
  <c r="J252" i="9"/>
  <c r="I252" i="9"/>
  <c r="J251" i="9"/>
  <c r="I251" i="9"/>
  <c r="J250" i="9"/>
  <c r="I250" i="9"/>
  <c r="J249" i="9"/>
  <c r="I249" i="9"/>
  <c r="J248" i="9"/>
  <c r="I248" i="9"/>
  <c r="J247" i="9"/>
  <c r="I247" i="9"/>
  <c r="J246" i="9"/>
  <c r="I246" i="9"/>
  <c r="J245" i="9"/>
  <c r="I245" i="9"/>
  <c r="J244" i="9"/>
  <c r="I244" i="9"/>
  <c r="J243" i="9"/>
  <c r="I243" i="9"/>
  <c r="J242" i="9"/>
  <c r="I242" i="9"/>
  <c r="J241" i="9"/>
  <c r="I241" i="9"/>
  <c r="J240" i="9"/>
  <c r="I240" i="9"/>
  <c r="J238" i="9"/>
  <c r="I238" i="9"/>
  <c r="J237" i="9"/>
  <c r="I237" i="9"/>
  <c r="J236" i="9"/>
  <c r="I236" i="9"/>
  <c r="J234" i="9"/>
  <c r="I234" i="9"/>
  <c r="J233" i="9"/>
  <c r="I233" i="9"/>
  <c r="J232" i="9"/>
  <c r="I232" i="9"/>
  <c r="J228" i="9"/>
  <c r="I228" i="9"/>
  <c r="J227" i="9"/>
  <c r="I227" i="9"/>
  <c r="J226" i="9"/>
  <c r="I226" i="9"/>
  <c r="J224" i="9"/>
  <c r="I224" i="9"/>
  <c r="J223" i="9"/>
  <c r="I223" i="9"/>
  <c r="J221" i="9"/>
  <c r="I221" i="9"/>
  <c r="J220" i="9"/>
  <c r="I220" i="9"/>
  <c r="J219" i="9"/>
  <c r="I219" i="9"/>
  <c r="J216" i="9"/>
  <c r="I216" i="9"/>
  <c r="J215" i="9"/>
  <c r="I215" i="9"/>
  <c r="J213" i="9"/>
  <c r="I213" i="9"/>
  <c r="J212" i="9"/>
  <c r="I212" i="9"/>
  <c r="J210" i="9"/>
  <c r="I210" i="9"/>
  <c r="J207" i="9"/>
  <c r="I207" i="9"/>
  <c r="J206" i="9"/>
  <c r="I206" i="9"/>
  <c r="J205" i="9"/>
  <c r="I205" i="9"/>
  <c r="J204" i="9"/>
  <c r="I204" i="9"/>
  <c r="J203" i="9"/>
  <c r="I203" i="9"/>
  <c r="J202" i="9"/>
  <c r="I202" i="9"/>
  <c r="J199" i="9"/>
  <c r="I199" i="9"/>
  <c r="J198" i="9"/>
  <c r="I198" i="9"/>
  <c r="J197" i="9"/>
  <c r="I197" i="9"/>
  <c r="J196" i="9"/>
  <c r="I196" i="9"/>
  <c r="J195" i="9"/>
  <c r="I195" i="9"/>
  <c r="J155" i="9"/>
  <c r="I155" i="9"/>
  <c r="J154" i="9"/>
  <c r="I154" i="9"/>
  <c r="J153" i="9"/>
  <c r="I153" i="9"/>
  <c r="J152" i="9"/>
  <c r="I152" i="9"/>
  <c r="J151" i="9"/>
  <c r="I151" i="9"/>
  <c r="J150" i="9"/>
  <c r="I150" i="9"/>
  <c r="J148" i="9"/>
  <c r="I148" i="9"/>
  <c r="J147" i="9"/>
  <c r="I147" i="9"/>
  <c r="J145" i="9"/>
  <c r="I145" i="9"/>
  <c r="J144" i="9"/>
  <c r="I144" i="9"/>
  <c r="J143" i="9"/>
  <c r="I143" i="9"/>
  <c r="J142" i="9"/>
  <c r="I142" i="9"/>
  <c r="J141" i="9"/>
  <c r="I141" i="9"/>
  <c r="J140" i="9"/>
  <c r="I140" i="9"/>
  <c r="J133" i="9"/>
  <c r="I133" i="9"/>
  <c r="J132" i="9"/>
  <c r="I132" i="9"/>
  <c r="J130" i="9"/>
  <c r="I130" i="9"/>
  <c r="J129" i="9"/>
  <c r="I129" i="9"/>
  <c r="J125" i="9"/>
  <c r="I125" i="9"/>
  <c r="J124" i="9"/>
  <c r="I124" i="9"/>
  <c r="J123" i="9"/>
  <c r="I123" i="9"/>
  <c r="J121" i="9"/>
  <c r="I121" i="9"/>
  <c r="J120" i="9"/>
  <c r="I120" i="9"/>
  <c r="J119" i="9"/>
  <c r="I119" i="9"/>
  <c r="J117" i="9"/>
  <c r="I117" i="9"/>
  <c r="J115" i="9"/>
  <c r="I115" i="9"/>
  <c r="J114" i="9"/>
  <c r="I114" i="9"/>
  <c r="J113" i="9"/>
  <c r="I113" i="9"/>
  <c r="J112" i="9"/>
  <c r="I112" i="9"/>
  <c r="J111" i="9"/>
  <c r="I111" i="9"/>
  <c r="J110" i="9"/>
  <c r="I110" i="9"/>
  <c r="J108" i="9"/>
  <c r="I108" i="9"/>
  <c r="J107" i="9"/>
  <c r="I107" i="9"/>
  <c r="J106" i="9"/>
  <c r="I106" i="9"/>
  <c r="J103" i="9"/>
  <c r="I103" i="9"/>
  <c r="J100" i="9"/>
  <c r="I100" i="9"/>
  <c r="J98" i="9"/>
  <c r="I98" i="9"/>
  <c r="J97" i="9"/>
  <c r="I97" i="9"/>
  <c r="J96" i="9"/>
  <c r="I96" i="9"/>
  <c r="J95" i="9"/>
  <c r="I95" i="9"/>
  <c r="J94" i="9"/>
  <c r="I94" i="9"/>
  <c r="J90" i="9"/>
  <c r="I90" i="9"/>
  <c r="J89" i="9"/>
  <c r="I89" i="9"/>
  <c r="J88" i="9"/>
  <c r="I88" i="9"/>
  <c r="J87" i="9"/>
  <c r="I87" i="9"/>
  <c r="J86" i="9"/>
  <c r="I86" i="9"/>
  <c r="J85" i="9"/>
  <c r="I85" i="9"/>
  <c r="J84" i="9"/>
  <c r="I84" i="9"/>
  <c r="J83" i="9"/>
  <c r="I83" i="9"/>
  <c r="J81" i="9"/>
  <c r="I81" i="9"/>
  <c r="J80" i="9"/>
  <c r="I80" i="9"/>
  <c r="J79" i="9"/>
  <c r="I79" i="9"/>
  <c r="J78" i="9"/>
  <c r="I78" i="9"/>
  <c r="J77" i="9"/>
  <c r="I77" i="9"/>
  <c r="J76" i="9"/>
  <c r="I76" i="9"/>
  <c r="J73" i="9"/>
  <c r="I73" i="9"/>
  <c r="J72" i="9"/>
  <c r="I72" i="9"/>
  <c r="J71" i="9"/>
  <c r="I71" i="9"/>
  <c r="J69" i="9"/>
  <c r="I69" i="9"/>
  <c r="J67" i="9"/>
  <c r="I67" i="9"/>
  <c r="J65" i="9"/>
  <c r="I65" i="9"/>
  <c r="J64" i="9"/>
  <c r="I64" i="9"/>
  <c r="J63" i="9"/>
  <c r="I63" i="9"/>
  <c r="J61" i="9"/>
  <c r="I61" i="9"/>
  <c r="J60" i="9"/>
  <c r="I60" i="9"/>
  <c r="J59" i="9"/>
  <c r="I59" i="9"/>
  <c r="J58" i="9"/>
  <c r="I58" i="9"/>
  <c r="J57" i="9"/>
  <c r="I57" i="9"/>
  <c r="J54" i="9"/>
  <c r="I54" i="9"/>
  <c r="J53" i="9"/>
  <c r="I53" i="9"/>
  <c r="J52" i="9"/>
  <c r="I52" i="9"/>
  <c r="J51" i="9"/>
  <c r="I51" i="9"/>
  <c r="J49" i="9"/>
  <c r="I49" i="9"/>
  <c r="J46" i="9"/>
  <c r="I46" i="9"/>
  <c r="J45" i="9"/>
  <c r="I45" i="9"/>
  <c r="J44" i="9"/>
  <c r="I44" i="9"/>
  <c r="J43" i="9"/>
  <c r="I43" i="9"/>
  <c r="J42" i="9"/>
  <c r="I42" i="9"/>
  <c r="J41" i="9"/>
  <c r="I41" i="9"/>
  <c r="J39" i="9"/>
  <c r="I39" i="9"/>
  <c r="J38" i="9"/>
  <c r="I38" i="9"/>
  <c r="J37" i="9"/>
  <c r="I37" i="9"/>
  <c r="J36" i="9"/>
  <c r="I36" i="9"/>
  <c r="J34" i="9"/>
  <c r="I34" i="9"/>
  <c r="J33" i="9"/>
  <c r="I33" i="9"/>
  <c r="J32" i="9"/>
  <c r="I32" i="9"/>
  <c r="J30" i="9"/>
  <c r="I30" i="9"/>
  <c r="J29" i="9"/>
  <c r="I29" i="9"/>
  <c r="I28" i="9"/>
  <c r="J27" i="9"/>
  <c r="I27" i="9"/>
  <c r="J26" i="9"/>
  <c r="I26" i="9"/>
  <c r="J24" i="9"/>
  <c r="I24" i="9"/>
  <c r="J23" i="9"/>
  <c r="I23" i="9"/>
  <c r="J22" i="9"/>
  <c r="I22" i="9"/>
  <c r="J21" i="9"/>
  <c r="I21" i="9"/>
  <c r="J20" i="9"/>
  <c r="I20" i="9"/>
  <c r="J19" i="9"/>
  <c r="I19" i="9"/>
  <c r="J18" i="9"/>
  <c r="I18" i="9"/>
  <c r="J17" i="9"/>
  <c r="I17" i="9"/>
  <c r="J16" i="9"/>
  <c r="I16" i="9"/>
  <c r="J14" i="9"/>
  <c r="I14" i="9"/>
  <c r="J13" i="9"/>
  <c r="I13" i="9"/>
  <c r="J12" i="9"/>
  <c r="I12" i="9"/>
  <c r="J11" i="9"/>
  <c r="I11" i="9"/>
  <c r="J9" i="9"/>
  <c r="I9" i="9"/>
  <c r="J8" i="9"/>
  <c r="I8" i="9"/>
  <c r="J7" i="9"/>
  <c r="I7" i="9"/>
  <c r="K5" i="9"/>
  <c r="D6" i="9"/>
  <c r="A3" i="9"/>
  <c r="A1" i="9"/>
  <c r="X658" i="45" l="1"/>
  <c r="AA658" i="45" s="1"/>
  <c r="U7" i="45"/>
  <c r="M348" i="9"/>
  <c r="L591" i="46"/>
  <c r="K21" i="9"/>
  <c r="L21" i="9" s="1"/>
  <c r="K7" i="9"/>
  <c r="L7" i="9" s="1"/>
  <c r="K9" i="9"/>
  <c r="L9" i="9" s="1"/>
  <c r="K20" i="9"/>
  <c r="L20" i="9" s="1"/>
  <c r="K14" i="9"/>
  <c r="L14" i="9" s="1"/>
  <c r="K12" i="9"/>
  <c r="L12" i="9" s="1"/>
  <c r="K32" i="9"/>
  <c r="K44" i="9"/>
  <c r="K76" i="46" s="1"/>
  <c r="K54" i="9"/>
  <c r="L54" i="9" s="1"/>
  <c r="K64" i="9"/>
  <c r="L64" i="9" s="1"/>
  <c r="K76" i="9"/>
  <c r="K81" i="9"/>
  <c r="L81" i="9" s="1"/>
  <c r="K97" i="9"/>
  <c r="L97" i="9" s="1"/>
  <c r="K111" i="9"/>
  <c r="K140" i="9"/>
  <c r="L140" i="9" s="1"/>
  <c r="K153" i="9"/>
  <c r="L153" i="9" s="1"/>
  <c r="K196" i="9"/>
  <c r="K205" i="9"/>
  <c r="L205" i="9" s="1"/>
  <c r="K216" i="9"/>
  <c r="L216" i="9" s="1"/>
  <c r="K227" i="9"/>
  <c r="K244" i="9"/>
  <c r="K252" i="9"/>
  <c r="K262" i="9"/>
  <c r="L262" i="9" s="1"/>
  <c r="K271" i="9"/>
  <c r="L271" i="9" s="1"/>
  <c r="K280" i="9"/>
  <c r="K34" i="9"/>
  <c r="K23" i="9"/>
  <c r="L23" i="9" s="1"/>
  <c r="K41" i="9"/>
  <c r="K52" i="9"/>
  <c r="L52" i="9" s="1"/>
  <c r="K57" i="9"/>
  <c r="L57" i="9" s="1"/>
  <c r="K72" i="9"/>
  <c r="L72" i="9" s="1"/>
  <c r="K80" i="9"/>
  <c r="L80" i="9" s="1"/>
  <c r="K85" i="9"/>
  <c r="L85" i="9" s="1"/>
  <c r="K107" i="9"/>
  <c r="L107" i="9" s="1"/>
  <c r="K115" i="9"/>
  <c r="L115" i="9" s="1"/>
  <c r="K668" i="46"/>
  <c r="K288" i="9"/>
  <c r="L288" i="9" s="1"/>
  <c r="K296" i="9"/>
  <c r="L296" i="9" s="1"/>
  <c r="K305" i="9"/>
  <c r="L305" i="9" s="1"/>
  <c r="K313" i="9"/>
  <c r="L313" i="9" s="1"/>
  <c r="K321" i="9"/>
  <c r="L321" i="9" s="1"/>
  <c r="K329" i="9"/>
  <c r="L329" i="9" s="1"/>
  <c r="K337" i="9"/>
  <c r="K345" i="9"/>
  <c r="L345" i="9" s="1"/>
  <c r="K123" i="9"/>
  <c r="L123" i="9" s="1"/>
  <c r="K129" i="9"/>
  <c r="L129" i="9" s="1"/>
  <c r="K133" i="9"/>
  <c r="L133" i="9" s="1"/>
  <c r="K142" i="9"/>
  <c r="K143" i="9"/>
  <c r="K155" i="9"/>
  <c r="K210" i="9"/>
  <c r="L210" i="9" s="1"/>
  <c r="K221" i="9"/>
  <c r="L221" i="9" s="1"/>
  <c r="K233" i="9"/>
  <c r="L233" i="9" s="1"/>
  <c r="K240" i="9"/>
  <c r="K248" i="9"/>
  <c r="L248" i="9" s="1"/>
  <c r="K257" i="9"/>
  <c r="K267" i="9"/>
  <c r="L267" i="9" s="1"/>
  <c r="K284" i="9"/>
  <c r="K292" i="9"/>
  <c r="L292" i="9" s="1"/>
  <c r="K300" i="9"/>
  <c r="L300" i="9" s="1"/>
  <c r="K308" i="9"/>
  <c r="L308" i="9" s="1"/>
  <c r="K317" i="9"/>
  <c r="L317" i="9" s="1"/>
  <c r="K325" i="9"/>
  <c r="L325" i="9" s="1"/>
  <c r="K333" i="9"/>
  <c r="K341" i="9"/>
  <c r="T390" i="45"/>
  <c r="U390" i="45" s="1"/>
  <c r="U8" i="45"/>
  <c r="V8" i="45" s="1"/>
  <c r="U29" i="45"/>
  <c r="K46" i="9"/>
  <c r="L46" i="9" s="1"/>
  <c r="K79" i="9"/>
  <c r="K84" i="9"/>
  <c r="L84" i="9" s="1"/>
  <c r="K103" i="9"/>
  <c r="L103" i="9" s="1"/>
  <c r="K121" i="9"/>
  <c r="K141" i="9"/>
  <c r="L141" i="9" s="1"/>
  <c r="K151" i="9"/>
  <c r="L151" i="9" s="1"/>
  <c r="K199" i="9"/>
  <c r="K291" i="9"/>
  <c r="L291" i="9" s="1"/>
  <c r="K316" i="9"/>
  <c r="L316" i="9" s="1"/>
  <c r="K340" i="9"/>
  <c r="K43" i="9"/>
  <c r="K53" i="9"/>
  <c r="L53" i="9" s="1"/>
  <c r="K67" i="9"/>
  <c r="L67" i="9" s="1"/>
  <c r="K73" i="9"/>
  <c r="L73" i="9" s="1"/>
  <c r="K90" i="9"/>
  <c r="L90" i="9" s="1"/>
  <c r="K95" i="9"/>
  <c r="L95" i="9" s="1"/>
  <c r="K125" i="9"/>
  <c r="L125" i="9" s="1"/>
  <c r="K145" i="9"/>
  <c r="K203" i="9"/>
  <c r="L203" i="9" s="1"/>
  <c r="K213" i="9"/>
  <c r="L213" i="9" s="1"/>
  <c r="K224" i="9"/>
  <c r="K236" i="9"/>
  <c r="L236" i="9" s="1"/>
  <c r="K242" i="9"/>
  <c r="K250" i="9"/>
  <c r="K259" i="9"/>
  <c r="K269" i="9"/>
  <c r="L269" i="9" s="1"/>
  <c r="K286" i="9"/>
  <c r="K294" i="9"/>
  <c r="L294" i="9" s="1"/>
  <c r="K303" i="9"/>
  <c r="K310" i="9"/>
  <c r="L310" i="9" s="1"/>
  <c r="K319" i="9"/>
  <c r="L319" i="9" s="1"/>
  <c r="K327" i="9"/>
  <c r="L327" i="9" s="1"/>
  <c r="K335" i="9"/>
  <c r="L335" i="9" s="1"/>
  <c r="K343" i="9"/>
  <c r="L343" i="9" s="1"/>
  <c r="K428" i="46"/>
  <c r="K58" i="9"/>
  <c r="L58" i="9" s="1"/>
  <c r="K63" i="9"/>
  <c r="L63" i="9" s="1"/>
  <c r="K96" i="9"/>
  <c r="L96" i="9" s="1"/>
  <c r="K119" i="9"/>
  <c r="L119" i="9" s="1"/>
  <c r="K152" i="9"/>
  <c r="L152" i="9" s="1"/>
  <c r="K215" i="9"/>
  <c r="L215" i="9" s="1"/>
  <c r="K243" i="9"/>
  <c r="K270" i="9"/>
  <c r="L270" i="9" s="1"/>
  <c r="K295" i="9"/>
  <c r="L295" i="9" s="1"/>
  <c r="K320" i="9"/>
  <c r="L320" i="9" s="1"/>
  <c r="K344" i="9"/>
  <c r="L344" i="9" s="1"/>
  <c r="K86" i="9"/>
  <c r="L86" i="9" s="1"/>
  <c r="K195" i="9"/>
  <c r="L195" i="9" s="1"/>
  <c r="K226" i="9"/>
  <c r="L226" i="9" s="1"/>
  <c r="K251" i="9"/>
  <c r="K279" i="9"/>
  <c r="K304" i="9"/>
  <c r="K328" i="9"/>
  <c r="L328" i="9" s="1"/>
  <c r="K196" i="46"/>
  <c r="K38" i="9"/>
  <c r="K110" i="9"/>
  <c r="K204" i="9"/>
  <c r="L204" i="9" s="1"/>
  <c r="K237" i="9"/>
  <c r="L237" i="9" s="1"/>
  <c r="K261" i="9"/>
  <c r="L261" i="9" s="1"/>
  <c r="K287" i="9"/>
  <c r="L287" i="9" s="1"/>
  <c r="K311" i="9"/>
  <c r="K336" i="9"/>
  <c r="K234" i="46"/>
  <c r="K29" i="9"/>
  <c r="K51" i="9"/>
  <c r="K65" i="9"/>
  <c r="L65" i="9" s="1"/>
  <c r="K83" i="9"/>
  <c r="L83" i="9" s="1"/>
  <c r="K114" i="9"/>
  <c r="L114" i="9" s="1"/>
  <c r="K132" i="9"/>
  <c r="L132" i="9" s="1"/>
  <c r="K283" i="9"/>
  <c r="K307" i="9"/>
  <c r="L307" i="9" s="1"/>
  <c r="K332" i="9"/>
  <c r="L332" i="9" s="1"/>
  <c r="K71" i="9"/>
  <c r="L71" i="9" s="1"/>
  <c r="K154" i="9"/>
  <c r="L154" i="9" s="1"/>
  <c r="K232" i="9"/>
  <c r="L232" i="9" s="1"/>
  <c r="K238" i="9"/>
  <c r="K247" i="9"/>
  <c r="L247" i="9" s="1"/>
  <c r="K256" i="9"/>
  <c r="L256" i="9" s="1"/>
  <c r="K265" i="9"/>
  <c r="L265" i="9" s="1"/>
  <c r="K275" i="9"/>
  <c r="L275" i="9" s="1"/>
  <c r="K299" i="9"/>
  <c r="L299" i="9" s="1"/>
  <c r="K324" i="9"/>
  <c r="L324" i="9" s="1"/>
  <c r="K16" i="9"/>
  <c r="L16" i="9" s="1"/>
  <c r="K19" i="9"/>
  <c r="L19" i="9" s="1"/>
  <c r="K24" i="9"/>
  <c r="L24" i="9" s="1"/>
  <c r="K22" i="9"/>
  <c r="L22" i="9" s="1"/>
  <c r="K27" i="9"/>
  <c r="K61" i="9"/>
  <c r="K108" i="9"/>
  <c r="L108" i="9" s="1"/>
  <c r="K277" i="9"/>
  <c r="K285" i="9"/>
  <c r="K293" i="9"/>
  <c r="L293" i="9" s="1"/>
  <c r="K302" i="9"/>
  <c r="L302" i="9" s="1"/>
  <c r="K309" i="9"/>
  <c r="L309" i="9" s="1"/>
  <c r="K318" i="9"/>
  <c r="L318" i="9" s="1"/>
  <c r="K326" i="9"/>
  <c r="L326" i="9" s="1"/>
  <c r="K334" i="9"/>
  <c r="L334" i="9" s="1"/>
  <c r="K342" i="9"/>
  <c r="K33" i="9"/>
  <c r="K42" i="9"/>
  <c r="K89" i="9"/>
  <c r="L89" i="9" s="1"/>
  <c r="K94" i="9"/>
  <c r="K117" i="9"/>
  <c r="L117" i="9" s="1"/>
  <c r="K124" i="9"/>
  <c r="L124" i="9" s="1"/>
  <c r="K144" i="9"/>
  <c r="L144" i="9" s="1"/>
  <c r="K223" i="9"/>
  <c r="K234" i="9"/>
  <c r="L234" i="9" s="1"/>
  <c r="K241" i="9"/>
  <c r="K249" i="9"/>
  <c r="L249" i="9" s="1"/>
  <c r="K258" i="9"/>
  <c r="L258" i="9" s="1"/>
  <c r="K268" i="9"/>
  <c r="L268" i="9" s="1"/>
  <c r="K36" i="9"/>
  <c r="K8" i="9"/>
  <c r="L8" i="9" s="1"/>
  <c r="K17" i="9"/>
  <c r="L17" i="9" s="1"/>
  <c r="K30" i="9"/>
  <c r="K39" i="9"/>
  <c r="K45" i="9"/>
  <c r="K96" i="46" s="1"/>
  <c r="K49" i="9"/>
  <c r="L49" i="9" s="1"/>
  <c r="K59" i="9"/>
  <c r="K60" i="9"/>
  <c r="L60" i="9" s="1"/>
  <c r="K77" i="9"/>
  <c r="L77" i="9" s="1"/>
  <c r="K78" i="9"/>
  <c r="L78" i="9" s="1"/>
  <c r="K87" i="9"/>
  <c r="L87" i="9" s="1"/>
  <c r="K98" i="9"/>
  <c r="L98" i="9" s="1"/>
  <c r="K100" i="9"/>
  <c r="L100" i="9" s="1"/>
  <c r="K112" i="9"/>
  <c r="K273" i="46" s="1"/>
  <c r="K113" i="9"/>
  <c r="L113" i="9" s="1"/>
  <c r="K120" i="9"/>
  <c r="L120" i="9" s="1"/>
  <c r="K130" i="9"/>
  <c r="L130" i="9" s="1"/>
  <c r="K148" i="9"/>
  <c r="K150" i="9"/>
  <c r="L150" i="9" s="1"/>
  <c r="K197" i="9"/>
  <c r="K198" i="9"/>
  <c r="K206" i="9"/>
  <c r="K207" i="9"/>
  <c r="L207" i="9" s="1"/>
  <c r="K219" i="9"/>
  <c r="L219" i="9" s="1"/>
  <c r="K220" i="9"/>
  <c r="K228" i="9"/>
  <c r="L228" i="9" s="1"/>
  <c r="K245" i="9"/>
  <c r="K246" i="9"/>
  <c r="K253" i="9"/>
  <c r="L253" i="9" s="1"/>
  <c r="K254" i="9"/>
  <c r="L254" i="9" s="1"/>
  <c r="K263" i="9"/>
  <c r="L263" i="9" s="1"/>
  <c r="K264" i="9"/>
  <c r="K273" i="9"/>
  <c r="K274" i="9"/>
  <c r="K281" i="9"/>
  <c r="K282" i="9"/>
  <c r="L282" i="9" s="1"/>
  <c r="K289" i="9"/>
  <c r="L289" i="9" s="1"/>
  <c r="K290" i="9"/>
  <c r="L290" i="9" s="1"/>
  <c r="K297" i="9"/>
  <c r="L297" i="9" s="1"/>
  <c r="K298" i="9"/>
  <c r="K306" i="9"/>
  <c r="L306" i="9" s="1"/>
  <c r="K314" i="9"/>
  <c r="L314" i="9" s="1"/>
  <c r="K315" i="9"/>
  <c r="L315" i="9" s="1"/>
  <c r="K322" i="9"/>
  <c r="K323" i="9"/>
  <c r="L323" i="9" s="1"/>
  <c r="K330" i="9"/>
  <c r="L330" i="9" s="1"/>
  <c r="K331" i="9"/>
  <c r="L331" i="9" s="1"/>
  <c r="K338" i="9"/>
  <c r="K339" i="9"/>
  <c r="K453" i="46"/>
  <c r="K13" i="9"/>
  <c r="L13" i="9" s="1"/>
  <c r="K88" i="9"/>
  <c r="L88" i="9" s="1"/>
  <c r="K11" i="9"/>
  <c r="L11" i="9" s="1"/>
  <c r="K202" i="9"/>
  <c r="L202" i="9" s="1"/>
  <c r="K212" i="9"/>
  <c r="L212" i="9" s="1"/>
  <c r="K18" i="9"/>
  <c r="L18" i="9" s="1"/>
  <c r="K37" i="9"/>
  <c r="K69" i="9"/>
  <c r="K106" i="9"/>
  <c r="L106" i="9" s="1"/>
  <c r="K26" i="9"/>
  <c r="L26" i="9" s="1"/>
  <c r="K147" i="9"/>
  <c r="K276" i="9"/>
  <c r="K278" i="9"/>
  <c r="L278" i="9" s="1"/>
  <c r="V7" i="45"/>
  <c r="V6" i="45"/>
  <c r="T10" i="45"/>
  <c r="T30" i="45"/>
  <c r="X659" i="45"/>
  <c r="T654" i="45"/>
  <c r="U654" i="45" s="1"/>
  <c r="T391" i="45" l="1"/>
  <c r="U9" i="45"/>
  <c r="V9" i="45" s="1"/>
  <c r="U30" i="45"/>
  <c r="V30" i="45" s="1"/>
  <c r="L148" i="9"/>
  <c r="L155" i="9"/>
  <c r="L121" i="9"/>
  <c r="K270" i="46"/>
  <c r="L69" i="9"/>
  <c r="L110" i="9"/>
  <c r="K260" i="46"/>
  <c r="L43" i="9"/>
  <c r="K74" i="46"/>
  <c r="L94" i="9"/>
  <c r="K235" i="46"/>
  <c r="L27" i="9"/>
  <c r="K73" i="46"/>
  <c r="L79" i="9"/>
  <c r="K247" i="46"/>
  <c r="L37" i="9"/>
  <c r="L246" i="9"/>
  <c r="L39" i="9"/>
  <c r="L33" i="9"/>
  <c r="L44" i="9"/>
  <c r="L30" i="9"/>
  <c r="L36" i="9"/>
  <c r="L241" i="9"/>
  <c r="L34" i="9"/>
  <c r="L32" i="9"/>
  <c r="L38" i="9"/>
  <c r="L45" i="9"/>
  <c r="L42" i="9"/>
  <c r="L29" i="9"/>
  <c r="L41" i="9"/>
  <c r="L145" i="9"/>
  <c r="L276" i="9"/>
  <c r="L339" i="9"/>
  <c r="L273" i="9"/>
  <c r="L342" i="9"/>
  <c r="L277" i="9"/>
  <c r="L51" i="9"/>
  <c r="L311" i="9"/>
  <c r="L279" i="9"/>
  <c r="L250" i="9"/>
  <c r="L333" i="9"/>
  <c r="L257" i="9"/>
  <c r="K259" i="46"/>
  <c r="L142" i="9"/>
  <c r="L280" i="9"/>
  <c r="L244" i="9"/>
  <c r="K198" i="46"/>
  <c r="L111" i="9"/>
  <c r="M745" i="46"/>
  <c r="L338" i="9"/>
  <c r="L206" i="9"/>
  <c r="L223" i="9"/>
  <c r="K269" i="46"/>
  <c r="L251" i="9"/>
  <c r="L243" i="9"/>
  <c r="L286" i="9"/>
  <c r="L242" i="9"/>
  <c r="L337" i="9"/>
  <c r="L196" i="9"/>
  <c r="L322" i="9"/>
  <c r="L298" i="9"/>
  <c r="L264" i="9"/>
  <c r="K59" i="46"/>
  <c r="L61" i="9"/>
  <c r="K455" i="46"/>
  <c r="L147" i="9"/>
  <c r="L281" i="9"/>
  <c r="L245" i="9"/>
  <c r="L220" i="9"/>
  <c r="L198" i="9"/>
  <c r="L59" i="9"/>
  <c r="L238" i="9"/>
  <c r="L283" i="9"/>
  <c r="L199" i="9"/>
  <c r="L284" i="9"/>
  <c r="L240" i="9"/>
  <c r="L227" i="9"/>
  <c r="L274" i="9"/>
  <c r="L197" i="9"/>
  <c r="K180" i="46"/>
  <c r="L112" i="9"/>
  <c r="L285" i="9"/>
  <c r="L336" i="9"/>
  <c r="L304" i="9"/>
  <c r="L303" i="9"/>
  <c r="L259" i="9"/>
  <c r="L224" i="9"/>
  <c r="M795" i="46"/>
  <c r="L340" i="9"/>
  <c r="L341" i="9"/>
  <c r="L143" i="9"/>
  <c r="L252" i="9"/>
  <c r="L76" i="9"/>
  <c r="K389" i="46"/>
  <c r="K683" i="46"/>
  <c r="K652" i="46"/>
  <c r="K647" i="46"/>
  <c r="K226" i="46"/>
  <c r="K420" i="46"/>
  <c r="K691" i="46"/>
  <c r="K305" i="46"/>
  <c r="K330" i="46"/>
  <c r="K184" i="46"/>
  <c r="K176" i="46"/>
  <c r="K48" i="46"/>
  <c r="K256" i="46"/>
  <c r="K662" i="46"/>
  <c r="K382" i="46"/>
  <c r="K210" i="46"/>
  <c r="K33" i="46"/>
  <c r="K425" i="46"/>
  <c r="K447" i="46"/>
  <c r="K433" i="46"/>
  <c r="K417" i="46"/>
  <c r="K102" i="46"/>
  <c r="K94" i="46"/>
  <c r="K384" i="46"/>
  <c r="K266" i="46"/>
  <c r="K237" i="46"/>
  <c r="K383" i="46"/>
  <c r="K445" i="46"/>
  <c r="K303" i="46"/>
  <c r="K418" i="46"/>
  <c r="K690" i="46"/>
  <c r="K548" i="46"/>
  <c r="K473" i="46"/>
  <c r="K422" i="46"/>
  <c r="K190" i="46"/>
  <c r="U10" i="45"/>
  <c r="V10" i="45" s="1"/>
  <c r="W10" i="45" s="1"/>
  <c r="K644" i="46"/>
  <c r="K278" i="46"/>
  <c r="K324" i="46"/>
  <c r="K69" i="46"/>
  <c r="K448" i="46"/>
  <c r="K711" i="46"/>
  <c r="K207" i="46"/>
  <c r="K84" i="46"/>
  <c r="K49" i="46"/>
  <c r="K689" i="46"/>
  <c r="K441" i="46"/>
  <c r="K268" i="46"/>
  <c r="K24" i="46"/>
  <c r="K343" i="46"/>
  <c r="K704" i="46"/>
  <c r="K86" i="46"/>
  <c r="K28" i="46"/>
  <c r="K151" i="46"/>
  <c r="K352" i="46"/>
  <c r="K262" i="46"/>
  <c r="K236" i="46"/>
  <c r="K650" i="46"/>
  <c r="K699" i="46"/>
  <c r="K649" i="46"/>
  <c r="K332" i="46"/>
  <c r="K156" i="46"/>
  <c r="K701" i="46"/>
  <c r="K712" i="46"/>
  <c r="K22" i="46"/>
  <c r="K267" i="46"/>
  <c r="K653" i="46"/>
  <c r="K651" i="46"/>
  <c r="K177" i="46"/>
  <c r="K199" i="46"/>
  <c r="K695" i="46"/>
  <c r="K694" i="46"/>
  <c r="K707" i="46"/>
  <c r="K178" i="46"/>
  <c r="K325" i="46"/>
  <c r="K645" i="46"/>
  <c r="K71" i="46"/>
  <c r="K434" i="46"/>
  <c r="K201" i="46"/>
  <c r="K693" i="46"/>
  <c r="K70" i="46"/>
  <c r="U391" i="45"/>
  <c r="V391" i="45" s="1"/>
  <c r="K85" i="46"/>
  <c r="K209" i="46"/>
  <c r="K290" i="46"/>
  <c r="K95" i="46"/>
  <c r="K692" i="46"/>
  <c r="K646" i="46"/>
  <c r="P368" i="46"/>
  <c r="T655" i="45"/>
  <c r="AA654" i="45"/>
  <c r="W9" i="45"/>
  <c r="T392" i="45"/>
  <c r="AA659" i="45"/>
  <c r="K714" i="46"/>
  <c r="K287" i="46"/>
  <c r="T31" i="45"/>
  <c r="T11" i="45"/>
  <c r="W6" i="45"/>
  <c r="W7" i="45"/>
  <c r="W8" i="45" s="1"/>
  <c r="O488" i="46" l="1"/>
  <c r="O744" i="45"/>
  <c r="O743" i="45"/>
  <c r="P743" i="45" s="1"/>
  <c r="O739" i="45"/>
  <c r="T393" i="45"/>
  <c r="X7" i="45"/>
  <c r="X8" i="45" s="1"/>
  <c r="X6" i="45"/>
  <c r="T656" i="45"/>
  <c r="U656" i="45" s="1"/>
  <c r="AA656" i="45" s="1"/>
  <c r="T12" i="45"/>
  <c r="T32" i="45"/>
  <c r="U655" i="45"/>
  <c r="U11" i="45"/>
  <c r="U31" i="45"/>
  <c r="U392" i="45"/>
  <c r="U32" i="45" l="1"/>
  <c r="V392" i="45"/>
  <c r="V31" i="45"/>
  <c r="T394" i="45"/>
  <c r="AA8" i="45"/>
  <c r="U393" i="45"/>
  <c r="V11" i="45"/>
  <c r="T33" i="45"/>
  <c r="Y7" i="45"/>
  <c r="Y8" i="45" s="1"/>
  <c r="Y6" i="45"/>
  <c r="T657" i="45"/>
  <c r="T13" i="45"/>
  <c r="AA7" i="45"/>
  <c r="AA655" i="45"/>
  <c r="V655" i="45"/>
  <c r="W656" i="45" s="1"/>
  <c r="X657" i="45" s="1"/>
  <c r="U12" i="45"/>
  <c r="V12" i="45" s="1"/>
  <c r="X9" i="45"/>
  <c r="Y9" i="45" l="1"/>
  <c r="V393" i="45"/>
  <c r="W12" i="45"/>
  <c r="W11" i="45"/>
  <c r="Z7" i="45"/>
  <c r="Z8" i="45" s="1"/>
  <c r="Z6" i="45"/>
  <c r="AA6" i="45" s="1"/>
  <c r="T14" i="45"/>
  <c r="W31" i="45"/>
  <c r="AA9" i="45"/>
  <c r="X10" i="45"/>
  <c r="V32" i="45"/>
  <c r="T658" i="45"/>
  <c r="W392" i="45"/>
  <c r="U13" i="45"/>
  <c r="V13" i="45" s="1"/>
  <c r="T34" i="45"/>
  <c r="U33" i="45"/>
  <c r="T395" i="45"/>
  <c r="AA657" i="45"/>
  <c r="U657" i="45"/>
  <c r="U394" i="45"/>
  <c r="M739" i="46" l="1"/>
  <c r="U395" i="45"/>
  <c r="Z9" i="45"/>
  <c r="U658" i="45"/>
  <c r="Y10" i="45"/>
  <c r="Z10" i="45" s="1"/>
  <c r="M763" i="46"/>
  <c r="W393" i="45"/>
  <c r="X393" i="45" s="1"/>
  <c r="U34" i="45"/>
  <c r="W13" i="45"/>
  <c r="X11" i="45"/>
  <c r="X12" i="45" s="1"/>
  <c r="T35" i="45"/>
  <c r="T15" i="45"/>
  <c r="T659" i="45"/>
  <c r="U14" i="45"/>
  <c r="V394" i="45"/>
  <c r="W32" i="45"/>
  <c r="X32" i="45" s="1"/>
  <c r="AA10" i="45"/>
  <c r="V33" i="45"/>
  <c r="W33" i="45" s="1"/>
  <c r="T396" i="45"/>
  <c r="V395" i="45" l="1"/>
  <c r="Y11" i="45"/>
  <c r="Y12" i="45" s="1"/>
  <c r="U15" i="45"/>
  <c r="V15" i="45" s="1"/>
  <c r="U35" i="45"/>
  <c r="AA32" i="45"/>
  <c r="T16" i="45"/>
  <c r="AA12" i="45"/>
  <c r="T397" i="45"/>
  <c r="T36" i="45"/>
  <c r="X13" i="45"/>
  <c r="T660" i="45"/>
  <c r="V34" i="45"/>
  <c r="W34" i="45" s="1"/>
  <c r="U659" i="45"/>
  <c r="U396" i="45"/>
  <c r="W395" i="45"/>
  <c r="W394" i="45"/>
  <c r="X33" i="45"/>
  <c r="V14" i="45"/>
  <c r="AA11" i="45"/>
  <c r="U36" i="45" l="1"/>
  <c r="Z11" i="45"/>
  <c r="Z12" i="45" s="1"/>
  <c r="U16" i="45"/>
  <c r="V16" i="45" s="1"/>
  <c r="O746" i="45"/>
  <c r="Y13" i="45"/>
  <c r="X34" i="45"/>
  <c r="W15" i="45"/>
  <c r="W14" i="45"/>
  <c r="V396" i="45"/>
  <c r="T17" i="45"/>
  <c r="T398" i="45"/>
  <c r="X395" i="45"/>
  <c r="X394" i="45"/>
  <c r="U397" i="45"/>
  <c r="Y33" i="45"/>
  <c r="AA13" i="45"/>
  <c r="T661" i="45"/>
  <c r="V35" i="45"/>
  <c r="W35" i="45" s="1"/>
  <c r="U660" i="45"/>
  <c r="V660" i="45" s="1"/>
  <c r="T37" i="45"/>
  <c r="U37" i="45" l="1"/>
  <c r="Z13" i="45"/>
  <c r="U17" i="45"/>
  <c r="V17" i="45" s="1"/>
  <c r="X35" i="45"/>
  <c r="X14" i="45"/>
  <c r="T399" i="45"/>
  <c r="U398" i="45"/>
  <c r="T662" i="45"/>
  <c r="T18" i="45"/>
  <c r="W660" i="45"/>
  <c r="U661" i="45"/>
  <c r="Y395" i="45"/>
  <c r="Y394" i="45"/>
  <c r="W16" i="45"/>
  <c r="T38" i="45"/>
  <c r="W396" i="45"/>
  <c r="V36" i="45"/>
  <c r="W36" i="45" s="1"/>
  <c r="AA395" i="45"/>
  <c r="Y34" i="45"/>
  <c r="V397" i="45"/>
  <c r="Y35" i="45" l="1"/>
  <c r="W397" i="45"/>
  <c r="X397" i="45" s="1"/>
  <c r="X36" i="45"/>
  <c r="Y36" i="45" s="1"/>
  <c r="AA14" i="45"/>
  <c r="Y14" i="45"/>
  <c r="X15" i="45"/>
  <c r="Z35" i="45"/>
  <c r="AA35" i="45" s="1"/>
  <c r="V398" i="45"/>
  <c r="T39" i="45"/>
  <c r="U38" i="45"/>
  <c r="Z34" i="45"/>
  <c r="AA34" i="45" s="1"/>
  <c r="T663" i="45"/>
  <c r="V661" i="45"/>
  <c r="X660" i="45"/>
  <c r="V37" i="45"/>
  <c r="W37" i="45" s="1"/>
  <c r="W17" i="45"/>
  <c r="T19" i="45"/>
  <c r="X396" i="45"/>
  <c r="U662" i="45"/>
  <c r="T400" i="45"/>
  <c r="U18" i="45"/>
  <c r="U399" i="45"/>
  <c r="V399" i="45" l="1"/>
  <c r="U39" i="45"/>
  <c r="U19" i="45"/>
  <c r="V19" i="45" s="1"/>
  <c r="V38" i="45"/>
  <c r="W38" i="45" s="1"/>
  <c r="AA15" i="45"/>
  <c r="T401" i="45"/>
  <c r="W661" i="45"/>
  <c r="U400" i="45"/>
  <c r="Y15" i="45"/>
  <c r="T40" i="45"/>
  <c r="T664" i="45"/>
  <c r="W398" i="45"/>
  <c r="W399" i="45" s="1"/>
  <c r="AA660" i="45"/>
  <c r="Z14" i="45"/>
  <c r="T20" i="45"/>
  <c r="V662" i="45"/>
  <c r="W662" i="45" s="1"/>
  <c r="U663" i="45"/>
  <c r="X16" i="45"/>
  <c r="X17" i="45" s="1"/>
  <c r="Y397" i="45"/>
  <c r="Y396" i="45"/>
  <c r="Z36" i="45"/>
  <c r="AA36" i="45" s="1"/>
  <c r="V18" i="45"/>
  <c r="X37" i="45"/>
  <c r="V663" i="45" l="1"/>
  <c r="W663" i="45" s="1"/>
  <c r="X663" i="45" s="1"/>
  <c r="U664" i="45"/>
  <c r="V664" i="45" s="1"/>
  <c r="AA17" i="45"/>
  <c r="Y37" i="45"/>
  <c r="Y16" i="45"/>
  <c r="X662" i="45"/>
  <c r="X661" i="45"/>
  <c r="V39" i="45"/>
  <c r="T21" i="45"/>
  <c r="U20" i="45"/>
  <c r="X399" i="45"/>
  <c r="X398" i="45"/>
  <c r="T665" i="45"/>
  <c r="T402" i="45"/>
  <c r="W19" i="45"/>
  <c r="W18" i="45"/>
  <c r="X38" i="45"/>
  <c r="Z15" i="45"/>
  <c r="T41" i="45"/>
  <c r="U401" i="45"/>
  <c r="V400" i="45"/>
  <c r="Y17" i="45"/>
  <c r="AA16" i="45"/>
  <c r="U40" i="45"/>
  <c r="V401" i="45" l="1"/>
  <c r="W401" i="45" s="1"/>
  <c r="Z16" i="45"/>
  <c r="Z17" i="45" s="1"/>
  <c r="U41" i="45"/>
  <c r="AA663" i="45"/>
  <c r="Y399" i="45"/>
  <c r="AA398" i="45"/>
  <c r="Y398" i="45"/>
  <c r="AA662" i="45"/>
  <c r="AA661" i="45"/>
  <c r="X18" i="45"/>
  <c r="W39" i="45"/>
  <c r="V40" i="45"/>
  <c r="T403" i="45"/>
  <c r="U402" i="45"/>
  <c r="T22" i="45"/>
  <c r="W664" i="45"/>
  <c r="X664" i="45" s="1"/>
  <c r="T666" i="45"/>
  <c r="U21" i="45"/>
  <c r="V21" i="45" s="1"/>
  <c r="V20" i="45"/>
  <c r="T42" i="45"/>
  <c r="Z37" i="45"/>
  <c r="AA37" i="45" s="1"/>
  <c r="W400" i="45"/>
  <c r="U665" i="45"/>
  <c r="Y38" i="45"/>
  <c r="AA664" i="45" l="1"/>
  <c r="T43" i="45"/>
  <c r="T404" i="45"/>
  <c r="AA18" i="45"/>
  <c r="Y18" i="45"/>
  <c r="U403" i="45"/>
  <c r="X19" i="45"/>
  <c r="V665" i="45"/>
  <c r="V41" i="45"/>
  <c r="W40" i="45"/>
  <c r="X401" i="45"/>
  <c r="X400" i="45"/>
  <c r="T23" i="45"/>
  <c r="T667" i="45"/>
  <c r="U22" i="45"/>
  <c r="V22" i="45" s="1"/>
  <c r="W21" i="45"/>
  <c r="W20" i="45"/>
  <c r="U666" i="45"/>
  <c r="X39" i="45"/>
  <c r="Z38" i="45"/>
  <c r="AA38" i="45" s="1"/>
  <c r="U42" i="45"/>
  <c r="V402" i="45"/>
  <c r="U404" i="45" l="1"/>
  <c r="V404" i="45" s="1"/>
  <c r="V666" i="45"/>
  <c r="W666" i="45" s="1"/>
  <c r="W22" i="45"/>
  <c r="AA401" i="45"/>
  <c r="AA19" i="45"/>
  <c r="T405" i="45"/>
  <c r="T44" i="45"/>
  <c r="V403" i="45"/>
  <c r="W665" i="45"/>
  <c r="U43" i="45"/>
  <c r="T668" i="45"/>
  <c r="X40" i="45"/>
  <c r="U667" i="45"/>
  <c r="T24" i="45"/>
  <c r="Z18" i="45"/>
  <c r="W402" i="45"/>
  <c r="X20" i="45"/>
  <c r="X21" i="45" s="1"/>
  <c r="U23" i="45"/>
  <c r="V23" i="45" s="1"/>
  <c r="W41" i="45"/>
  <c r="Y39" i="45"/>
  <c r="V42" i="45"/>
  <c r="Y401" i="45"/>
  <c r="Y400" i="45"/>
  <c r="Y19" i="45"/>
  <c r="V667" i="45" l="1"/>
  <c r="W667" i="45" s="1"/>
  <c r="X667" i="45" s="1"/>
  <c r="Y20" i="45"/>
  <c r="Y21" i="45" s="1"/>
  <c r="W23" i="45"/>
  <c r="W404" i="45"/>
  <c r="V43" i="45"/>
  <c r="T45" i="45"/>
  <c r="AA21" i="45"/>
  <c r="U44" i="45"/>
  <c r="X402" i="45"/>
  <c r="T669" i="45"/>
  <c r="W42" i="45"/>
  <c r="X42" i="45" s="1"/>
  <c r="AA404" i="45"/>
  <c r="W403" i="45"/>
  <c r="Y40" i="45"/>
  <c r="Z19" i="45"/>
  <c r="U668" i="45"/>
  <c r="X41" i="45"/>
  <c r="T406" i="45"/>
  <c r="Z39" i="45"/>
  <c r="AA39" i="45" s="1"/>
  <c r="T25" i="45"/>
  <c r="X22" i="45"/>
  <c r="AA20" i="45"/>
  <c r="U24" i="45"/>
  <c r="V24" i="45" s="1"/>
  <c r="X666" i="45"/>
  <c r="X665" i="45"/>
  <c r="U405" i="45"/>
  <c r="Z20" i="45" l="1"/>
  <c r="X23" i="45"/>
  <c r="AA23" i="45" s="1"/>
  <c r="V44" i="45"/>
  <c r="Y41" i="45"/>
  <c r="Z41" i="45" s="1"/>
  <c r="AA41" i="45" s="1"/>
  <c r="W43" i="45"/>
  <c r="U406" i="45"/>
  <c r="U669" i="45"/>
  <c r="W24" i="45"/>
  <c r="AA667" i="45"/>
  <c r="AA22" i="45"/>
  <c r="X404" i="45"/>
  <c r="Y22" i="45"/>
  <c r="T407" i="45"/>
  <c r="T26" i="45"/>
  <c r="U25" i="45"/>
  <c r="AA402" i="45"/>
  <c r="Y402" i="45"/>
  <c r="T46" i="45"/>
  <c r="V405" i="45"/>
  <c r="AA665" i="45"/>
  <c r="Y42" i="45"/>
  <c r="X403" i="45"/>
  <c r="U45" i="45"/>
  <c r="AA666" i="45"/>
  <c r="V668" i="45"/>
  <c r="Z21" i="45"/>
  <c r="T670" i="45"/>
  <c r="Z40" i="45"/>
  <c r="AA40" i="45" s="1"/>
  <c r="X43" i="45"/>
  <c r="Y43" i="45" s="1"/>
  <c r="W44" i="45"/>
  <c r="U670" i="45" l="1"/>
  <c r="X24" i="45"/>
  <c r="Y23" i="45"/>
  <c r="X44" i="45"/>
  <c r="Y44" i="45" s="1"/>
  <c r="V406" i="45"/>
  <c r="W406" i="45" s="1"/>
  <c r="W668" i="45"/>
  <c r="T27" i="45"/>
  <c r="U28" i="45" s="1"/>
  <c r="V29" i="45" s="1"/>
  <c r="W30" i="45" s="1"/>
  <c r="X31" i="45" s="1"/>
  <c r="U26" i="45"/>
  <c r="AA403" i="45"/>
  <c r="T408" i="45"/>
  <c r="Z43" i="45"/>
  <c r="AA43" i="45" s="1"/>
  <c r="T47" i="45"/>
  <c r="V669" i="45"/>
  <c r="U46" i="45"/>
  <c r="U407" i="45"/>
  <c r="V45" i="45"/>
  <c r="V25" i="45"/>
  <c r="T671" i="45"/>
  <c r="W405" i="45"/>
  <c r="Y403" i="45"/>
  <c r="Y404" i="45" s="1"/>
  <c r="Z22" i="45"/>
  <c r="Z42" i="45"/>
  <c r="AA42" i="45" s="1"/>
  <c r="Y24" i="45" l="1"/>
  <c r="Z23" i="45"/>
  <c r="Z24" i="45" s="1"/>
  <c r="AA24" i="45"/>
  <c r="U408" i="45"/>
  <c r="U47" i="45"/>
  <c r="V46" i="45"/>
  <c r="V47" i="45" s="1"/>
  <c r="AA31" i="45"/>
  <c r="T672" i="45"/>
  <c r="U27" i="45"/>
  <c r="V28" i="45" s="1"/>
  <c r="T48" i="45"/>
  <c r="X668" i="45"/>
  <c r="U671" i="45"/>
  <c r="W669" i="45"/>
  <c r="X669" i="45" s="1"/>
  <c r="W45" i="45"/>
  <c r="V26" i="45"/>
  <c r="W26" i="45" s="1"/>
  <c r="W25" i="45"/>
  <c r="V670" i="45"/>
  <c r="W670" i="45" s="1"/>
  <c r="V407" i="45"/>
  <c r="X406" i="45"/>
  <c r="X405" i="45"/>
  <c r="T409" i="45"/>
  <c r="Z44" i="45"/>
  <c r="AA44" i="45" s="1"/>
  <c r="U409" i="45" l="1"/>
  <c r="U672" i="45"/>
  <c r="AA669" i="45"/>
  <c r="AA405" i="45"/>
  <c r="Y405" i="45"/>
  <c r="Y406" i="45" s="1"/>
  <c r="T673" i="45"/>
  <c r="AA668" i="45"/>
  <c r="X45" i="45"/>
  <c r="X25" i="45"/>
  <c r="AA406" i="45"/>
  <c r="W46" i="45"/>
  <c r="T49" i="45"/>
  <c r="W407" i="45"/>
  <c r="X670" i="45"/>
  <c r="U48" i="45"/>
  <c r="V408" i="45"/>
  <c r="W408" i="45" s="1"/>
  <c r="V27" i="45"/>
  <c r="W27" i="45" s="1"/>
  <c r="T410" i="45"/>
  <c r="V672" i="45"/>
  <c r="V671" i="45"/>
  <c r="U410" i="45" l="1"/>
  <c r="U673" i="45"/>
  <c r="V673" i="45" s="1"/>
  <c r="W673" i="45" s="1"/>
  <c r="W672" i="45"/>
  <c r="U49" i="45"/>
  <c r="V409" i="45"/>
  <c r="V48" i="45"/>
  <c r="AA670" i="45"/>
  <c r="W47" i="45"/>
  <c r="X408" i="45"/>
  <c r="X407" i="45"/>
  <c r="AA25" i="45"/>
  <c r="Y25" i="45"/>
  <c r="W671" i="45"/>
  <c r="T411" i="45"/>
  <c r="U411" i="45" s="1"/>
  <c r="X26" i="45"/>
  <c r="X27" i="45" s="1"/>
  <c r="Y45" i="45"/>
  <c r="T674" i="45"/>
  <c r="W28" i="45"/>
  <c r="T50" i="45"/>
  <c r="X46" i="45"/>
  <c r="V410" i="45" l="1"/>
  <c r="V411" i="45" s="1"/>
  <c r="W409" i="45"/>
  <c r="X409" i="45" s="1"/>
  <c r="Y26" i="45"/>
  <c r="Y27" i="45" s="1"/>
  <c r="X28" i="45"/>
  <c r="AA28" i="45" s="1"/>
  <c r="T675" i="45"/>
  <c r="U674" i="45"/>
  <c r="T412" i="45"/>
  <c r="U412" i="45" s="1"/>
  <c r="AA27" i="45"/>
  <c r="T51" i="45"/>
  <c r="W48" i="45"/>
  <c r="W29" i="45"/>
  <c r="V49" i="45"/>
  <c r="X672" i="45"/>
  <c r="X671" i="45"/>
  <c r="Y46" i="45"/>
  <c r="X673" i="45"/>
  <c r="Z45" i="45"/>
  <c r="AA45" i="45" s="1"/>
  <c r="Z25" i="45"/>
  <c r="U50" i="45"/>
  <c r="Y408" i="45"/>
  <c r="Y407" i="45"/>
  <c r="AA26" i="45"/>
  <c r="X47" i="45"/>
  <c r="Y47" i="45" s="1"/>
  <c r="Y28" i="45" l="1"/>
  <c r="W410" i="45"/>
  <c r="Z26" i="45"/>
  <c r="W49" i="45"/>
  <c r="X48" i="45"/>
  <c r="Y48" i="45" s="1"/>
  <c r="Z48" i="45" s="1"/>
  <c r="W411" i="45"/>
  <c r="X411" i="45" s="1"/>
  <c r="V674" i="45"/>
  <c r="AA409" i="45"/>
  <c r="AA673" i="45"/>
  <c r="X29" i="45"/>
  <c r="T676" i="45"/>
  <c r="Z47" i="45"/>
  <c r="AA47" i="45" s="1"/>
  <c r="U675" i="45"/>
  <c r="X410" i="45"/>
  <c r="Y410" i="45" s="1"/>
  <c r="AA671" i="45"/>
  <c r="V412" i="45"/>
  <c r="V50" i="45"/>
  <c r="AA672" i="45"/>
  <c r="T52" i="45"/>
  <c r="Y409" i="45"/>
  <c r="U51" i="45"/>
  <c r="Z46" i="45"/>
  <c r="AA46" i="45" s="1"/>
  <c r="T413" i="45"/>
  <c r="U413" i="45" s="1"/>
  <c r="Z27" i="45"/>
  <c r="Z28" i="45" s="1"/>
  <c r="X49" i="45" l="1"/>
  <c r="Y49" i="45" s="1"/>
  <c r="Z49" i="45" s="1"/>
  <c r="AA49" i="45" s="1"/>
  <c r="V51" i="45"/>
  <c r="W50" i="45"/>
  <c r="U676" i="45"/>
  <c r="W412" i="45"/>
  <c r="T414" i="45"/>
  <c r="W674" i="45"/>
  <c r="T53" i="45"/>
  <c r="U52" i="45"/>
  <c r="T677" i="45"/>
  <c r="V675" i="45"/>
  <c r="Y411" i="45"/>
  <c r="AA48" i="45"/>
  <c r="AA29" i="45"/>
  <c r="Y29" i="45"/>
  <c r="X30" i="45"/>
  <c r="V413" i="45"/>
  <c r="V52" i="45" l="1"/>
  <c r="X50" i="45"/>
  <c r="Y50" i="45" s="1"/>
  <c r="Z50" i="45" s="1"/>
  <c r="AA50" i="45" s="1"/>
  <c r="W51" i="45"/>
  <c r="W52" i="45" s="1"/>
  <c r="Y30" i="45"/>
  <c r="Y31" i="45" s="1"/>
  <c r="X674" i="45"/>
  <c r="W675" i="45"/>
  <c r="X675" i="45" s="1"/>
  <c r="T678" i="45"/>
  <c r="W413" i="45"/>
  <c r="Z29" i="45"/>
  <c r="U677" i="45"/>
  <c r="T415" i="45"/>
  <c r="V676" i="45"/>
  <c r="W676" i="45" s="1"/>
  <c r="X412" i="45"/>
  <c r="T54" i="45"/>
  <c r="U414" i="45"/>
  <c r="AA30" i="45"/>
  <c r="U53" i="45"/>
  <c r="V53" i="45" s="1"/>
  <c r="Z30" i="45" l="1"/>
  <c r="U415" i="45"/>
  <c r="X51" i="45"/>
  <c r="Y51" i="45" s="1"/>
  <c r="U54" i="45"/>
  <c r="V54" i="45" s="1"/>
  <c r="AA675" i="45"/>
  <c r="AA674" i="45"/>
  <c r="T679" i="45"/>
  <c r="X413" i="45"/>
  <c r="V414" i="45"/>
  <c r="T55" i="45"/>
  <c r="T416" i="45"/>
  <c r="U416" i="45" s="1"/>
  <c r="U678" i="45"/>
  <c r="Y32" i="45"/>
  <c r="X676" i="45"/>
  <c r="AA412" i="45"/>
  <c r="Y412" i="45"/>
  <c r="W53" i="45"/>
  <c r="V677" i="45"/>
  <c r="W677" i="45" s="1"/>
  <c r="Z31" i="45"/>
  <c r="V415" i="45" l="1"/>
  <c r="W415" i="45" s="1"/>
  <c r="X52" i="45"/>
  <c r="X53" i="45" s="1"/>
  <c r="Y53" i="45" s="1"/>
  <c r="W54" i="45"/>
  <c r="Y413" i="45"/>
  <c r="U679" i="45"/>
  <c r="X677" i="45"/>
  <c r="Z51" i="45"/>
  <c r="AA51" i="45" s="1"/>
  <c r="T417" i="45"/>
  <c r="AA413" i="45"/>
  <c r="T680" i="45"/>
  <c r="V678" i="45"/>
  <c r="T56" i="45"/>
  <c r="U55" i="45"/>
  <c r="Z32" i="45"/>
  <c r="Z33" i="45" s="1"/>
  <c r="AA33" i="45" s="1"/>
  <c r="AA676" i="45"/>
  <c r="W414" i="45"/>
  <c r="V416" i="45"/>
  <c r="Y52" i="45" l="1"/>
  <c r="Z53" i="45" s="1"/>
  <c r="AA53" i="45" s="1"/>
  <c r="X54" i="45"/>
  <c r="Y54" i="45" s="1"/>
  <c r="Z54" i="45" s="1"/>
  <c r="AA54" i="45" s="1"/>
  <c r="U680" i="45"/>
  <c r="T418" i="45"/>
  <c r="U417" i="45"/>
  <c r="AA677" i="45"/>
  <c r="T681" i="45"/>
  <c r="X415" i="45"/>
  <c r="X414" i="45"/>
  <c r="W416" i="45"/>
  <c r="X416" i="45" s="1"/>
  <c r="V55" i="45"/>
  <c r="V679" i="45"/>
  <c r="U56" i="45"/>
  <c r="W678" i="45"/>
  <c r="T57" i="45"/>
  <c r="Z52" i="45" l="1"/>
  <c r="AA52" i="45" s="1"/>
  <c r="U681" i="45"/>
  <c r="AA416" i="45"/>
  <c r="AA415" i="45"/>
  <c r="V417" i="45"/>
  <c r="T682" i="45"/>
  <c r="W679" i="45"/>
  <c r="W55" i="45"/>
  <c r="T419" i="45"/>
  <c r="V56" i="45"/>
  <c r="U418" i="45"/>
  <c r="X678" i="45"/>
  <c r="T58" i="45"/>
  <c r="U57" i="45"/>
  <c r="AA414" i="45"/>
  <c r="Y414" i="45"/>
  <c r="Y415" i="45" s="1"/>
  <c r="V680" i="45"/>
  <c r="V418" i="45" l="1"/>
  <c r="W56" i="45"/>
  <c r="V57" i="45"/>
  <c r="W57" i="45" s="1"/>
  <c r="U58" i="45"/>
  <c r="V58" i="45" s="1"/>
  <c r="U419" i="45"/>
  <c r="V419" i="45" s="1"/>
  <c r="Y416" i="45"/>
  <c r="T420" i="45"/>
  <c r="T59" i="45"/>
  <c r="X55" i="45"/>
  <c r="W418" i="45"/>
  <c r="W417" i="45"/>
  <c r="X679" i="45"/>
  <c r="T683" i="45"/>
  <c r="AA678" i="45"/>
  <c r="U682" i="45"/>
  <c r="V681" i="45"/>
  <c r="W680" i="45"/>
  <c r="X680" i="45" s="1"/>
  <c r="U59" i="45" l="1"/>
  <c r="V59" i="45" s="1"/>
  <c r="U420" i="45"/>
  <c r="V420" i="45" s="1"/>
  <c r="AA680" i="45"/>
  <c r="T421" i="45"/>
  <c r="W419" i="45"/>
  <c r="X418" i="45"/>
  <c r="X417" i="45"/>
  <c r="Y55" i="45"/>
  <c r="W681" i="45"/>
  <c r="T684" i="45"/>
  <c r="U683" i="45"/>
  <c r="X56" i="45"/>
  <c r="X57" i="45"/>
  <c r="V682" i="45"/>
  <c r="AA679" i="45"/>
  <c r="T60" i="45"/>
  <c r="W58" i="45"/>
  <c r="U60" i="45" l="1"/>
  <c r="V60" i="45" s="1"/>
  <c r="W59" i="45"/>
  <c r="X59" i="45" s="1"/>
  <c r="W420" i="45"/>
  <c r="X420" i="45" s="1"/>
  <c r="Y56" i="45"/>
  <c r="Z56" i="45" s="1"/>
  <c r="AA56" i="45" s="1"/>
  <c r="X58" i="45"/>
  <c r="T422" i="45"/>
  <c r="U421" i="45"/>
  <c r="W682" i="45"/>
  <c r="T685" i="45"/>
  <c r="V683" i="45"/>
  <c r="U684" i="45"/>
  <c r="X419" i="45"/>
  <c r="AA57" i="45"/>
  <c r="X681" i="45"/>
  <c r="AA417" i="45"/>
  <c r="Y417" i="45"/>
  <c r="Y418" i="45" s="1"/>
  <c r="Y419" i="45" s="1"/>
  <c r="AA418" i="45"/>
  <c r="T61" i="45"/>
  <c r="U61" i="45" s="1"/>
  <c r="Y57" i="45"/>
  <c r="Z55" i="45"/>
  <c r="AA55" i="45" s="1"/>
  <c r="W60" i="45" l="1"/>
  <c r="X60" i="45" s="1"/>
  <c r="U422" i="45"/>
  <c r="V684" i="45"/>
  <c r="W684" i="45" s="1"/>
  <c r="Y59" i="45"/>
  <c r="Y681" i="45"/>
  <c r="T686" i="45"/>
  <c r="T62" i="45"/>
  <c r="U62" i="45" s="1"/>
  <c r="U685" i="45"/>
  <c r="V685" i="45" s="1"/>
  <c r="Y58" i="45"/>
  <c r="Z57" i="45"/>
  <c r="Y60" i="45"/>
  <c r="V421" i="45"/>
  <c r="X682" i="45"/>
  <c r="W683" i="45"/>
  <c r="AA419" i="45"/>
  <c r="Y420" i="45"/>
  <c r="T423" i="45"/>
  <c r="V61" i="45"/>
  <c r="U423" i="45" l="1"/>
  <c r="Z58" i="45"/>
  <c r="AA58" i="45" s="1"/>
  <c r="X684" i="45"/>
  <c r="AA684" i="45" s="1"/>
  <c r="T424" i="45"/>
  <c r="X683" i="45"/>
  <c r="Y683" i="45" s="1"/>
  <c r="T687" i="45"/>
  <c r="V62" i="45"/>
  <c r="W421" i="45"/>
  <c r="U686" i="45"/>
  <c r="V686" i="45" s="1"/>
  <c r="W687" i="45" s="1"/>
  <c r="W685" i="45"/>
  <c r="X685" i="45" s="1"/>
  <c r="W61" i="45"/>
  <c r="V422" i="45"/>
  <c r="Y682" i="45"/>
  <c r="T63" i="45"/>
  <c r="V423" i="45" l="1"/>
  <c r="Z59" i="45"/>
  <c r="AA59" i="45" s="1"/>
  <c r="AA685" i="45"/>
  <c r="T64" i="45"/>
  <c r="U63" i="45"/>
  <c r="W422" i="45"/>
  <c r="X422" i="45" s="1"/>
  <c r="W686" i="45"/>
  <c r="X61" i="45"/>
  <c r="T425" i="45"/>
  <c r="U424" i="45"/>
  <c r="T688" i="45"/>
  <c r="W62" i="45"/>
  <c r="X62" i="45" s="1"/>
  <c r="U687" i="45"/>
  <c r="X421" i="45"/>
  <c r="Y684" i="45"/>
  <c r="Y685" i="45" s="1"/>
  <c r="AA683" i="45"/>
  <c r="Z60" i="45" l="1"/>
  <c r="AA60" i="45" s="1"/>
  <c r="W423" i="45"/>
  <c r="X423" i="45" s="1"/>
  <c r="U64" i="45"/>
  <c r="V63" i="45"/>
  <c r="T426" i="45"/>
  <c r="U425" i="45"/>
  <c r="Y62" i="45"/>
  <c r="AA61" i="45"/>
  <c r="Y61" i="45"/>
  <c r="Y422" i="45"/>
  <c r="Y421" i="45"/>
  <c r="T689" i="45"/>
  <c r="U688" i="45"/>
  <c r="V688" i="45" s="1"/>
  <c r="T65" i="45"/>
  <c r="V424" i="45"/>
  <c r="X686" i="45"/>
  <c r="X687" i="45" s="1"/>
  <c r="V425" i="45" l="1"/>
  <c r="U65" i="45"/>
  <c r="AA687" i="45"/>
  <c r="W688" i="45"/>
  <c r="T427" i="45"/>
  <c r="U426" i="45"/>
  <c r="T690" i="45"/>
  <c r="W63" i="45"/>
  <c r="V64" i="45"/>
  <c r="Z61" i="45"/>
  <c r="Z62" i="45" s="1"/>
  <c r="AA62" i="45" s="1"/>
  <c r="Y423" i="45"/>
  <c r="T66" i="45"/>
  <c r="W424" i="45"/>
  <c r="AA686" i="45"/>
  <c r="Y686" i="45"/>
  <c r="Y687" i="45" s="1"/>
  <c r="U689" i="45"/>
  <c r="V689" i="45" s="1"/>
  <c r="V426" i="45" l="1"/>
  <c r="W425" i="45"/>
  <c r="X425" i="45" s="1"/>
  <c r="V65" i="45"/>
  <c r="U427" i="45"/>
  <c r="W64" i="45"/>
  <c r="X64" i="45" s="1"/>
  <c r="U690" i="45"/>
  <c r="V690" i="45" s="1"/>
  <c r="W689" i="45"/>
  <c r="X688" i="45"/>
  <c r="X424" i="45"/>
  <c r="T691" i="45"/>
  <c r="T67" i="45"/>
  <c r="U66" i="45"/>
  <c r="X63" i="45"/>
  <c r="T428" i="45"/>
  <c r="V427" i="45" l="1"/>
  <c r="W426" i="45"/>
  <c r="X426" i="45" s="1"/>
  <c r="W65" i="45"/>
  <c r="X65" i="45" s="1"/>
  <c r="U691" i="45"/>
  <c r="V691" i="45" s="1"/>
  <c r="W691" i="45" s="1"/>
  <c r="T429" i="45"/>
  <c r="AA64" i="45"/>
  <c r="W690" i="45"/>
  <c r="U428" i="45"/>
  <c r="T68" i="45"/>
  <c r="U67" i="45"/>
  <c r="T692" i="45"/>
  <c r="AA688" i="45"/>
  <c r="Y688" i="45"/>
  <c r="Y64" i="45"/>
  <c r="Y63" i="45"/>
  <c r="Y425" i="45"/>
  <c r="Y424" i="45"/>
  <c r="X689" i="45"/>
  <c r="V66" i="45"/>
  <c r="U692" i="45" l="1"/>
  <c r="W427" i="45"/>
  <c r="X427" i="45" s="1"/>
  <c r="Y427" i="45" s="1"/>
  <c r="U429" i="45"/>
  <c r="V67" i="45"/>
  <c r="W67" i="45" s="1"/>
  <c r="U68" i="45"/>
  <c r="X691" i="45"/>
  <c r="AA691" i="45" s="1"/>
  <c r="V692" i="45"/>
  <c r="W692" i="45" s="1"/>
  <c r="AA689" i="45"/>
  <c r="X690" i="45"/>
  <c r="Y65" i="45"/>
  <c r="V428" i="45"/>
  <c r="Y689" i="45"/>
  <c r="Z63" i="45"/>
  <c r="AA63" i="45" s="1"/>
  <c r="T693" i="45"/>
  <c r="Y426" i="45"/>
  <c r="W66" i="45"/>
  <c r="T69" i="45"/>
  <c r="T430" i="45"/>
  <c r="U430" i="45" s="1"/>
  <c r="V68" i="45" l="1"/>
  <c r="W68" i="45" s="1"/>
  <c r="X68" i="45" s="1"/>
  <c r="AA690" i="45"/>
  <c r="W428" i="45"/>
  <c r="X67" i="45"/>
  <c r="X66" i="45"/>
  <c r="V429" i="45"/>
  <c r="T70" i="45"/>
  <c r="U69" i="45"/>
  <c r="X692" i="45"/>
  <c r="T694" i="45"/>
  <c r="T431" i="45"/>
  <c r="U693" i="45"/>
  <c r="Z64" i="45"/>
  <c r="Z65" i="45" s="1"/>
  <c r="AA65" i="45" s="1"/>
  <c r="Y690" i="45"/>
  <c r="Y691" i="45" s="1"/>
  <c r="W429" i="45" l="1"/>
  <c r="X429" i="45" s="1"/>
  <c r="V693" i="45"/>
  <c r="AA692" i="45"/>
  <c r="Y692" i="45"/>
  <c r="V69" i="45"/>
  <c r="Y67" i="45"/>
  <c r="Y66" i="45"/>
  <c r="V430" i="45"/>
  <c r="W430" i="45" s="1"/>
  <c r="T695" i="45"/>
  <c r="U694" i="45"/>
  <c r="V694" i="45" s="1"/>
  <c r="T71" i="45"/>
  <c r="Y68" i="45"/>
  <c r="AA67" i="45"/>
  <c r="T432" i="45"/>
  <c r="U431" i="45"/>
  <c r="U70" i="45"/>
  <c r="X428" i="45"/>
  <c r="U71" i="45" l="1"/>
  <c r="W693" i="45"/>
  <c r="W69" i="45"/>
  <c r="V70" i="45"/>
  <c r="V431" i="45"/>
  <c r="W431" i="45" s="1"/>
  <c r="T696" i="45"/>
  <c r="Y429" i="45"/>
  <c r="Y428" i="45"/>
  <c r="T72" i="45"/>
  <c r="T433" i="45"/>
  <c r="U695" i="45"/>
  <c r="V695" i="45" s="1"/>
  <c r="X430" i="45"/>
  <c r="Z66" i="45"/>
  <c r="AA66" i="45" s="1"/>
  <c r="U432" i="45"/>
  <c r="W70" i="45" l="1"/>
  <c r="X70" i="45" s="1"/>
  <c r="X431" i="45"/>
  <c r="Y431" i="45" s="1"/>
  <c r="X693" i="45"/>
  <c r="W694" i="45"/>
  <c r="Z67" i="45"/>
  <c r="Z68" i="45" s="1"/>
  <c r="AA68" i="45" s="1"/>
  <c r="X69" i="45"/>
  <c r="T697" i="45"/>
  <c r="T434" i="45"/>
  <c r="U433" i="45"/>
  <c r="U696" i="45"/>
  <c r="V71" i="45"/>
  <c r="AA430" i="45"/>
  <c r="Y430" i="45"/>
  <c r="T73" i="45"/>
  <c r="U72" i="45"/>
  <c r="V432" i="45"/>
  <c r="W432" i="45" s="1"/>
  <c r="U73" i="45" l="1"/>
  <c r="X432" i="45"/>
  <c r="Y432" i="45" s="1"/>
  <c r="Y70" i="45"/>
  <c r="Y69" i="45"/>
  <c r="AA693" i="45"/>
  <c r="Y693" i="45"/>
  <c r="X694" i="45"/>
  <c r="V433" i="45"/>
  <c r="W695" i="45"/>
  <c r="X695" i="45" s="1"/>
  <c r="V696" i="45"/>
  <c r="T435" i="45"/>
  <c r="U434" i="45"/>
  <c r="W71" i="45"/>
  <c r="T74" i="45"/>
  <c r="U697" i="45"/>
  <c r="V697" i="45" s="1"/>
  <c r="V72" i="45"/>
  <c r="W72" i="45" s="1"/>
  <c r="T698" i="45"/>
  <c r="V73" i="45" l="1"/>
  <c r="W73" i="45" s="1"/>
  <c r="Z69" i="45"/>
  <c r="AA69" i="45" s="1"/>
  <c r="Y695" i="45"/>
  <c r="T699" i="45"/>
  <c r="U698" i="45"/>
  <c r="W697" i="45"/>
  <c r="W696" i="45"/>
  <c r="V434" i="45"/>
  <c r="T436" i="45"/>
  <c r="U435" i="45"/>
  <c r="T75" i="45"/>
  <c r="W433" i="45"/>
  <c r="U74" i="45"/>
  <c r="Y694" i="45"/>
  <c r="X72" i="45"/>
  <c r="X71" i="45"/>
  <c r="U699" i="45" l="1"/>
  <c r="V699" i="45" s="1"/>
  <c r="U436" i="45"/>
  <c r="X697" i="45"/>
  <c r="AA697" i="45" s="1"/>
  <c r="X696" i="45"/>
  <c r="Y696" i="45" s="1"/>
  <c r="V435" i="45"/>
  <c r="V74" i="45"/>
  <c r="X433" i="45"/>
  <c r="T700" i="45"/>
  <c r="Z70" i="45"/>
  <c r="AA70" i="45" s="1"/>
  <c r="T76" i="45"/>
  <c r="AA72" i="45"/>
  <c r="U75" i="45"/>
  <c r="Y72" i="45"/>
  <c r="Y71" i="45"/>
  <c r="V698" i="45"/>
  <c r="T437" i="45"/>
  <c r="W434" i="45"/>
  <c r="X434" i="45" s="1"/>
  <c r="X73" i="45"/>
  <c r="Y73" i="45" s="1"/>
  <c r="V436" i="45" l="1"/>
  <c r="V75" i="45"/>
  <c r="W435" i="45"/>
  <c r="X435" i="45" s="1"/>
  <c r="Y435" i="45" s="1"/>
  <c r="AA696" i="45"/>
  <c r="Y434" i="45"/>
  <c r="Y433" i="45"/>
  <c r="T701" i="45"/>
  <c r="W699" i="45"/>
  <c r="W698" i="45"/>
  <c r="U700" i="45"/>
  <c r="W74" i="45"/>
  <c r="T438" i="45"/>
  <c r="T77" i="45"/>
  <c r="Z71" i="45"/>
  <c r="AA71" i="45" s="1"/>
  <c r="U437" i="45"/>
  <c r="U76" i="45"/>
  <c r="V76" i="45" s="1"/>
  <c r="Y697" i="45"/>
  <c r="W436" i="45" l="1"/>
  <c r="X436" i="45" s="1"/>
  <c r="Y436" i="45" s="1"/>
  <c r="T78" i="45"/>
  <c r="V437" i="45"/>
  <c r="U77" i="45"/>
  <c r="V77" i="45" s="1"/>
  <c r="Z72" i="45"/>
  <c r="Z73" i="45" s="1"/>
  <c r="AA73" i="45" s="1"/>
  <c r="T439" i="45"/>
  <c r="V700" i="45"/>
  <c r="U438" i="45"/>
  <c r="X698" i="45"/>
  <c r="X74" i="45"/>
  <c r="T702" i="45"/>
  <c r="W75" i="45"/>
  <c r="X75" i="45" s="1"/>
  <c r="U701" i="45"/>
  <c r="V701" i="45" s="1"/>
  <c r="U702" i="45" l="1"/>
  <c r="V702" i="45" s="1"/>
  <c r="W701" i="45"/>
  <c r="W700" i="45"/>
  <c r="T440" i="45"/>
  <c r="T703" i="45"/>
  <c r="U439" i="45"/>
  <c r="T79" i="45"/>
  <c r="U78" i="45"/>
  <c r="V78" i="45" s="1"/>
  <c r="AA698" i="45"/>
  <c r="Y698" i="45"/>
  <c r="X699" i="45"/>
  <c r="W437" i="45"/>
  <c r="W76" i="45"/>
  <c r="W77" i="45" s="1"/>
  <c r="Y75" i="45"/>
  <c r="Y74" i="45"/>
  <c r="V438" i="45"/>
  <c r="U79" i="45" l="1"/>
  <c r="V439" i="45"/>
  <c r="W439" i="45" s="1"/>
  <c r="Y699" i="45"/>
  <c r="T441" i="45"/>
  <c r="U440" i="45"/>
  <c r="X700" i="45"/>
  <c r="AA699" i="45"/>
  <c r="X77" i="45"/>
  <c r="T704" i="45"/>
  <c r="Z74" i="45"/>
  <c r="Z75" i="45" s="1"/>
  <c r="AA75" i="45" s="1"/>
  <c r="T80" i="45"/>
  <c r="X437" i="45"/>
  <c r="U703" i="45"/>
  <c r="W702" i="45"/>
  <c r="W78" i="45"/>
  <c r="X78" i="45" s="1"/>
  <c r="W438" i="45"/>
  <c r="X438" i="45" s="1"/>
  <c r="V79" i="45"/>
  <c r="X76" i="45"/>
  <c r="U80" i="45" l="1"/>
  <c r="V80" i="45" s="1"/>
  <c r="Y700" i="45"/>
  <c r="AA74" i="45"/>
  <c r="U441" i="45"/>
  <c r="X701" i="45"/>
  <c r="Y77" i="45"/>
  <c r="Y76" i="45"/>
  <c r="T81" i="45"/>
  <c r="V703" i="45"/>
  <c r="T705" i="45"/>
  <c r="T442" i="45"/>
  <c r="X439" i="45"/>
  <c r="Y439" i="45" s="1"/>
  <c r="U704" i="45"/>
  <c r="W79" i="45"/>
  <c r="AA700" i="45"/>
  <c r="Y438" i="45"/>
  <c r="Y437" i="45"/>
  <c r="Y78" i="45"/>
  <c r="V440" i="45"/>
  <c r="U81" i="45" l="1"/>
  <c r="Y701" i="45"/>
  <c r="U705" i="45"/>
  <c r="V705" i="45" s="1"/>
  <c r="T443" i="45"/>
  <c r="AA701" i="45"/>
  <c r="Z76" i="45"/>
  <c r="AA76" i="45" s="1"/>
  <c r="T706" i="45"/>
  <c r="W440" i="45"/>
  <c r="AA439" i="45"/>
  <c r="W703" i="45"/>
  <c r="X702" i="45"/>
  <c r="U442" i="45"/>
  <c r="W80" i="45"/>
  <c r="X80" i="45" s="1"/>
  <c r="V704" i="45"/>
  <c r="V441" i="45"/>
  <c r="T82" i="45"/>
  <c r="X79" i="45"/>
  <c r="V81" i="45"/>
  <c r="W81" i="45" l="1"/>
  <c r="U706" i="45"/>
  <c r="W705" i="45"/>
  <c r="Y702" i="45"/>
  <c r="U443" i="45"/>
  <c r="X440" i="45"/>
  <c r="Z77" i="45"/>
  <c r="V442" i="45"/>
  <c r="W442" i="45" s="1"/>
  <c r="X81" i="45"/>
  <c r="Y81" i="45" s="1"/>
  <c r="AA702" i="45"/>
  <c r="W441" i="45"/>
  <c r="X441" i="45" s="1"/>
  <c r="X703" i="45"/>
  <c r="T707" i="45"/>
  <c r="T444" i="45"/>
  <c r="U444" i="45" s="1"/>
  <c r="Y80" i="45"/>
  <c r="Y79" i="45"/>
  <c r="T83" i="45"/>
  <c r="U82" i="45"/>
  <c r="W704" i="45"/>
  <c r="V706" i="45"/>
  <c r="W706" i="45" s="1"/>
  <c r="Y703" i="45" l="1"/>
  <c r="U707" i="45"/>
  <c r="V707" i="45" s="1"/>
  <c r="W707" i="45" s="1"/>
  <c r="X704" i="45"/>
  <c r="AA704" i="45" s="1"/>
  <c r="T445" i="45"/>
  <c r="U445" i="45" s="1"/>
  <c r="Y441" i="45"/>
  <c r="Y440" i="45"/>
  <c r="Z78" i="45"/>
  <c r="AA78" i="45" s="1"/>
  <c r="AA77" i="45"/>
  <c r="T84" i="45"/>
  <c r="X442" i="45"/>
  <c r="U83" i="45"/>
  <c r="T708" i="45"/>
  <c r="V82" i="45"/>
  <c r="AA703" i="45"/>
  <c r="V443" i="45"/>
  <c r="U708" i="45" l="1"/>
  <c r="Y704" i="45"/>
  <c r="X705" i="45"/>
  <c r="X706" i="45" s="1"/>
  <c r="V708" i="45"/>
  <c r="W708" i="45" s="1"/>
  <c r="V444" i="45"/>
  <c r="AA442" i="45"/>
  <c r="T85" i="45"/>
  <c r="T709" i="45"/>
  <c r="U709" i="45" s="1"/>
  <c r="W82" i="45"/>
  <c r="V83" i="45"/>
  <c r="U84" i="45"/>
  <c r="T446" i="45"/>
  <c r="Y442" i="45"/>
  <c r="W443" i="45"/>
  <c r="Z79" i="45"/>
  <c r="V84" i="45" l="1"/>
  <c r="Y705" i="45"/>
  <c r="Y706" i="45" s="1"/>
  <c r="AA705" i="45"/>
  <c r="X443" i="45"/>
  <c r="T710" i="45"/>
  <c r="U710" i="45" s="1"/>
  <c r="W444" i="45"/>
  <c r="X444" i="45" s="1"/>
  <c r="T447" i="45"/>
  <c r="U446" i="45"/>
  <c r="T86" i="45"/>
  <c r="U85" i="45"/>
  <c r="V445" i="45"/>
  <c r="X82" i="45"/>
  <c r="AA79" i="45"/>
  <c r="Z80" i="45"/>
  <c r="W83" i="45"/>
  <c r="X83" i="45" s="1"/>
  <c r="AA706" i="45"/>
  <c r="X707" i="45"/>
  <c r="V709" i="45"/>
  <c r="W709" i="45" s="1"/>
  <c r="U86" i="45" l="1"/>
  <c r="W445" i="45"/>
  <c r="X445" i="45" s="1"/>
  <c r="Y707" i="45"/>
  <c r="V710" i="45"/>
  <c r="W710" i="45" s="1"/>
  <c r="Y444" i="45"/>
  <c r="Y443" i="45"/>
  <c r="T448" i="45"/>
  <c r="U447" i="45"/>
  <c r="AA707" i="45"/>
  <c r="AA82" i="45"/>
  <c r="Y83" i="45"/>
  <c r="Y82" i="45"/>
  <c r="AA80" i="45"/>
  <c r="Z81" i="45"/>
  <c r="AA81" i="45" s="1"/>
  <c r="X708" i="45"/>
  <c r="V446" i="45"/>
  <c r="W446" i="45" s="1"/>
  <c r="V85" i="45"/>
  <c r="W84" i="45"/>
  <c r="X84" i="45" s="1"/>
  <c r="T87" i="45"/>
  <c r="U87" i="45" s="1"/>
  <c r="T711" i="45"/>
  <c r="X446" i="45" l="1"/>
  <c r="AA446" i="45" s="1"/>
  <c r="U448" i="45"/>
  <c r="Y708" i="45"/>
  <c r="X709" i="45"/>
  <c r="X710" i="45" s="1"/>
  <c r="AA710" i="45" s="1"/>
  <c r="Y84" i="45"/>
  <c r="T712" i="45"/>
  <c r="Z82" i="45"/>
  <c r="Z83" i="45" s="1"/>
  <c r="AA83" i="45" s="1"/>
  <c r="T449" i="45"/>
  <c r="W85" i="45"/>
  <c r="U711" i="45"/>
  <c r="X85" i="45"/>
  <c r="Y85" i="45" s="1"/>
  <c r="V447" i="45"/>
  <c r="V86" i="45"/>
  <c r="T88" i="45"/>
  <c r="AA708" i="45"/>
  <c r="Y445" i="45"/>
  <c r="V448" i="45" l="1"/>
  <c r="Y446" i="45"/>
  <c r="Y709" i="45"/>
  <c r="Y710" i="45" s="1"/>
  <c r="AA709" i="45"/>
  <c r="U712" i="45"/>
  <c r="V712" i="45" s="1"/>
  <c r="Z84" i="45"/>
  <c r="AA84" i="45" s="1"/>
  <c r="T713" i="45"/>
  <c r="T89" i="45"/>
  <c r="W447" i="45"/>
  <c r="W448" i="45" s="1"/>
  <c r="AA85" i="45"/>
  <c r="V711" i="45"/>
  <c r="T450" i="45"/>
  <c r="V87" i="45"/>
  <c r="U88" i="45"/>
  <c r="U449" i="45"/>
  <c r="W86" i="45"/>
  <c r="W87" i="45" l="1"/>
  <c r="T714" i="45"/>
  <c r="Z85" i="45"/>
  <c r="U713" i="45"/>
  <c r="X448" i="45"/>
  <c r="X447" i="45"/>
  <c r="T90" i="45"/>
  <c r="V88" i="45"/>
  <c r="V449" i="45"/>
  <c r="W712" i="45"/>
  <c r="W711" i="45"/>
  <c r="U89" i="45"/>
  <c r="T451" i="45"/>
  <c r="X86" i="45"/>
  <c r="U450" i="45"/>
  <c r="V450" i="45" l="1"/>
  <c r="X87" i="45"/>
  <c r="Y87" i="45" s="1"/>
  <c r="V89" i="45"/>
  <c r="T452" i="45"/>
  <c r="U451" i="45"/>
  <c r="V451" i="45" s="1"/>
  <c r="V713" i="45"/>
  <c r="W88" i="45"/>
  <c r="X711" i="45"/>
  <c r="X712" i="45" s="1"/>
  <c r="T715" i="45"/>
  <c r="Y86" i="45"/>
  <c r="U90" i="45"/>
  <c r="T91" i="45"/>
  <c r="U91" i="45" s="1"/>
  <c r="U714" i="45"/>
  <c r="W450" i="45"/>
  <c r="W449" i="45"/>
  <c r="Y448" i="45"/>
  <c r="Y447" i="45"/>
  <c r="W89" i="45" l="1"/>
  <c r="AA712" i="45"/>
  <c r="W451" i="45"/>
  <c r="V90" i="45"/>
  <c r="V91" i="45" s="1"/>
  <c r="T453" i="45"/>
  <c r="Z87" i="45"/>
  <c r="AA87" i="45" s="1"/>
  <c r="Z86" i="45"/>
  <c r="AA86" i="45" s="1"/>
  <c r="X88" i="45"/>
  <c r="U452" i="45"/>
  <c r="AA711" i="45"/>
  <c r="Y711" i="45"/>
  <c r="X451" i="45"/>
  <c r="T92" i="45"/>
  <c r="X450" i="45"/>
  <c r="X449" i="45"/>
  <c r="W713" i="45"/>
  <c r="U715" i="45"/>
  <c r="T716" i="45"/>
  <c r="V714" i="45"/>
  <c r="X89" i="45" l="1"/>
  <c r="Y89" i="45" s="1"/>
  <c r="W714" i="45"/>
  <c r="AA451" i="45"/>
  <c r="AA450" i="45"/>
  <c r="Y712" i="45"/>
  <c r="X713" i="45"/>
  <c r="T454" i="45"/>
  <c r="AA449" i="45"/>
  <c r="Y449" i="45"/>
  <c r="V715" i="45"/>
  <c r="T93" i="45"/>
  <c r="Y88" i="45"/>
  <c r="U453" i="45"/>
  <c r="T717" i="45"/>
  <c r="U716" i="45"/>
  <c r="V452" i="45"/>
  <c r="U92" i="45"/>
  <c r="W90" i="45"/>
  <c r="W91" i="45" s="1"/>
  <c r="U454" i="45" l="1"/>
  <c r="X714" i="45"/>
  <c r="AA714" i="45" s="1"/>
  <c r="U93" i="45"/>
  <c r="V453" i="45"/>
  <c r="AA713" i="45"/>
  <c r="Y713" i="45"/>
  <c r="T94" i="45"/>
  <c r="V92" i="45"/>
  <c r="T718" i="45"/>
  <c r="X90" i="45"/>
  <c r="X91" i="45" s="1"/>
  <c r="Z89" i="45"/>
  <c r="AA89" i="45" s="1"/>
  <c r="Z88" i="45"/>
  <c r="AA88" i="45" s="1"/>
  <c r="Y450" i="45"/>
  <c r="W715" i="45"/>
  <c r="X715" i="45" s="1"/>
  <c r="W452" i="45"/>
  <c r="U717" i="45"/>
  <c r="V717" i="45" s="1"/>
  <c r="V716" i="45"/>
  <c r="W716" i="45" s="1"/>
  <c r="T455" i="45"/>
  <c r="V93" i="45" l="1"/>
  <c r="V454" i="45"/>
  <c r="W453" i="45"/>
  <c r="X453" i="45" s="1"/>
  <c r="U718" i="45"/>
  <c r="V718" i="45" s="1"/>
  <c r="U94" i="45"/>
  <c r="V94" i="45" s="1"/>
  <c r="AA715" i="45"/>
  <c r="W92" i="45"/>
  <c r="X452" i="45"/>
  <c r="T456" i="45"/>
  <c r="Y451" i="45"/>
  <c r="Y91" i="45"/>
  <c r="Y90" i="45"/>
  <c r="U455" i="45"/>
  <c r="T95" i="45"/>
  <c r="W717" i="45"/>
  <c r="Y714" i="45"/>
  <c r="Y715" i="45" s="1"/>
  <c r="X716" i="45"/>
  <c r="T719" i="45"/>
  <c r="W93" i="45" l="1"/>
  <c r="W454" i="45"/>
  <c r="U719" i="45"/>
  <c r="V719" i="45" s="1"/>
  <c r="W719" i="45" s="1"/>
  <c r="U456" i="45"/>
  <c r="Y716" i="45"/>
  <c r="X92" i="45"/>
  <c r="X93" i="45" s="1"/>
  <c r="X454" i="45"/>
  <c r="Y454" i="45" s="1"/>
  <c r="T96" i="45"/>
  <c r="W718" i="45"/>
  <c r="Z91" i="45"/>
  <c r="AA91" i="45" s="1"/>
  <c r="Z90" i="45"/>
  <c r="AA90" i="45" s="1"/>
  <c r="U95" i="45"/>
  <c r="T457" i="45"/>
  <c r="W94" i="45"/>
  <c r="X717" i="45"/>
  <c r="AA716" i="45"/>
  <c r="T720" i="45"/>
  <c r="V455" i="45"/>
  <c r="AA452" i="45"/>
  <c r="Y453" i="45"/>
  <c r="Y452" i="45"/>
  <c r="U720" i="45" l="1"/>
  <c r="V720" i="45" s="1"/>
  <c r="W720" i="45" s="1"/>
  <c r="Y717" i="45"/>
  <c r="U96" i="45"/>
  <c r="X718" i="45"/>
  <c r="AA718" i="45" s="1"/>
  <c r="T458" i="45"/>
  <c r="V95" i="45"/>
  <c r="Z454" i="45"/>
  <c r="AA454" i="45" s="1"/>
  <c r="AA717" i="45"/>
  <c r="Y93" i="45"/>
  <c r="Y92" i="45"/>
  <c r="X94" i="45"/>
  <c r="W455" i="45"/>
  <c r="V456" i="45"/>
  <c r="T721" i="45"/>
  <c r="U457" i="45"/>
  <c r="T97" i="45"/>
  <c r="U97" i="45" l="1"/>
  <c r="U721" i="45"/>
  <c r="V721" i="45" s="1"/>
  <c r="W721" i="45" s="1"/>
  <c r="W456" i="45"/>
  <c r="Y718" i="45"/>
  <c r="X719" i="45"/>
  <c r="W95" i="45"/>
  <c r="T98" i="45"/>
  <c r="V96" i="45"/>
  <c r="V97" i="45" s="1"/>
  <c r="AA94" i="45"/>
  <c r="V457" i="45"/>
  <c r="T459" i="45"/>
  <c r="X455" i="45"/>
  <c r="T722" i="45"/>
  <c r="U458" i="45"/>
  <c r="Z93" i="45"/>
  <c r="AA93" i="45" s="1"/>
  <c r="Z92" i="45"/>
  <c r="AA92" i="45" s="1"/>
  <c r="Y94" i="45"/>
  <c r="Z94" i="45" s="1"/>
  <c r="X456" i="45" l="1"/>
  <c r="W457" i="45"/>
  <c r="U722" i="45"/>
  <c r="V722" i="45" s="1"/>
  <c r="Y719" i="45"/>
  <c r="AA719" i="45"/>
  <c r="X720" i="45"/>
  <c r="AA720" i="45" s="1"/>
  <c r="X457" i="45"/>
  <c r="Y457" i="45" s="1"/>
  <c r="Y455" i="45"/>
  <c r="Y456" i="45" s="1"/>
  <c r="T99" i="45"/>
  <c r="U459" i="45"/>
  <c r="T460" i="45"/>
  <c r="U98" i="45"/>
  <c r="X95" i="45"/>
  <c r="T723" i="45"/>
  <c r="V458" i="45"/>
  <c r="W458" i="45" s="1"/>
  <c r="W96" i="45"/>
  <c r="W97" i="45" s="1"/>
  <c r="U723" i="45" l="1"/>
  <c r="V723" i="45" s="1"/>
  <c r="W723" i="45" s="1"/>
  <c r="U99" i="45"/>
  <c r="U460" i="45"/>
  <c r="Y720" i="45"/>
  <c r="X721" i="45"/>
  <c r="Z457" i="45"/>
  <c r="AA457" i="45" s="1"/>
  <c r="X458" i="45"/>
  <c r="Y458" i="45" s="1"/>
  <c r="X96" i="45"/>
  <c r="X97" i="45"/>
  <c r="V459" i="45"/>
  <c r="W722" i="45"/>
  <c r="T461" i="45"/>
  <c r="V98" i="45"/>
  <c r="T724" i="45"/>
  <c r="U724" i="45" s="1"/>
  <c r="Y95" i="45"/>
  <c r="T100" i="45"/>
  <c r="Z456" i="45"/>
  <c r="AA456" i="45" s="1"/>
  <c r="Z455" i="45"/>
  <c r="AA455" i="45" s="1"/>
  <c r="V460" i="45" l="1"/>
  <c r="U461" i="45"/>
  <c r="V461" i="45" s="1"/>
  <c r="U100" i="45"/>
  <c r="V100" i="45" s="1"/>
  <c r="W459" i="45"/>
  <c r="X459" i="45" s="1"/>
  <c r="AA721" i="45"/>
  <c r="Y721" i="45"/>
  <c r="V724" i="45"/>
  <c r="W724" i="45" s="1"/>
  <c r="X722" i="45"/>
  <c r="X723" i="45" s="1"/>
  <c r="W98" i="45"/>
  <c r="Z458" i="45"/>
  <c r="AA458" i="45" s="1"/>
  <c r="Z95" i="45"/>
  <c r="AA95" i="45" s="1"/>
  <c r="V99" i="45"/>
  <c r="T101" i="45"/>
  <c r="T725" i="45"/>
  <c r="U725" i="45" s="1"/>
  <c r="Y97" i="45"/>
  <c r="Y96" i="45"/>
  <c r="T462" i="45"/>
  <c r="W460" i="45" l="1"/>
  <c r="X460" i="45" s="1"/>
  <c r="U462" i="45"/>
  <c r="V462" i="45" s="1"/>
  <c r="W100" i="45"/>
  <c r="V725" i="45"/>
  <c r="W725" i="45" s="1"/>
  <c r="X725" i="45" s="1"/>
  <c r="W461" i="45"/>
  <c r="X461" i="45" s="1"/>
  <c r="T102" i="45"/>
  <c r="T463" i="45"/>
  <c r="X98" i="45"/>
  <c r="U101" i="45"/>
  <c r="W99" i="45"/>
  <c r="AA723" i="45"/>
  <c r="T726" i="45"/>
  <c r="U726" i="45" s="1"/>
  <c r="X724" i="45"/>
  <c r="Y460" i="45"/>
  <c r="Y459" i="45"/>
  <c r="Z96" i="45"/>
  <c r="AA96" i="45" s="1"/>
  <c r="AA722" i="45"/>
  <c r="Y722" i="45"/>
  <c r="Y723" i="45" s="1"/>
  <c r="X100" i="45" l="1"/>
  <c r="U102" i="45"/>
  <c r="Y724" i="45"/>
  <c r="AA725" i="45"/>
  <c r="V726" i="45"/>
  <c r="Z460" i="45"/>
  <c r="AA460" i="45" s="1"/>
  <c r="Z459" i="45"/>
  <c r="AA459" i="45" s="1"/>
  <c r="Y98" i="45"/>
  <c r="X99" i="45"/>
  <c r="T464" i="45"/>
  <c r="T727" i="45"/>
  <c r="W462" i="45"/>
  <c r="X462" i="45" s="1"/>
  <c r="Z97" i="45"/>
  <c r="AA97" i="45" s="1"/>
  <c r="U463" i="45"/>
  <c r="Y461" i="45"/>
  <c r="AA100" i="45"/>
  <c r="T103" i="45"/>
  <c r="AA724" i="45"/>
  <c r="Y725" i="45"/>
  <c r="V101" i="45"/>
  <c r="U103" i="45" l="1"/>
  <c r="Y462" i="45"/>
  <c r="Z462" i="45" s="1"/>
  <c r="AA462" i="45" s="1"/>
  <c r="U464" i="45"/>
  <c r="W101" i="45"/>
  <c r="T465" i="45"/>
  <c r="AA99" i="45"/>
  <c r="T728" i="45"/>
  <c r="Z98" i="45"/>
  <c r="AA98" i="45" s="1"/>
  <c r="U727" i="45"/>
  <c r="Y99" i="45"/>
  <c r="V463" i="45"/>
  <c r="V464" i="45" s="1"/>
  <c r="Z461" i="45"/>
  <c r="AA461" i="45" s="1"/>
  <c r="V102" i="45"/>
  <c r="W102" i="45" s="1"/>
  <c r="T104" i="45"/>
  <c r="W726" i="45"/>
  <c r="U104" i="45" l="1"/>
  <c r="Z99" i="45"/>
  <c r="T729" i="45"/>
  <c r="T466" i="45"/>
  <c r="U465" i="45"/>
  <c r="X726" i="45"/>
  <c r="T105" i="45"/>
  <c r="X102" i="45"/>
  <c r="X101" i="45"/>
  <c r="V727" i="45"/>
  <c r="V103" i="45"/>
  <c r="W463" i="45"/>
  <c r="U728" i="45"/>
  <c r="Y100" i="45"/>
  <c r="Z100" i="45" l="1"/>
  <c r="V104" i="45"/>
  <c r="U729" i="45"/>
  <c r="V729" i="45" s="1"/>
  <c r="X463" i="45"/>
  <c r="T106" i="45"/>
  <c r="AA101" i="45"/>
  <c r="Y101" i="45"/>
  <c r="W464" i="45"/>
  <c r="U105" i="45"/>
  <c r="T467" i="45"/>
  <c r="U466" i="45"/>
  <c r="T730" i="45"/>
  <c r="AA726" i="45"/>
  <c r="Y726" i="45"/>
  <c r="AA102" i="45"/>
  <c r="W727" i="45"/>
  <c r="W103" i="45"/>
  <c r="V728" i="45"/>
  <c r="V465" i="45"/>
  <c r="X464" i="45" l="1"/>
  <c r="Y464" i="45" s="1"/>
  <c r="U467" i="45"/>
  <c r="Z101" i="45"/>
  <c r="U730" i="45"/>
  <c r="V730" i="45" s="1"/>
  <c r="W730" i="45" s="1"/>
  <c r="W729" i="45"/>
  <c r="Y102" i="45"/>
  <c r="U106" i="45"/>
  <c r="W728" i="45"/>
  <c r="W465" i="45"/>
  <c r="X465" i="45" s="1"/>
  <c r="V466" i="45"/>
  <c r="T468" i="45"/>
  <c r="T107" i="45"/>
  <c r="X727" i="45"/>
  <c r="Y463" i="45"/>
  <c r="X103" i="45"/>
  <c r="V105" i="45"/>
  <c r="W104" i="45"/>
  <c r="T731" i="45"/>
  <c r="V467" i="45" l="1"/>
  <c r="Z102" i="45"/>
  <c r="V106" i="45"/>
  <c r="U107" i="45"/>
  <c r="X728" i="45"/>
  <c r="AA728" i="45" s="1"/>
  <c r="Y103" i="45"/>
  <c r="T469" i="45"/>
  <c r="Z464" i="45"/>
  <c r="AA464" i="45" s="1"/>
  <c r="Z463" i="45"/>
  <c r="AA463" i="45" s="1"/>
  <c r="U468" i="45"/>
  <c r="T108" i="45"/>
  <c r="Y465" i="45"/>
  <c r="T732" i="45"/>
  <c r="U732" i="45" s="1"/>
  <c r="X104" i="45"/>
  <c r="U731" i="45"/>
  <c r="W105" i="45"/>
  <c r="AA727" i="45"/>
  <c r="Y727" i="45"/>
  <c r="W466" i="45"/>
  <c r="W467" i="45" s="1"/>
  <c r="V107" i="45" l="1"/>
  <c r="X105" i="45"/>
  <c r="Y105" i="45" s="1"/>
  <c r="X729" i="45"/>
  <c r="X730" i="45" s="1"/>
  <c r="AA732" i="45"/>
  <c r="T109" i="45"/>
  <c r="U108" i="45"/>
  <c r="Y104" i="45"/>
  <c r="Z104" i="45" s="1"/>
  <c r="T470" i="45"/>
  <c r="U469" i="45"/>
  <c r="X467" i="45"/>
  <c r="T733" i="45"/>
  <c r="Z465" i="45"/>
  <c r="AA465" i="45" s="1"/>
  <c r="Y728" i="45"/>
  <c r="V468" i="45"/>
  <c r="AA731" i="45"/>
  <c r="V732" i="45"/>
  <c r="V731" i="45"/>
  <c r="X466" i="45"/>
  <c r="W106" i="45"/>
  <c r="W107" i="45" s="1"/>
  <c r="Z103" i="45"/>
  <c r="AA103" i="45" s="1"/>
  <c r="Y729" i="45" l="1"/>
  <c r="Y730" i="45" s="1"/>
  <c r="AA729" i="45"/>
  <c r="U109" i="45"/>
  <c r="T471" i="45"/>
  <c r="T734" i="45"/>
  <c r="U470" i="45"/>
  <c r="T110" i="45"/>
  <c r="W731" i="45"/>
  <c r="W732" i="45" s="1"/>
  <c r="W468" i="45"/>
  <c r="V469" i="45"/>
  <c r="AA730" i="45"/>
  <c r="Z105" i="45"/>
  <c r="AA105" i="45" s="1"/>
  <c r="Y467" i="45"/>
  <c r="Y466" i="45"/>
  <c r="V108" i="45"/>
  <c r="X106" i="45"/>
  <c r="U733" i="45"/>
  <c r="AA104" i="45"/>
  <c r="U734" i="45" l="1"/>
  <c r="V734" i="45" s="1"/>
  <c r="T472" i="45"/>
  <c r="U471" i="45"/>
  <c r="X731" i="45"/>
  <c r="X732" i="45" s="1"/>
  <c r="T111" i="45"/>
  <c r="Z467" i="45"/>
  <c r="AA467" i="45" s="1"/>
  <c r="Z466" i="45"/>
  <c r="AA466" i="45" s="1"/>
  <c r="Y106" i="45"/>
  <c r="X107" i="45"/>
  <c r="Y107" i="45" s="1"/>
  <c r="U110" i="45"/>
  <c r="V470" i="45"/>
  <c r="V471" i="45" s="1"/>
  <c r="X468" i="45"/>
  <c r="W108" i="45"/>
  <c r="V109" i="45"/>
  <c r="V733" i="45"/>
  <c r="W469" i="45"/>
  <c r="T735" i="45"/>
  <c r="U735" i="45" s="1"/>
  <c r="W109" i="45" l="1"/>
  <c r="U472" i="45"/>
  <c r="V472" i="45" s="1"/>
  <c r="AA735" i="45"/>
  <c r="V735" i="45"/>
  <c r="W735" i="45" s="1"/>
  <c r="Y468" i="45"/>
  <c r="Y731" i="45"/>
  <c r="X469" i="45"/>
  <c r="T473" i="45"/>
  <c r="Z107" i="45"/>
  <c r="AA107" i="45" s="1"/>
  <c r="Z106" i="45"/>
  <c r="AA106" i="45" s="1"/>
  <c r="W470" i="45"/>
  <c r="T736" i="45"/>
  <c r="V110" i="45"/>
  <c r="T112" i="45"/>
  <c r="W734" i="45"/>
  <c r="W733" i="45"/>
  <c r="X109" i="45"/>
  <c r="X108" i="45"/>
  <c r="Y108" i="45" s="1"/>
  <c r="U111" i="45"/>
  <c r="U112" i="45" l="1"/>
  <c r="X470" i="45"/>
  <c r="Y469" i="45"/>
  <c r="W471" i="45"/>
  <c r="W472" i="45" s="1"/>
  <c r="T737" i="45"/>
  <c r="U736" i="45"/>
  <c r="T113" i="45"/>
  <c r="X733" i="45"/>
  <c r="X734" i="45" s="1"/>
  <c r="Y109" i="45"/>
  <c r="Z109" i="45" s="1"/>
  <c r="Y732" i="45"/>
  <c r="Z468" i="45"/>
  <c r="AA468" i="45" s="1"/>
  <c r="V111" i="45"/>
  <c r="T474" i="45"/>
  <c r="W110" i="45"/>
  <c r="U473" i="45"/>
  <c r="Z108" i="45"/>
  <c r="AA108" i="45" s="1"/>
  <c r="V112" i="45" l="1"/>
  <c r="AA734" i="45"/>
  <c r="X735" i="45"/>
  <c r="X471" i="45"/>
  <c r="Y471" i="45" s="1"/>
  <c r="Y470" i="45"/>
  <c r="Z470" i="45" s="1"/>
  <c r="T475" i="45"/>
  <c r="X110" i="45"/>
  <c r="T738" i="45"/>
  <c r="V738" i="45" s="1"/>
  <c r="T114" i="45"/>
  <c r="U474" i="45"/>
  <c r="U113" i="45"/>
  <c r="AA733" i="45"/>
  <c r="Y733" i="45"/>
  <c r="U737" i="45"/>
  <c r="V737" i="45" s="1"/>
  <c r="V473" i="45"/>
  <c r="AA736" i="45"/>
  <c r="V736" i="45"/>
  <c r="AA109" i="45"/>
  <c r="W111" i="45"/>
  <c r="Z469" i="45"/>
  <c r="AA469" i="45" s="1"/>
  <c r="X472" i="45" l="1"/>
  <c r="Y472" i="45" s="1"/>
  <c r="U475" i="45"/>
  <c r="X111" i="45"/>
  <c r="Y111" i="45" s="1"/>
  <c r="V474" i="45"/>
  <c r="U114" i="45"/>
  <c r="W473" i="45"/>
  <c r="W112" i="45"/>
  <c r="X112" i="45" s="1"/>
  <c r="AA470" i="45"/>
  <c r="U738" i="45"/>
  <c r="AA737" i="45"/>
  <c r="T476" i="45"/>
  <c r="U476" i="45" s="1"/>
  <c r="Z471" i="45"/>
  <c r="AA471" i="45" s="1"/>
  <c r="Y734" i="45"/>
  <c r="Y735" i="45" s="1"/>
  <c r="W736" i="45"/>
  <c r="T739" i="45"/>
  <c r="V739" i="45" s="1"/>
  <c r="W739" i="45" s="1"/>
  <c r="W738" i="45"/>
  <c r="T115" i="45"/>
  <c r="V113" i="45"/>
  <c r="Y110" i="45"/>
  <c r="U115" i="45" l="1"/>
  <c r="V475" i="45"/>
  <c r="U739" i="45"/>
  <c r="AA738" i="45"/>
  <c r="Z472" i="45"/>
  <c r="AA472" i="45" s="1"/>
  <c r="Z111" i="45"/>
  <c r="AA111" i="45" s="1"/>
  <c r="Z110" i="45"/>
  <c r="AA110" i="45" s="1"/>
  <c r="T740" i="45"/>
  <c r="Y112" i="45"/>
  <c r="Z112" i="45" s="1"/>
  <c r="X736" i="45"/>
  <c r="T477" i="45"/>
  <c r="X473" i="45"/>
  <c r="W113" i="45"/>
  <c r="X113" i="45" s="1"/>
  <c r="Y113" i="45" s="1"/>
  <c r="V114" i="45"/>
  <c r="T116" i="45"/>
  <c r="W737" i="45"/>
  <c r="W474" i="45"/>
  <c r="V476" i="45"/>
  <c r="W475" i="45" l="1"/>
  <c r="W114" i="45"/>
  <c r="W476" i="45"/>
  <c r="AA739" i="45"/>
  <c r="U740" i="45"/>
  <c r="Y473" i="45"/>
  <c r="T478" i="45"/>
  <c r="Z113" i="45"/>
  <c r="AA113" i="45" s="1"/>
  <c r="AA112" i="45"/>
  <c r="Y736" i="45"/>
  <c r="X114" i="45"/>
  <c r="X737" i="45"/>
  <c r="T741" i="45"/>
  <c r="V115" i="45"/>
  <c r="T117" i="45"/>
  <c r="U477" i="45"/>
  <c r="U116" i="45"/>
  <c r="V740" i="45"/>
  <c r="X474" i="45"/>
  <c r="X475" i="45" s="1"/>
  <c r="Y737" i="45" l="1"/>
  <c r="X738" i="45"/>
  <c r="Y738" i="45" s="1"/>
  <c r="X476" i="45"/>
  <c r="Y474" i="45"/>
  <c r="T742" i="45"/>
  <c r="U741" i="45"/>
  <c r="AA740" i="45"/>
  <c r="W740" i="45"/>
  <c r="V116" i="45"/>
  <c r="V477" i="45"/>
  <c r="T479" i="45"/>
  <c r="W115" i="45"/>
  <c r="W116" i="45" s="1"/>
  <c r="T118" i="45"/>
  <c r="Y114" i="45"/>
  <c r="U478" i="45"/>
  <c r="Y475" i="45"/>
  <c r="V741" i="45"/>
  <c r="W741" i="45" s="1"/>
  <c r="U117" i="45"/>
  <c r="Z473" i="45"/>
  <c r="AA473" i="45" s="1"/>
  <c r="U479" i="45" l="1"/>
  <c r="U118" i="45"/>
  <c r="X739" i="45"/>
  <c r="Y739" i="45" s="1"/>
  <c r="Z475" i="45"/>
  <c r="AA475" i="45" s="1"/>
  <c r="W477" i="45"/>
  <c r="U742" i="45"/>
  <c r="AA741" i="45"/>
  <c r="Z114" i="45"/>
  <c r="AA114" i="45" s="1"/>
  <c r="Z474" i="45"/>
  <c r="AA474" i="45" s="1"/>
  <c r="V478" i="45"/>
  <c r="T119" i="45"/>
  <c r="X115" i="45"/>
  <c r="T743" i="45"/>
  <c r="T480" i="45"/>
  <c r="V117" i="45"/>
  <c r="V742" i="45"/>
  <c r="W742" i="45" s="1"/>
  <c r="Y476" i="45"/>
  <c r="W478" i="45" l="1"/>
  <c r="X740" i="45"/>
  <c r="X741" i="45" s="1"/>
  <c r="X742" i="45" s="1"/>
  <c r="V479" i="45"/>
  <c r="W479" i="45" s="1"/>
  <c r="T120" i="45"/>
  <c r="U743" i="45"/>
  <c r="AA742" i="45"/>
  <c r="W117" i="45"/>
  <c r="U119" i="45"/>
  <c r="X477" i="45"/>
  <c r="Y115" i="45"/>
  <c r="V118" i="45"/>
  <c r="T744" i="45"/>
  <c r="V744" i="45" s="1"/>
  <c r="T481" i="45"/>
  <c r="U480" i="45"/>
  <c r="V743" i="45"/>
  <c r="X116" i="45"/>
  <c r="Y116" i="45" s="1"/>
  <c r="Z476" i="45"/>
  <c r="AA476" i="45" s="1"/>
  <c r="Y740" i="45" l="1"/>
  <c r="Y741" i="45" s="1"/>
  <c r="Y742" i="45" s="1"/>
  <c r="W744" i="45"/>
  <c r="T121" i="45"/>
  <c r="V119" i="45"/>
  <c r="X117" i="45"/>
  <c r="Y477" i="45"/>
  <c r="W743" i="45"/>
  <c r="V480" i="45"/>
  <c r="W118" i="45"/>
  <c r="T482" i="45"/>
  <c r="U481" i="45"/>
  <c r="U744" i="45"/>
  <c r="AA743" i="45"/>
  <c r="X478" i="45"/>
  <c r="Y478" i="45" s="1"/>
  <c r="U120" i="45"/>
  <c r="Z116" i="45"/>
  <c r="AA116" i="45" s="1"/>
  <c r="Z115" i="45"/>
  <c r="AA115" i="45" s="1"/>
  <c r="T745" i="45"/>
  <c r="V745" i="45" s="1"/>
  <c r="V481" i="45" l="1"/>
  <c r="W745" i="45"/>
  <c r="T483" i="45"/>
  <c r="X743" i="45"/>
  <c r="X744" i="45" s="1"/>
  <c r="Z478" i="45"/>
  <c r="AA478" i="45" s="1"/>
  <c r="Z477" i="45"/>
  <c r="AA477" i="45" s="1"/>
  <c r="T122" i="45"/>
  <c r="W480" i="45"/>
  <c r="U121" i="45"/>
  <c r="U745" i="45"/>
  <c r="AA744" i="45"/>
  <c r="V120" i="45"/>
  <c r="T746" i="45"/>
  <c r="W119" i="45"/>
  <c r="X119" i="45" s="1"/>
  <c r="X479" i="45"/>
  <c r="Y479" i="45" s="1"/>
  <c r="U482" i="45"/>
  <c r="Y117" i="45"/>
  <c r="X118" i="45"/>
  <c r="Y118" i="45" s="1"/>
  <c r="U483" i="45" l="1"/>
  <c r="V121" i="45"/>
  <c r="X480" i="45"/>
  <c r="Y480" i="45" s="1"/>
  <c r="W481" i="45"/>
  <c r="T484" i="45"/>
  <c r="U484" i="45" s="1"/>
  <c r="T123" i="45"/>
  <c r="X745" i="45"/>
  <c r="Y119" i="45"/>
  <c r="U122" i="45"/>
  <c r="U746" i="45"/>
  <c r="AA745" i="45"/>
  <c r="Z118" i="45"/>
  <c r="AA118" i="45" s="1"/>
  <c r="Z117" i="45"/>
  <c r="AA117" i="45" s="1"/>
  <c r="V482" i="45"/>
  <c r="V483" i="45" s="1"/>
  <c r="T747" i="45"/>
  <c r="V747" i="45" s="1"/>
  <c r="W120" i="45"/>
  <c r="V746" i="45"/>
  <c r="Y743" i="45"/>
  <c r="Z479" i="45"/>
  <c r="AA479" i="45" s="1"/>
  <c r="W121" i="45" l="1"/>
  <c r="X121" i="45" s="1"/>
  <c r="V484" i="45"/>
  <c r="W484" i="45" s="1"/>
  <c r="X120" i="45"/>
  <c r="T485" i="45"/>
  <c r="U747" i="45"/>
  <c r="AA746" i="45"/>
  <c r="Z480" i="45"/>
  <c r="AA480" i="45" s="1"/>
  <c r="T124" i="45"/>
  <c r="X481" i="45"/>
  <c r="T748" i="45"/>
  <c r="Y744" i="45"/>
  <c r="V122" i="45"/>
  <c r="W482" i="45"/>
  <c r="W483" i="45" s="1"/>
  <c r="U123" i="45"/>
  <c r="W747" i="45"/>
  <c r="W746" i="45"/>
  <c r="Z119" i="45"/>
  <c r="AA119" i="45" s="1"/>
  <c r="X484" i="45" l="1"/>
  <c r="AA484" i="45" s="1"/>
  <c r="U124" i="45"/>
  <c r="Y121" i="45"/>
  <c r="Y120" i="45"/>
  <c r="V123" i="45"/>
  <c r="T486" i="45"/>
  <c r="AA747" i="45"/>
  <c r="U748" i="45"/>
  <c r="X483" i="45"/>
  <c r="W122" i="45"/>
  <c r="X482" i="45"/>
  <c r="Y482" i="45" s="1"/>
  <c r="Y745" i="45"/>
  <c r="T125" i="45"/>
  <c r="U125" i="45" s="1"/>
  <c r="X746" i="45"/>
  <c r="T749" i="45"/>
  <c r="V749" i="45" s="1"/>
  <c r="V748" i="45"/>
  <c r="Y481" i="45"/>
  <c r="U485" i="45"/>
  <c r="V124" i="45" l="1"/>
  <c r="V125" i="45" s="1"/>
  <c r="W749" i="45"/>
  <c r="W748" i="45"/>
  <c r="Z120" i="45"/>
  <c r="AA120" i="45" s="1"/>
  <c r="Y483" i="45"/>
  <c r="T750" i="45"/>
  <c r="V750" i="45" s="1"/>
  <c r="Y746" i="45"/>
  <c r="X747" i="45"/>
  <c r="X122" i="45"/>
  <c r="T487" i="45"/>
  <c r="V485" i="45"/>
  <c r="U486" i="45"/>
  <c r="U749" i="45"/>
  <c r="AA749" i="45" s="1"/>
  <c r="AA748" i="45"/>
  <c r="W123" i="45"/>
  <c r="Z481" i="45"/>
  <c r="AA481" i="45" s="1"/>
  <c r="T126" i="45"/>
  <c r="U126" i="45" s="1"/>
  <c r="Y484" i="45"/>
  <c r="W124" i="45" l="1"/>
  <c r="W125" i="45" s="1"/>
  <c r="U487" i="45"/>
  <c r="V487" i="45" s="1"/>
  <c r="Z121" i="45"/>
  <c r="AA121" i="45" s="1"/>
  <c r="V126" i="45"/>
  <c r="X748" i="45"/>
  <c r="X123" i="45"/>
  <c r="Y123" i="45" s="1"/>
  <c r="W485" i="45"/>
  <c r="Y747" i="45"/>
  <c r="Y122" i="45"/>
  <c r="V486" i="45"/>
  <c r="W486" i="45" s="1"/>
  <c r="T751" i="45"/>
  <c r="W750" i="45"/>
  <c r="T127" i="45"/>
  <c r="Z482" i="45"/>
  <c r="AA482" i="45" s="1"/>
  <c r="T488" i="45"/>
  <c r="U488" i="45" s="1"/>
  <c r="U750" i="45"/>
  <c r="U751" i="45" l="1"/>
  <c r="Y748" i="45"/>
  <c r="X124" i="45"/>
  <c r="Y124" i="45" s="1"/>
  <c r="X749" i="45"/>
  <c r="X750" i="45" s="1"/>
  <c r="Z123" i="45"/>
  <c r="AA123" i="45" s="1"/>
  <c r="Z122" i="45"/>
  <c r="AA122" i="45" s="1"/>
  <c r="T128" i="45"/>
  <c r="U127" i="45"/>
  <c r="V488" i="45"/>
  <c r="W488" i="45" s="1"/>
  <c r="X486" i="45"/>
  <c r="X485" i="45"/>
  <c r="W126" i="45"/>
  <c r="T752" i="45"/>
  <c r="AA487" i="45"/>
  <c r="V751" i="45"/>
  <c r="T489" i="45"/>
  <c r="U489" i="45" s="1"/>
  <c r="W487" i="45"/>
  <c r="Z483" i="45"/>
  <c r="X125" i="45" l="1"/>
  <c r="X126" i="45" s="1"/>
  <c r="X487" i="45"/>
  <c r="Y749" i="45"/>
  <c r="Y750" i="45" s="1"/>
  <c r="AA750" i="45"/>
  <c r="AA489" i="45"/>
  <c r="V489" i="45"/>
  <c r="AA483" i="45"/>
  <c r="Z484" i="45"/>
  <c r="AA485" i="45"/>
  <c r="Y485" i="45"/>
  <c r="Y486" i="45" s="1"/>
  <c r="T129" i="45"/>
  <c r="X488" i="45"/>
  <c r="AA486" i="45"/>
  <c r="U128" i="45"/>
  <c r="AA488" i="45"/>
  <c r="T753" i="45"/>
  <c r="V127" i="45"/>
  <c r="T490" i="45"/>
  <c r="W751" i="45"/>
  <c r="U752" i="45"/>
  <c r="Z124" i="45"/>
  <c r="AA124" i="45" s="1"/>
  <c r="Y126" i="45" l="1"/>
  <c r="Y125" i="45"/>
  <c r="Z126" i="45" s="1"/>
  <c r="AA126" i="45" s="1"/>
  <c r="U753" i="45"/>
  <c r="U129" i="45"/>
  <c r="Z125" i="45"/>
  <c r="AA125" i="45" s="1"/>
  <c r="W127" i="45"/>
  <c r="Z485" i="45"/>
  <c r="Z486" i="45" s="1"/>
  <c r="X751" i="45"/>
  <c r="T754" i="45"/>
  <c r="W489" i="45"/>
  <c r="Y487" i="45"/>
  <c r="T130" i="45"/>
  <c r="T491" i="45"/>
  <c r="V752" i="45"/>
  <c r="V128" i="45"/>
  <c r="U490" i="45"/>
  <c r="V753" i="45" l="1"/>
  <c r="U754" i="45"/>
  <c r="V754" i="45" s="1"/>
  <c r="Z487" i="45"/>
  <c r="X127" i="45"/>
  <c r="T492" i="45"/>
  <c r="U492" i="45" s="1"/>
  <c r="U491" i="45"/>
  <c r="V491" i="45" s="1"/>
  <c r="AA490" i="45"/>
  <c r="V490" i="45"/>
  <c r="T131" i="45"/>
  <c r="W753" i="45"/>
  <c r="W752" i="45"/>
  <c r="T755" i="45"/>
  <c r="AA751" i="45"/>
  <c r="Y751" i="45"/>
  <c r="U130" i="45"/>
  <c r="X489" i="45"/>
  <c r="W128" i="45"/>
  <c r="V129" i="45"/>
  <c r="Y488" i="45"/>
  <c r="X128" i="45" l="1"/>
  <c r="Y128" i="45" s="1"/>
  <c r="AA492" i="45"/>
  <c r="Y489" i="45"/>
  <c r="Y127" i="45"/>
  <c r="V130" i="45"/>
  <c r="T132" i="45"/>
  <c r="U131" i="45"/>
  <c r="X753" i="45"/>
  <c r="X752" i="45"/>
  <c r="W490" i="45"/>
  <c r="W491" i="45" s="1"/>
  <c r="Z488" i="45"/>
  <c r="W129" i="45"/>
  <c r="T756" i="45"/>
  <c r="U756" i="45" s="1"/>
  <c r="W754" i="45"/>
  <c r="T493" i="45"/>
  <c r="U493" i="45" s="1"/>
  <c r="U755" i="45"/>
  <c r="AA491" i="45"/>
  <c r="V492" i="45"/>
  <c r="V131" i="45" l="1"/>
  <c r="AA493" i="45"/>
  <c r="V493" i="45"/>
  <c r="AA752" i="45"/>
  <c r="Y752" i="45"/>
  <c r="Z489" i="45"/>
  <c r="X754" i="45"/>
  <c r="T494" i="45"/>
  <c r="U494" i="45" s="1"/>
  <c r="T757" i="45"/>
  <c r="U757" i="45" s="1"/>
  <c r="V757" i="45" s="1"/>
  <c r="Z128" i="45"/>
  <c r="AA128" i="45" s="1"/>
  <c r="Z127" i="45"/>
  <c r="AA127" i="45" s="1"/>
  <c r="W492" i="45"/>
  <c r="T133" i="45"/>
  <c r="X490" i="45"/>
  <c r="X491" i="45" s="1"/>
  <c r="AA753" i="45"/>
  <c r="V756" i="45"/>
  <c r="V755" i="45"/>
  <c r="X129" i="45"/>
  <c r="W130" i="45"/>
  <c r="W131" i="45" s="1"/>
  <c r="U132" i="45"/>
  <c r="V132" i="45" s="1"/>
  <c r="AA494" i="45" l="1"/>
  <c r="V494" i="45"/>
  <c r="X492" i="45"/>
  <c r="W132" i="45"/>
  <c r="AA754" i="45"/>
  <c r="X131" i="45"/>
  <c r="T758" i="45"/>
  <c r="Y129" i="45"/>
  <c r="T134" i="45"/>
  <c r="W756" i="45"/>
  <c r="W755" i="45"/>
  <c r="U133" i="45"/>
  <c r="V133" i="45" s="1"/>
  <c r="Y753" i="45"/>
  <c r="Y754" i="45" s="1"/>
  <c r="W493" i="45"/>
  <c r="Y490" i="45"/>
  <c r="W757" i="45"/>
  <c r="X130" i="45"/>
  <c r="T495" i="45"/>
  <c r="W494" i="45" l="1"/>
  <c r="U134" i="45"/>
  <c r="V134" i="45" s="1"/>
  <c r="W133" i="45"/>
  <c r="T759" i="45"/>
  <c r="Z490" i="45"/>
  <c r="U758" i="45"/>
  <c r="Y491" i="45"/>
  <c r="Z129" i="45"/>
  <c r="AA129" i="45" s="1"/>
  <c r="X493" i="45"/>
  <c r="T496" i="45"/>
  <c r="U495" i="45"/>
  <c r="Y131" i="45"/>
  <c r="X756" i="45"/>
  <c r="X757" i="45" s="1"/>
  <c r="X755" i="45"/>
  <c r="Y130" i="45"/>
  <c r="Z130" i="45" s="1"/>
  <c r="T135" i="45"/>
  <c r="X132" i="45"/>
  <c r="Z491" i="45" l="1"/>
  <c r="AA757" i="45"/>
  <c r="T760" i="45"/>
  <c r="AA755" i="45"/>
  <c r="Y755" i="45"/>
  <c r="Y132" i="45"/>
  <c r="U759" i="45"/>
  <c r="T497" i="45"/>
  <c r="U497" i="45" s="1"/>
  <c r="Y492" i="45"/>
  <c r="W134" i="45"/>
  <c r="X134" i="45" s="1"/>
  <c r="AA495" i="45"/>
  <c r="V495" i="45"/>
  <c r="T136" i="45"/>
  <c r="X494" i="45"/>
  <c r="U135" i="45"/>
  <c r="U496" i="45"/>
  <c r="V496" i="45" s="1"/>
  <c r="X133" i="45"/>
  <c r="Y133" i="45" s="1"/>
  <c r="Z131" i="45"/>
  <c r="AA131" i="45" s="1"/>
  <c r="AA756" i="45"/>
  <c r="AA130" i="45"/>
  <c r="V758" i="45"/>
  <c r="U136" i="45" l="1"/>
  <c r="U760" i="45"/>
  <c r="AA497" i="45"/>
  <c r="Z133" i="45"/>
  <c r="AA133" i="45" s="1"/>
  <c r="Y134" i="45"/>
  <c r="T761" i="45"/>
  <c r="V135" i="45"/>
  <c r="Y493" i="45"/>
  <c r="Y756" i="45"/>
  <c r="W758" i="45"/>
  <c r="Z492" i="45"/>
  <c r="W496" i="45"/>
  <c r="W495" i="45"/>
  <c r="V497" i="45"/>
  <c r="AA496" i="45"/>
  <c r="V759" i="45"/>
  <c r="T137" i="45"/>
  <c r="T498" i="45"/>
  <c r="Z132" i="45"/>
  <c r="AA132" i="45" s="1"/>
  <c r="X495" i="45" l="1"/>
  <c r="Y757" i="45"/>
  <c r="W759" i="45"/>
  <c r="Y494" i="45"/>
  <c r="V760" i="45"/>
  <c r="T499" i="45"/>
  <c r="U498" i="45"/>
  <c r="Z493" i="45"/>
  <c r="T762" i="45"/>
  <c r="W135" i="45"/>
  <c r="U761" i="45"/>
  <c r="T138" i="45"/>
  <c r="U137" i="45"/>
  <c r="X758" i="45"/>
  <c r="V136" i="45"/>
  <c r="W497" i="45"/>
  <c r="Z134" i="45"/>
  <c r="AA134" i="45" s="1"/>
  <c r="U138" i="45" l="1"/>
  <c r="AA498" i="45"/>
  <c r="V498" i="45"/>
  <c r="T500" i="45"/>
  <c r="W136" i="45"/>
  <c r="U499" i="45"/>
  <c r="Y495" i="45"/>
  <c r="X496" i="45"/>
  <c r="X497" i="45" s="1"/>
  <c r="V761" i="45"/>
  <c r="W761" i="45" s="1"/>
  <c r="U762" i="45"/>
  <c r="V762" i="45" s="1"/>
  <c r="V137" i="45"/>
  <c r="T763" i="45"/>
  <c r="Z494" i="45"/>
  <c r="X136" i="45"/>
  <c r="X135" i="45"/>
  <c r="AA758" i="45"/>
  <c r="Y758" i="45"/>
  <c r="X759" i="45"/>
  <c r="T139" i="45"/>
  <c r="W760" i="45"/>
  <c r="V138" i="45" l="1"/>
  <c r="U763" i="45"/>
  <c r="V763" i="45" s="1"/>
  <c r="W763" i="45" s="1"/>
  <c r="Z495" i="45"/>
  <c r="Y759" i="45"/>
  <c r="T501" i="45"/>
  <c r="U501" i="45" s="1"/>
  <c r="U500" i="45"/>
  <c r="V500" i="45" s="1"/>
  <c r="X761" i="45"/>
  <c r="AA135" i="45"/>
  <c r="Y136" i="45"/>
  <c r="Y135" i="45"/>
  <c r="X760" i="45"/>
  <c r="Y496" i="45"/>
  <c r="Y497" i="45" s="1"/>
  <c r="AA499" i="45"/>
  <c r="W498" i="45"/>
  <c r="T140" i="45"/>
  <c r="U139" i="45"/>
  <c r="AA759" i="45"/>
  <c r="T764" i="45"/>
  <c r="W762" i="45"/>
  <c r="W137" i="45"/>
  <c r="V499" i="45"/>
  <c r="Y760" i="45" l="1"/>
  <c r="Y761" i="45" s="1"/>
  <c r="X762" i="45"/>
  <c r="AA762" i="45" s="1"/>
  <c r="U140" i="45"/>
  <c r="AA501" i="45"/>
  <c r="Z135" i="45"/>
  <c r="Z136" i="45" s="1"/>
  <c r="AA136" i="45" s="1"/>
  <c r="T502" i="45"/>
  <c r="AA761" i="45"/>
  <c r="W138" i="45"/>
  <c r="X138" i="45" s="1"/>
  <c r="X498" i="45"/>
  <c r="T765" i="45"/>
  <c r="X137" i="45"/>
  <c r="AA500" i="45"/>
  <c r="V501" i="45"/>
  <c r="W500" i="45"/>
  <c r="W499" i="45"/>
  <c r="U764" i="45"/>
  <c r="Z496" i="45"/>
  <c r="Z497" i="45" s="1"/>
  <c r="V139" i="45"/>
  <c r="T141" i="45"/>
  <c r="U141" i="45" s="1"/>
  <c r="AA760" i="45"/>
  <c r="W501" i="45" l="1"/>
  <c r="X763" i="45"/>
  <c r="W139" i="45"/>
  <c r="Y762" i="45"/>
  <c r="V140" i="45"/>
  <c r="T766" i="45"/>
  <c r="U765" i="45"/>
  <c r="V765" i="45" s="1"/>
  <c r="T503" i="45"/>
  <c r="U503" i="45" s="1"/>
  <c r="V764" i="45"/>
  <c r="Y498" i="45"/>
  <c r="U502" i="45"/>
  <c r="X499" i="45"/>
  <c r="Y138" i="45"/>
  <c r="Y137" i="45"/>
  <c r="T142" i="45"/>
  <c r="U142" i="45" s="1"/>
  <c r="AA763" i="45"/>
  <c r="AA503" i="45" l="1"/>
  <c r="Y763" i="45"/>
  <c r="W140" i="45"/>
  <c r="T504" i="45"/>
  <c r="U504" i="45" s="1"/>
  <c r="AA502" i="45"/>
  <c r="V503" i="45"/>
  <c r="V502" i="45"/>
  <c r="Z498" i="45"/>
  <c r="V141" i="45"/>
  <c r="T143" i="45"/>
  <c r="U143" i="45" s="1"/>
  <c r="Z137" i="45"/>
  <c r="Z138" i="45" s="1"/>
  <c r="AA138" i="45" s="1"/>
  <c r="Y499" i="45"/>
  <c r="T767" i="45"/>
  <c r="X500" i="45"/>
  <c r="X139" i="45"/>
  <c r="W765" i="45"/>
  <c r="W764" i="45"/>
  <c r="U766" i="45"/>
  <c r="W141" i="45" l="1"/>
  <c r="X141" i="45" s="1"/>
  <c r="AA137" i="45"/>
  <c r="AA504" i="45"/>
  <c r="V504" i="45"/>
  <c r="T144" i="45"/>
  <c r="U144" i="45" s="1"/>
  <c r="X501" i="45"/>
  <c r="T505" i="45"/>
  <c r="T768" i="45"/>
  <c r="U767" i="45"/>
  <c r="V767" i="45" s="1"/>
  <c r="X764" i="45"/>
  <c r="X765" i="45" s="1"/>
  <c r="Z499" i="45"/>
  <c r="V766" i="45"/>
  <c r="Y500" i="45"/>
  <c r="V142" i="45"/>
  <c r="V143" i="45" s="1"/>
  <c r="Y139" i="45"/>
  <c r="W502" i="45"/>
  <c r="X140" i="45"/>
  <c r="Y140" i="45" s="1"/>
  <c r="U768" i="45" l="1"/>
  <c r="V768" i="45" s="1"/>
  <c r="W768" i="45" s="1"/>
  <c r="AA765" i="45"/>
  <c r="V144" i="45"/>
  <c r="T506" i="45"/>
  <c r="U505" i="45"/>
  <c r="AA764" i="45"/>
  <c r="Y764" i="45"/>
  <c r="W142" i="45"/>
  <c r="W143" i="45"/>
  <c r="Y141" i="45"/>
  <c r="Z500" i="45"/>
  <c r="Y501" i="45"/>
  <c r="Z139" i="45"/>
  <c r="AA139" i="45" s="1"/>
  <c r="X502" i="45"/>
  <c r="W503" i="45"/>
  <c r="W767" i="45"/>
  <c r="W766" i="45"/>
  <c r="T769" i="45"/>
  <c r="T145" i="45"/>
  <c r="Z501" i="45" l="1"/>
  <c r="U506" i="45"/>
  <c r="V506" i="45" s="1"/>
  <c r="T507" i="45"/>
  <c r="W504" i="45"/>
  <c r="T146" i="45"/>
  <c r="X503" i="45"/>
  <c r="U145" i="45"/>
  <c r="X143" i="45"/>
  <c r="X142" i="45"/>
  <c r="X766" i="45"/>
  <c r="X767" i="45" s="1"/>
  <c r="X768" i="45" s="1"/>
  <c r="Y502" i="45"/>
  <c r="Y765" i="45"/>
  <c r="W144" i="45"/>
  <c r="X144" i="45" s="1"/>
  <c r="T770" i="45"/>
  <c r="Z140" i="45"/>
  <c r="AA140" i="45" s="1"/>
  <c r="U769" i="45"/>
  <c r="V505" i="45"/>
  <c r="U770" i="45" l="1"/>
  <c r="V770" i="45" s="1"/>
  <c r="Y503" i="45"/>
  <c r="V769" i="45"/>
  <c r="AA766" i="45"/>
  <c r="Y766" i="45"/>
  <c r="Y767" i="45" s="1"/>
  <c r="X504" i="45"/>
  <c r="Y143" i="45"/>
  <c r="Y142" i="45"/>
  <c r="T508" i="45"/>
  <c r="T147" i="45"/>
  <c r="AA767" i="45"/>
  <c r="Y144" i="45"/>
  <c r="AA143" i="45"/>
  <c r="U507" i="45"/>
  <c r="V145" i="45"/>
  <c r="W506" i="45"/>
  <c r="W505" i="45"/>
  <c r="Z502" i="45"/>
  <c r="Z141" i="45"/>
  <c r="AA141" i="45" s="1"/>
  <c r="AA768" i="45"/>
  <c r="T771" i="45"/>
  <c r="U146" i="45"/>
  <c r="Y504" i="45" l="1"/>
  <c r="Z503" i="45"/>
  <c r="U771" i="45"/>
  <c r="V771" i="45" s="1"/>
  <c r="W771" i="45" s="1"/>
  <c r="U508" i="45"/>
  <c r="V507" i="45"/>
  <c r="W770" i="45"/>
  <c r="W769" i="45"/>
  <c r="T509" i="45"/>
  <c r="Z142" i="45"/>
  <c r="AA142" i="45" s="1"/>
  <c r="X505" i="45"/>
  <c r="X506" i="45" s="1"/>
  <c r="Y768" i="45"/>
  <c r="T148" i="45"/>
  <c r="T772" i="45"/>
  <c r="W145" i="45"/>
  <c r="V146" i="45"/>
  <c r="W146" i="45" s="1"/>
  <c r="U147" i="45"/>
  <c r="Z504" i="45" l="1"/>
  <c r="U148" i="45"/>
  <c r="U509" i="45"/>
  <c r="AA506" i="45"/>
  <c r="W507" i="45"/>
  <c r="V508" i="45"/>
  <c r="W508" i="45" s="1"/>
  <c r="X145" i="45"/>
  <c r="X146" i="45" s="1"/>
  <c r="Y505" i="45"/>
  <c r="T773" i="45"/>
  <c r="Z143" i="45"/>
  <c r="Z144" i="45" s="1"/>
  <c r="AA144" i="45" s="1"/>
  <c r="U772" i="45"/>
  <c r="X769" i="45"/>
  <c r="X770" i="45" s="1"/>
  <c r="T510" i="45"/>
  <c r="AA505" i="45"/>
  <c r="T149" i="45"/>
  <c r="V147" i="45"/>
  <c r="U149" i="45" l="1"/>
  <c r="V509" i="45"/>
  <c r="W509" i="45" s="1"/>
  <c r="AA770" i="45"/>
  <c r="X771" i="45"/>
  <c r="X508" i="45"/>
  <c r="X507" i="45"/>
  <c r="T774" i="45"/>
  <c r="Z505" i="45"/>
  <c r="T511" i="45"/>
  <c r="U510" i="45"/>
  <c r="U773" i="45"/>
  <c r="T150" i="45"/>
  <c r="V148" i="45"/>
  <c r="Y146" i="45"/>
  <c r="Y145" i="45"/>
  <c r="W147" i="45"/>
  <c r="V772" i="45"/>
  <c r="AA769" i="45"/>
  <c r="Y769" i="45"/>
  <c r="Y770" i="45" s="1"/>
  <c r="Y506" i="45"/>
  <c r="U150" i="45" l="1"/>
  <c r="Z506" i="45"/>
  <c r="U511" i="45"/>
  <c r="W148" i="45"/>
  <c r="V773" i="45"/>
  <c r="W773" i="45" s="1"/>
  <c r="AA771" i="45"/>
  <c r="W772" i="45"/>
  <c r="Y771" i="45"/>
  <c r="AA508" i="45"/>
  <c r="T775" i="45"/>
  <c r="V149" i="45"/>
  <c r="V150" i="45" s="1"/>
  <c r="Z146" i="45"/>
  <c r="AA146" i="45" s="1"/>
  <c r="Z145" i="45"/>
  <c r="AA145" i="45" s="1"/>
  <c r="V510" i="45"/>
  <c r="U774" i="45"/>
  <c r="T512" i="45"/>
  <c r="X147" i="45"/>
  <c r="X509" i="45"/>
  <c r="T151" i="45"/>
  <c r="U151" i="45" s="1"/>
  <c r="AA507" i="45"/>
  <c r="Y507" i="45"/>
  <c r="X148" i="45" l="1"/>
  <c r="Y148" i="45" s="1"/>
  <c r="W149" i="45"/>
  <c r="W150" i="45" s="1"/>
  <c r="X150" i="45" s="1"/>
  <c r="U775" i="45"/>
  <c r="V775" i="45" s="1"/>
  <c r="V151" i="45"/>
  <c r="T776" i="45"/>
  <c r="W510" i="45"/>
  <c r="V774" i="45"/>
  <c r="V511" i="45"/>
  <c r="W511" i="45" s="1"/>
  <c r="Z507" i="45"/>
  <c r="Y147" i="45"/>
  <c r="T513" i="45"/>
  <c r="AA509" i="45"/>
  <c r="X773" i="45"/>
  <c r="X772" i="45"/>
  <c r="Y508" i="45"/>
  <c r="T152" i="45"/>
  <c r="U512" i="45"/>
  <c r="Z508" i="45" l="1"/>
  <c r="X149" i="45"/>
  <c r="Y149" i="45" s="1"/>
  <c r="Z149" i="45" s="1"/>
  <c r="AA149" i="45" s="1"/>
  <c r="V512" i="45"/>
  <c r="W512" i="45" s="1"/>
  <c r="AA772" i="45"/>
  <c r="Y772" i="45"/>
  <c r="T777" i="45"/>
  <c r="T153" i="45"/>
  <c r="U776" i="45"/>
  <c r="AA773" i="45"/>
  <c r="U513" i="45"/>
  <c r="T514" i="45"/>
  <c r="U152" i="45"/>
  <c r="W775" i="45"/>
  <c r="W774" i="45"/>
  <c r="W151" i="45"/>
  <c r="X151" i="45" s="1"/>
  <c r="Z148" i="45"/>
  <c r="AA148" i="45" s="1"/>
  <c r="Z147" i="45"/>
  <c r="AA147" i="45" s="1"/>
  <c r="X511" i="45"/>
  <c r="X510" i="45"/>
  <c r="Y509" i="45"/>
  <c r="Y150" i="45" l="1"/>
  <c r="U514" i="45"/>
  <c r="V513" i="45"/>
  <c r="W513" i="45" s="1"/>
  <c r="V152" i="45"/>
  <c r="Y773" i="45"/>
  <c r="T154" i="45"/>
  <c r="T515" i="45"/>
  <c r="U153" i="45"/>
  <c r="V776" i="45"/>
  <c r="AA510" i="45"/>
  <c r="Y510" i="45"/>
  <c r="AA511" i="45"/>
  <c r="T778" i="45"/>
  <c r="Y151" i="45"/>
  <c r="X775" i="45"/>
  <c r="X774" i="45"/>
  <c r="Z509" i="45"/>
  <c r="Z150" i="45"/>
  <c r="AA150" i="45" s="1"/>
  <c r="U777" i="45"/>
  <c r="X512" i="45"/>
  <c r="U778" i="45" l="1"/>
  <c r="U515" i="45"/>
  <c r="Z510" i="45"/>
  <c r="V514" i="45"/>
  <c r="V153" i="45"/>
  <c r="Z151" i="45"/>
  <c r="AA151" i="45" s="1"/>
  <c r="AA512" i="45"/>
  <c r="T155" i="45"/>
  <c r="W152" i="45"/>
  <c r="W776" i="45"/>
  <c r="X513" i="45"/>
  <c r="U154" i="45"/>
  <c r="V515" i="45"/>
  <c r="W515" i="45" s="1"/>
  <c r="T779" i="45"/>
  <c r="U779" i="45" s="1"/>
  <c r="V777" i="45"/>
  <c r="W777" i="45" s="1"/>
  <c r="AA774" i="45"/>
  <c r="Y774" i="45"/>
  <c r="Y775" i="45" s="1"/>
  <c r="AA775" i="45"/>
  <c r="Y511" i="45"/>
  <c r="Z511" i="45" s="1"/>
  <c r="T516" i="45"/>
  <c r="W514" i="45"/>
  <c r="U155" i="45" l="1"/>
  <c r="AA513" i="45"/>
  <c r="V778" i="45"/>
  <c r="V779" i="45" s="1"/>
  <c r="X777" i="45"/>
  <c r="X776" i="45"/>
  <c r="X515" i="45"/>
  <c r="X152" i="45"/>
  <c r="T517" i="45"/>
  <c r="W153" i="45"/>
  <c r="X153" i="45" s="1"/>
  <c r="X514" i="45"/>
  <c r="V154" i="45"/>
  <c r="U516" i="45"/>
  <c r="Y512" i="45"/>
  <c r="T156" i="45"/>
  <c r="U156" i="45" s="1"/>
  <c r="U517" i="45" l="1"/>
  <c r="Y153" i="45"/>
  <c r="AA152" i="45"/>
  <c r="Y152" i="45"/>
  <c r="AA515" i="45"/>
  <c r="AA514" i="45"/>
  <c r="AA776" i="45"/>
  <c r="Y776" i="45"/>
  <c r="W154" i="45"/>
  <c r="X154" i="45" s="1"/>
  <c r="AA777" i="45"/>
  <c r="T518" i="45"/>
  <c r="U518" i="45" s="1"/>
  <c r="V155" i="45"/>
  <c r="W779" i="45"/>
  <c r="W778" i="45"/>
  <c r="T157" i="45"/>
  <c r="Z512" i="45"/>
  <c r="V516" i="45"/>
  <c r="Y513" i="45"/>
  <c r="Y514" i="45" s="1"/>
  <c r="V517" i="45" l="1"/>
  <c r="V518" i="45"/>
  <c r="Y154" i="45"/>
  <c r="Y515" i="45"/>
  <c r="Z152" i="45"/>
  <c r="Z153" i="45" s="1"/>
  <c r="AA153" i="45" s="1"/>
  <c r="Y777" i="45"/>
  <c r="Z513" i="45"/>
  <c r="Z514" i="45" s="1"/>
  <c r="W517" i="45"/>
  <c r="W516" i="45"/>
  <c r="T158" i="45"/>
  <c r="T519" i="45"/>
  <c r="U519" i="45" s="1"/>
  <c r="U157" i="45"/>
  <c r="V156" i="45"/>
  <c r="X779" i="45"/>
  <c r="AA779" i="45" s="1"/>
  <c r="X778" i="45"/>
  <c r="W155" i="45"/>
  <c r="W156" i="45" l="1"/>
  <c r="Z515" i="45"/>
  <c r="V519" i="45"/>
  <c r="V157" i="45"/>
  <c r="T520" i="45"/>
  <c r="U520" i="45" s="1"/>
  <c r="AA778" i="45"/>
  <c r="Y778" i="45"/>
  <c r="X517" i="45"/>
  <c r="X516" i="45"/>
  <c r="Z154" i="45"/>
  <c r="AA154" i="45" s="1"/>
  <c r="T159" i="45"/>
  <c r="X155" i="45"/>
  <c r="X156" i="45" s="1"/>
  <c r="U158" i="45"/>
  <c r="W518" i="45"/>
  <c r="W157" i="45" l="1"/>
  <c r="X157" i="45" s="1"/>
  <c r="V158" i="45"/>
  <c r="T160" i="45"/>
  <c r="U159" i="45"/>
  <c r="V159" i="45" s="1"/>
  <c r="Y779" i="45"/>
  <c r="AA516" i="45"/>
  <c r="Y516" i="45"/>
  <c r="X518" i="45"/>
  <c r="AA517" i="45"/>
  <c r="T521" i="45"/>
  <c r="V520" i="45"/>
  <c r="Y156" i="45"/>
  <c r="Y155" i="45"/>
  <c r="W519" i="45"/>
  <c r="X519" i="45" s="1"/>
  <c r="W158" i="45"/>
  <c r="X158" i="45" s="1"/>
  <c r="W159" i="45" l="1"/>
  <c r="X159" i="45" s="1"/>
  <c r="Y159" i="45" s="1"/>
  <c r="U160" i="45"/>
  <c r="V160" i="45" s="1"/>
  <c r="AA519" i="45"/>
  <c r="AA518" i="45"/>
  <c r="T522" i="45"/>
  <c r="T161" i="45"/>
  <c r="U521" i="45"/>
  <c r="Z516" i="45"/>
  <c r="Y158" i="45"/>
  <c r="Z156" i="45"/>
  <c r="AA156" i="45" s="1"/>
  <c r="Z155" i="45"/>
  <c r="AA155" i="45" s="1"/>
  <c r="Y517" i="45"/>
  <c r="W520" i="45"/>
  <c r="X520" i="45" s="1"/>
  <c r="Y157" i="45"/>
  <c r="U161" i="45" l="1"/>
  <c r="V161" i="45" s="1"/>
  <c r="Z517" i="45"/>
  <c r="Z158" i="45"/>
  <c r="AA158" i="45" s="1"/>
  <c r="U522" i="45"/>
  <c r="Z157" i="45"/>
  <c r="AA157" i="45" s="1"/>
  <c r="V521" i="45"/>
  <c r="AA520" i="45"/>
  <c r="T162" i="45"/>
  <c r="Z159" i="45"/>
  <c r="AA159" i="45" s="1"/>
  <c r="T523" i="45"/>
  <c r="W160" i="45"/>
  <c r="Y518" i="45"/>
  <c r="Z518" i="45" l="1"/>
  <c r="W161" i="45"/>
  <c r="T163" i="45"/>
  <c r="X160" i="45"/>
  <c r="U162" i="45"/>
  <c r="Y519" i="45"/>
  <c r="T524" i="45"/>
  <c r="U523" i="45"/>
  <c r="W521" i="45"/>
  <c r="V522" i="45"/>
  <c r="W522" i="45" s="1"/>
  <c r="Y520" i="45" l="1"/>
  <c r="X522" i="45"/>
  <c r="X521" i="45"/>
  <c r="V162" i="45"/>
  <c r="V523" i="45"/>
  <c r="W523" i="45" s="1"/>
  <c r="Y160" i="45"/>
  <c r="T164" i="45"/>
  <c r="Z519" i="45"/>
  <c r="X161" i="45"/>
  <c r="Y161" i="45" s="1"/>
  <c r="T525" i="45"/>
  <c r="U163" i="45"/>
  <c r="U524" i="45"/>
  <c r="V524" i="45" s="1"/>
  <c r="V163" i="45" l="1"/>
  <c r="W163" i="45" s="1"/>
  <c r="W162" i="45"/>
  <c r="T165" i="45"/>
  <c r="U164" i="45"/>
  <c r="Z161" i="45"/>
  <c r="AA161" i="45" s="1"/>
  <c r="Z160" i="45"/>
  <c r="AA160" i="45" s="1"/>
  <c r="AA522" i="45"/>
  <c r="U525" i="45"/>
  <c r="T526" i="45"/>
  <c r="Z520" i="45"/>
  <c r="AA521" i="45"/>
  <c r="Y521" i="45"/>
  <c r="W524" i="45"/>
  <c r="X524" i="45" s="1"/>
  <c r="X523" i="45"/>
  <c r="Z521" i="45" l="1"/>
  <c r="T166" i="45"/>
  <c r="Y522" i="45"/>
  <c r="Y523" i="45" s="1"/>
  <c r="U165" i="45"/>
  <c r="X163" i="45"/>
  <c r="X162" i="45"/>
  <c r="AA524" i="45"/>
  <c r="V164" i="45"/>
  <c r="AA523" i="45"/>
  <c r="U526" i="45"/>
  <c r="T527" i="45"/>
  <c r="V525" i="45"/>
  <c r="V526" i="45" l="1"/>
  <c r="W526" i="45" s="1"/>
  <c r="Z522" i="45"/>
  <c r="Z523" i="45" s="1"/>
  <c r="Y163" i="45"/>
  <c r="Y162" i="45"/>
  <c r="AA163" i="45"/>
  <c r="Y524" i="45"/>
  <c r="T528" i="45"/>
  <c r="V165" i="45"/>
  <c r="W164" i="45"/>
  <c r="U527" i="45"/>
  <c r="V527" i="45" s="1"/>
  <c r="T167" i="45"/>
  <c r="W525" i="45"/>
  <c r="U166" i="45"/>
  <c r="Z524" i="45" l="1"/>
  <c r="W527" i="45"/>
  <c r="X527" i="45" s="1"/>
  <c r="X164" i="45"/>
  <c r="X526" i="45"/>
  <c r="X525" i="45"/>
  <c r="Z163" i="45"/>
  <c r="Z162" i="45"/>
  <c r="AA162" i="45" s="1"/>
  <c r="T529" i="45"/>
  <c r="V166" i="45"/>
  <c r="T168" i="45"/>
  <c r="U528" i="45"/>
  <c r="V528" i="45" s="1"/>
  <c r="W165" i="45"/>
  <c r="U167" i="45"/>
  <c r="W166" i="45" l="1"/>
  <c r="X166" i="45" s="1"/>
  <c r="AA525" i="45"/>
  <c r="Y525" i="45"/>
  <c r="AA526" i="45"/>
  <c r="Y164" i="45"/>
  <c r="T530" i="45"/>
  <c r="X165" i="45"/>
  <c r="Y165" i="45" s="1"/>
  <c r="U168" i="45"/>
  <c r="AA527" i="45"/>
  <c r="U529" i="45"/>
  <c r="T169" i="45"/>
  <c r="V167" i="45"/>
  <c r="W167" i="45" s="1"/>
  <c r="W528" i="45"/>
  <c r="T170" i="45" l="1"/>
  <c r="Y166" i="45"/>
  <c r="V529" i="45"/>
  <c r="T531" i="45"/>
  <c r="V168" i="45"/>
  <c r="W168" i="45" s="1"/>
  <c r="U530" i="45"/>
  <c r="Z525" i="45"/>
  <c r="U169" i="45"/>
  <c r="Y526" i="45"/>
  <c r="Z164" i="45"/>
  <c r="AA164" i="45" s="1"/>
  <c r="X528" i="45"/>
  <c r="X167" i="45"/>
  <c r="Z526" i="45" l="1"/>
  <c r="V530" i="45"/>
  <c r="W530" i="45" s="1"/>
  <c r="V169" i="45"/>
  <c r="W169" i="45" s="1"/>
  <c r="AA528" i="45"/>
  <c r="W529" i="45"/>
  <c r="T171" i="45"/>
  <c r="X168" i="45"/>
  <c r="Y168" i="45" s="1"/>
  <c r="Z165" i="45"/>
  <c r="AA165" i="45" s="1"/>
  <c r="T532" i="45"/>
  <c r="U170" i="45"/>
  <c r="Y527" i="45"/>
  <c r="Y167" i="45"/>
  <c r="U531" i="45"/>
  <c r="V170" i="45" l="1"/>
  <c r="W170" i="45" s="1"/>
  <c r="U532" i="45"/>
  <c r="Z166" i="45"/>
  <c r="AA166" i="45" s="1"/>
  <c r="Z527" i="45"/>
  <c r="X169" i="45"/>
  <c r="Y169" i="45" s="1"/>
  <c r="Y528" i="45"/>
  <c r="AA168" i="45"/>
  <c r="T172" i="45"/>
  <c r="U171" i="45"/>
  <c r="V171" i="45" s="1"/>
  <c r="X530" i="45"/>
  <c r="X529" i="45"/>
  <c r="T533" i="45"/>
  <c r="U533" i="45" s="1"/>
  <c r="V531" i="45"/>
  <c r="V532" i="45" s="1"/>
  <c r="Z167" i="45" l="1"/>
  <c r="Z168" i="45" s="1"/>
  <c r="Z528" i="45"/>
  <c r="X170" i="45"/>
  <c r="Y170" i="45" s="1"/>
  <c r="V533" i="45"/>
  <c r="W533" i="45" s="1"/>
  <c r="W171" i="45"/>
  <c r="T173" i="45"/>
  <c r="U172" i="45"/>
  <c r="V172" i="45" s="1"/>
  <c r="AA529" i="45"/>
  <c r="Y529" i="45"/>
  <c r="AA530" i="45"/>
  <c r="T534" i="45"/>
  <c r="W531" i="45"/>
  <c r="Z169" i="45"/>
  <c r="AA169" i="45" s="1"/>
  <c r="AA167" i="45" l="1"/>
  <c r="Z170" i="45"/>
  <c r="AA170" i="45" s="1"/>
  <c r="W172" i="45"/>
  <c r="X172" i="45" s="1"/>
  <c r="T174" i="45"/>
  <c r="U173" i="45"/>
  <c r="X531" i="45"/>
  <c r="T535" i="45"/>
  <c r="U534" i="45"/>
  <c r="Y530" i="45"/>
  <c r="Z529" i="45"/>
  <c r="W532" i="45"/>
  <c r="X533" i="45" s="1"/>
  <c r="X171" i="45"/>
  <c r="AA533" i="45" l="1"/>
  <c r="Y531" i="45"/>
  <c r="U174" i="45"/>
  <c r="X532" i="45"/>
  <c r="Y532" i="45" s="1"/>
  <c r="V173" i="45"/>
  <c r="T536" i="45"/>
  <c r="T175" i="45"/>
  <c r="V534" i="45"/>
  <c r="U535" i="45"/>
  <c r="Y172" i="45"/>
  <c r="Y171" i="45"/>
  <c r="Z530" i="45"/>
  <c r="V174" i="45" l="1"/>
  <c r="Z531" i="45"/>
  <c r="Z532" i="45" s="1"/>
  <c r="AA532" i="45" s="1"/>
  <c r="Z172" i="45"/>
  <c r="AA172" i="45" s="1"/>
  <c r="Z171" i="45"/>
  <c r="AA171" i="45" s="1"/>
  <c r="T176" i="45"/>
  <c r="T537" i="45"/>
  <c r="W534" i="45"/>
  <c r="U536" i="45"/>
  <c r="U175" i="45"/>
  <c r="V175" i="45" s="1"/>
  <c r="V535" i="45"/>
  <c r="W535" i="45" s="1"/>
  <c r="W173" i="45"/>
  <c r="W174" i="45" s="1"/>
  <c r="Y533" i="45"/>
  <c r="AA531" i="45" l="1"/>
  <c r="T177" i="45"/>
  <c r="U176" i="45"/>
  <c r="V176" i="45" s="1"/>
  <c r="X173" i="45"/>
  <c r="X174" i="45" s="1"/>
  <c r="V536" i="45"/>
  <c r="W536" i="45" s="1"/>
  <c r="X536" i="45" s="1"/>
  <c r="T538" i="45"/>
  <c r="Z533" i="45"/>
  <c r="X535" i="45"/>
  <c r="X534" i="45"/>
  <c r="U537" i="45"/>
  <c r="W175" i="45"/>
  <c r="V537" i="45" l="1"/>
  <c r="W537" i="45" s="1"/>
  <c r="X537" i="45" s="1"/>
  <c r="W176" i="45"/>
  <c r="T539" i="45"/>
  <c r="U538" i="45"/>
  <c r="V538" i="45" s="1"/>
  <c r="T178" i="45"/>
  <c r="U177" i="45"/>
  <c r="AA534" i="45"/>
  <c r="Y534" i="45"/>
  <c r="Y535" i="45" s="1"/>
  <c r="Y536" i="45"/>
  <c r="AA535" i="45"/>
  <c r="Y174" i="45"/>
  <c r="Y173" i="45"/>
  <c r="X175" i="45"/>
  <c r="Y175" i="45" s="1"/>
  <c r="Y537" i="45" l="1"/>
  <c r="T179" i="45"/>
  <c r="U178" i="45"/>
  <c r="Z534" i="45"/>
  <c r="Z535" i="45" s="1"/>
  <c r="Z536" i="45" s="1"/>
  <c r="AA536" i="45" s="1"/>
  <c r="Z175" i="45"/>
  <c r="AA175" i="45" s="1"/>
  <c r="X176" i="45"/>
  <c r="Y176" i="45" s="1"/>
  <c r="W538" i="45"/>
  <c r="X538" i="45" s="1"/>
  <c r="T540" i="45"/>
  <c r="Z174" i="45"/>
  <c r="AA174" i="45" s="1"/>
  <c r="Z173" i="45"/>
  <c r="AA173" i="45" s="1"/>
  <c r="V177" i="45"/>
  <c r="U539" i="45"/>
  <c r="V539" i="45" s="1"/>
  <c r="U179" i="45" l="1"/>
  <c r="W539" i="45"/>
  <c r="Y538" i="45"/>
  <c r="W177" i="45"/>
  <c r="T180" i="45"/>
  <c r="V178" i="45"/>
  <c r="T541" i="45"/>
  <c r="U540" i="45"/>
  <c r="Z537" i="45"/>
  <c r="AA537" i="45" s="1"/>
  <c r="Z176" i="45"/>
  <c r="AA176" i="45" s="1"/>
  <c r="Z538" i="45" l="1"/>
  <c r="AA538" i="45" s="1"/>
  <c r="T542" i="45"/>
  <c r="V179" i="45"/>
  <c r="V540" i="45"/>
  <c r="X177" i="45"/>
  <c r="W178" i="45"/>
  <c r="U541" i="45"/>
  <c r="X539" i="45"/>
  <c r="T181" i="45"/>
  <c r="U180" i="45"/>
  <c r="U181" i="45" l="1"/>
  <c r="W179" i="45"/>
  <c r="X179" i="45" s="1"/>
  <c r="Y177" i="45"/>
  <c r="X178" i="45"/>
  <c r="Y178" i="45" s="1"/>
  <c r="V180" i="45"/>
  <c r="Y539" i="45"/>
  <c r="T543" i="45"/>
  <c r="U542" i="45"/>
  <c r="V542" i="45" s="1"/>
  <c r="T182" i="45"/>
  <c r="U182" i="45" s="1"/>
  <c r="W540" i="45"/>
  <c r="V541" i="45"/>
  <c r="U543" i="45" l="1"/>
  <c r="Z178" i="45"/>
  <c r="AA178" i="45" s="1"/>
  <c r="Z177" i="45"/>
  <c r="AA177" i="45" s="1"/>
  <c r="W542" i="45"/>
  <c r="X540" i="45"/>
  <c r="Z539" i="45"/>
  <c r="AA539" i="45" s="1"/>
  <c r="W541" i="45"/>
  <c r="Y179" i="45"/>
  <c r="Z179" i="45" s="1"/>
  <c r="AA179" i="45" s="1"/>
  <c r="V181" i="45"/>
  <c r="V182" i="45" s="1"/>
  <c r="T544" i="45"/>
  <c r="U544" i="45" s="1"/>
  <c r="T183" i="45"/>
  <c r="U183" i="45" s="1"/>
  <c r="V543" i="45"/>
  <c r="W180" i="45"/>
  <c r="X542" i="45" l="1"/>
  <c r="AA542" i="45" s="1"/>
  <c r="T545" i="45"/>
  <c r="U545" i="45" s="1"/>
  <c r="W181" i="45"/>
  <c r="AA540" i="45"/>
  <c r="Y540" i="45"/>
  <c r="V183" i="45"/>
  <c r="X180" i="45"/>
  <c r="X541" i="45"/>
  <c r="V544" i="45"/>
  <c r="T184" i="45"/>
  <c r="U184" i="45" s="1"/>
  <c r="W543" i="45"/>
  <c r="X543" i="45" s="1"/>
  <c r="V545" i="45" l="1"/>
  <c r="W545" i="45" s="1"/>
  <c r="AA543" i="45"/>
  <c r="AA541" i="45"/>
  <c r="X181" i="45"/>
  <c r="Y181" i="45" s="1"/>
  <c r="T546" i="45"/>
  <c r="T185" i="45"/>
  <c r="Y541" i="45"/>
  <c r="AA180" i="45"/>
  <c r="Y180" i="45"/>
  <c r="W544" i="45"/>
  <c r="X544" i="45" s="1"/>
  <c r="Z540" i="45"/>
  <c r="V184" i="45"/>
  <c r="W182" i="45"/>
  <c r="Z541" i="45" l="1"/>
  <c r="X182" i="45"/>
  <c r="Y182" i="45" s="1"/>
  <c r="W183" i="45"/>
  <c r="W184" i="45" s="1"/>
  <c r="T186" i="45"/>
  <c r="AA544" i="45"/>
  <c r="X545" i="45"/>
  <c r="U185" i="45"/>
  <c r="Y542" i="45"/>
  <c r="Z542" i="45" s="1"/>
  <c r="Z180" i="45"/>
  <c r="Z181" i="45" s="1"/>
  <c r="AA181" i="45" s="1"/>
  <c r="T547" i="45"/>
  <c r="U546" i="45"/>
  <c r="X183" i="45" l="1"/>
  <c r="X184" i="45" s="1"/>
  <c r="U547" i="45"/>
  <c r="T187" i="45"/>
  <c r="U186" i="45"/>
  <c r="V546" i="45"/>
  <c r="Z182" i="45"/>
  <c r="AA182" i="45" s="1"/>
  <c r="Y543" i="45"/>
  <c r="V185" i="45"/>
  <c r="T548" i="45"/>
  <c r="AA545" i="45"/>
  <c r="Y183" i="45" l="1"/>
  <c r="Y184" i="45" s="1"/>
  <c r="W546" i="45"/>
  <c r="V547" i="45"/>
  <c r="T188" i="45"/>
  <c r="Y544" i="45"/>
  <c r="Z543" i="45"/>
  <c r="U187" i="45"/>
  <c r="W185" i="45"/>
  <c r="V186" i="45"/>
  <c r="T549" i="45"/>
  <c r="U548" i="45"/>
  <c r="V187" i="45" l="1"/>
  <c r="Z183" i="45"/>
  <c r="AA183" i="45" s="1"/>
  <c r="Z184" i="45"/>
  <c r="AA184" i="45" s="1"/>
  <c r="U549" i="45"/>
  <c r="W186" i="45"/>
  <c r="W187" i="45" s="1"/>
  <c r="X185" i="45"/>
  <c r="T189" i="45"/>
  <c r="V548" i="45"/>
  <c r="X546" i="45"/>
  <c r="U188" i="45"/>
  <c r="V188" i="45" s="1"/>
  <c r="Y545" i="45"/>
  <c r="T550" i="45"/>
  <c r="Z544" i="45"/>
  <c r="W547" i="45"/>
  <c r="Z545" i="45" l="1"/>
  <c r="U189" i="45"/>
  <c r="V189" i="45" s="1"/>
  <c r="W188" i="45"/>
  <c r="Y546" i="45"/>
  <c r="Y185" i="45"/>
  <c r="X186" i="45"/>
  <c r="T551" i="45"/>
  <c r="V549" i="45"/>
  <c r="W548" i="45"/>
  <c r="X548" i="45" s="1"/>
  <c r="X547" i="45"/>
  <c r="Y547" i="45" s="1"/>
  <c r="U550" i="45"/>
  <c r="T190" i="45"/>
  <c r="T552" i="45" l="1"/>
  <c r="V550" i="45"/>
  <c r="T191" i="45"/>
  <c r="Y548" i="45"/>
  <c r="W549" i="45"/>
  <c r="X549" i="45" s="1"/>
  <c r="Y549" i="45" s="1"/>
  <c r="Z546" i="45"/>
  <c r="AA546" i="45" s="1"/>
  <c r="U551" i="45"/>
  <c r="V551" i="45" s="1"/>
  <c r="U190" i="45"/>
  <c r="Y186" i="45"/>
  <c r="Z186" i="45" s="1"/>
  <c r="Z185" i="45"/>
  <c r="AA185" i="45" s="1"/>
  <c r="X187" i="45"/>
  <c r="W189" i="45"/>
  <c r="W551" i="45" l="1"/>
  <c r="W550" i="45"/>
  <c r="T192" i="45"/>
  <c r="Z547" i="45"/>
  <c r="AA547" i="45" s="1"/>
  <c r="V190" i="45"/>
  <c r="T553" i="45"/>
  <c r="AA186" i="45"/>
  <c r="U552" i="45"/>
  <c r="V552" i="45" s="1"/>
  <c r="U191" i="45"/>
  <c r="Y187" i="45"/>
  <c r="X188" i="45"/>
  <c r="AA549" i="45"/>
  <c r="Z548" i="45" l="1"/>
  <c r="Z549" i="45" s="1"/>
  <c r="U192" i="45"/>
  <c r="X551" i="45"/>
  <c r="AA551" i="45" s="1"/>
  <c r="T554" i="45"/>
  <c r="U553" i="45"/>
  <c r="W190" i="45"/>
  <c r="X550" i="45"/>
  <c r="V191" i="45"/>
  <c r="W552" i="45"/>
  <c r="X552" i="45" s="1"/>
  <c r="Z187" i="45"/>
  <c r="AA187" i="45" s="1"/>
  <c r="Y188" i="45"/>
  <c r="Z188" i="45" s="1"/>
  <c r="T193" i="45"/>
  <c r="X189" i="45"/>
  <c r="U193" i="45" l="1"/>
  <c r="AA548" i="45"/>
  <c r="W191" i="45"/>
  <c r="AA552" i="45"/>
  <c r="AA550" i="45"/>
  <c r="Y550" i="45"/>
  <c r="Y189" i="45"/>
  <c r="T194" i="45"/>
  <c r="U194" i="45" s="1"/>
  <c r="V553" i="45"/>
  <c r="V192" i="45"/>
  <c r="V193" i="45" s="1"/>
  <c r="T555" i="45"/>
  <c r="X190" i="45"/>
  <c r="AA188" i="45"/>
  <c r="U554" i="45"/>
  <c r="X191" i="45" l="1"/>
  <c r="V554" i="45"/>
  <c r="W554" i="45" s="1"/>
  <c r="W192" i="45"/>
  <c r="W193" i="45" s="1"/>
  <c r="V194" i="45"/>
  <c r="Z550" i="45"/>
  <c r="Y551" i="45"/>
  <c r="Y191" i="45"/>
  <c r="T556" i="45"/>
  <c r="U555" i="45"/>
  <c r="Y190" i="45"/>
  <c r="Z190" i="45" s="1"/>
  <c r="W553" i="45"/>
  <c r="T195" i="45"/>
  <c r="Z189" i="45"/>
  <c r="AA189" i="45" s="1"/>
  <c r="X192" i="45" l="1"/>
  <c r="Y192" i="45" s="1"/>
  <c r="Z192" i="45" s="1"/>
  <c r="AA192" i="45" s="1"/>
  <c r="Z551" i="45"/>
  <c r="W194" i="45"/>
  <c r="AA190" i="45"/>
  <c r="V555" i="45"/>
  <c r="T557" i="45"/>
  <c r="T196" i="45"/>
  <c r="U195" i="45"/>
  <c r="U556" i="45"/>
  <c r="X554" i="45"/>
  <c r="X553" i="45"/>
  <c r="Z191" i="45"/>
  <c r="AA191" i="45" s="1"/>
  <c r="Y552" i="45"/>
  <c r="X193" i="45" l="1"/>
  <c r="Y193" i="45" s="1"/>
  <c r="Z193" i="45" s="1"/>
  <c r="AA193" i="45" s="1"/>
  <c r="U557" i="45"/>
  <c r="AA553" i="45"/>
  <c r="Y553" i="45"/>
  <c r="W555" i="45"/>
  <c r="V195" i="45"/>
  <c r="V556" i="45"/>
  <c r="W556" i="45" s="1"/>
  <c r="AA554" i="45"/>
  <c r="T197" i="45"/>
  <c r="U196" i="45"/>
  <c r="T558" i="45"/>
  <c r="Z552" i="45"/>
  <c r="U197" i="45" l="1"/>
  <c r="X194" i="45"/>
  <c r="Y194" i="45" s="1"/>
  <c r="Z194" i="45" s="1"/>
  <c r="AA194" i="45" s="1"/>
  <c r="V196" i="45"/>
  <c r="Z553" i="45"/>
  <c r="X556" i="45"/>
  <c r="X555" i="45"/>
  <c r="W195" i="45"/>
  <c r="Y554" i="45"/>
  <c r="T198" i="45"/>
  <c r="U198" i="45" s="1"/>
  <c r="T559" i="45"/>
  <c r="U558" i="45"/>
  <c r="V557" i="45"/>
  <c r="V197" i="45" l="1"/>
  <c r="V198" i="45"/>
  <c r="AA555" i="45"/>
  <c r="Y555" i="45"/>
  <c r="T199" i="45"/>
  <c r="AA556" i="45"/>
  <c r="X195" i="45"/>
  <c r="W196" i="45"/>
  <c r="W197" i="45" s="1"/>
  <c r="V558" i="45"/>
  <c r="W558" i="45" s="1"/>
  <c r="Z554" i="45"/>
  <c r="T560" i="45"/>
  <c r="W557" i="45"/>
  <c r="U559" i="45"/>
  <c r="T200" i="45" l="1"/>
  <c r="W198" i="45"/>
  <c r="Z555" i="45"/>
  <c r="Y556" i="45"/>
  <c r="Z556" i="45" s="1"/>
  <c r="V559" i="45"/>
  <c r="W559" i="45" s="1"/>
  <c r="X559" i="45" s="1"/>
  <c r="X558" i="45"/>
  <c r="X557" i="45"/>
  <c r="T561" i="45"/>
  <c r="U560" i="45"/>
  <c r="U199" i="45"/>
  <c r="Y195" i="45"/>
  <c r="X196" i="45"/>
  <c r="Y196" i="45" s="1"/>
  <c r="AA559" i="45" l="1"/>
  <c r="T562" i="45"/>
  <c r="T201" i="45"/>
  <c r="U200" i="45"/>
  <c r="Z196" i="45"/>
  <c r="AA196" i="45" s="1"/>
  <c r="Z195" i="45"/>
  <c r="AA195" i="45" s="1"/>
  <c r="U561" i="45"/>
  <c r="AA557" i="45"/>
  <c r="Y557" i="45"/>
  <c r="AA558" i="45"/>
  <c r="V199" i="45"/>
  <c r="X197" i="45"/>
  <c r="Y197" i="45" s="1"/>
  <c r="V560" i="45"/>
  <c r="U201" i="45" l="1"/>
  <c r="X198" i="45"/>
  <c r="Y198" i="45" s="1"/>
  <c r="Z198" i="45" s="1"/>
  <c r="T563" i="45"/>
  <c r="W560" i="45"/>
  <c r="Y558" i="45"/>
  <c r="U562" i="45"/>
  <c r="V561" i="45"/>
  <c r="W561" i="45" s="1"/>
  <c r="T202" i="45"/>
  <c r="Z557" i="45"/>
  <c r="W199" i="45"/>
  <c r="V200" i="45"/>
  <c r="V201" i="45" s="1"/>
  <c r="Z197" i="45"/>
  <c r="AA197" i="45" s="1"/>
  <c r="U563" i="45" l="1"/>
  <c r="AA198" i="45"/>
  <c r="X561" i="45"/>
  <c r="X560" i="45"/>
  <c r="T203" i="45"/>
  <c r="Y559" i="45"/>
  <c r="X199" i="45"/>
  <c r="Z558" i="45"/>
  <c r="W200" i="45"/>
  <c r="U202" i="45"/>
  <c r="T564" i="45"/>
  <c r="V562" i="45"/>
  <c r="W562" i="45" s="1"/>
  <c r="X200" i="45" l="1"/>
  <c r="W201" i="45"/>
  <c r="X562" i="45"/>
  <c r="T204" i="45"/>
  <c r="AA560" i="45"/>
  <c r="Y560" i="45"/>
  <c r="Y561" i="45" s="1"/>
  <c r="Y562" i="45" s="1"/>
  <c r="Y199" i="45"/>
  <c r="T565" i="45"/>
  <c r="AA561" i="45"/>
  <c r="V563" i="45"/>
  <c r="W563" i="45" s="1"/>
  <c r="X563" i="45" s="1"/>
  <c r="V202" i="45"/>
  <c r="Z559" i="45"/>
  <c r="U564" i="45"/>
  <c r="U203" i="45"/>
  <c r="V203" i="45" s="1"/>
  <c r="X201" i="45" l="1"/>
  <c r="Z560" i="45"/>
  <c r="Z561" i="45" s="1"/>
  <c r="Z562" i="45" s="1"/>
  <c r="AA563" i="45"/>
  <c r="W203" i="45"/>
  <c r="W202" i="45"/>
  <c r="Z199" i="45"/>
  <c r="AA199" i="45" s="1"/>
  <c r="V564" i="45"/>
  <c r="W564" i="45" s="1"/>
  <c r="X564" i="45" s="1"/>
  <c r="U565" i="45"/>
  <c r="T205" i="45"/>
  <c r="T566" i="45"/>
  <c r="U204" i="45"/>
  <c r="V204" i="45" s="1"/>
  <c r="AA562" i="45"/>
  <c r="Y563" i="45"/>
  <c r="Y200" i="45"/>
  <c r="Z200" i="45" s="1"/>
  <c r="AA564" i="45" l="1"/>
  <c r="Y564" i="45"/>
  <c r="Z563" i="45"/>
  <c r="T567" i="45"/>
  <c r="X203" i="45"/>
  <c r="X202" i="45"/>
  <c r="T206" i="45"/>
  <c r="U205" i="45"/>
  <c r="V205" i="45" s="1"/>
  <c r="W204" i="45"/>
  <c r="U566" i="45"/>
  <c r="AA200" i="45"/>
  <c r="V565" i="45"/>
  <c r="Y201" i="45"/>
  <c r="Z201" i="45" s="1"/>
  <c r="U567" i="45" l="1"/>
  <c r="W205" i="45"/>
  <c r="X205" i="45" s="1"/>
  <c r="Y203" i="45"/>
  <c r="Y202" i="45"/>
  <c r="T568" i="45"/>
  <c r="X204" i="45"/>
  <c r="Y204" i="45" s="1"/>
  <c r="AA203" i="45"/>
  <c r="V566" i="45"/>
  <c r="W566" i="45" s="1"/>
  <c r="W565" i="45"/>
  <c r="T207" i="45"/>
  <c r="AA201" i="45"/>
  <c r="Z564" i="45"/>
  <c r="U206" i="45"/>
  <c r="Z203" i="45" l="1"/>
  <c r="Z204" i="45" s="1"/>
  <c r="AA204" i="45" s="1"/>
  <c r="V567" i="45"/>
  <c r="W567" i="45" s="1"/>
  <c r="T208" i="45"/>
  <c r="Y205" i="45"/>
  <c r="U207" i="45"/>
  <c r="V206" i="45"/>
  <c r="Z202" i="45"/>
  <c r="AA202" i="45" s="1"/>
  <c r="X566" i="45"/>
  <c r="X565" i="45"/>
  <c r="T569" i="45"/>
  <c r="U568" i="45"/>
  <c r="U569" i="45" l="1"/>
  <c r="Z205" i="45"/>
  <c r="AA205" i="45" s="1"/>
  <c r="V207" i="45"/>
  <c r="W207" i="45" s="1"/>
  <c r="T209" i="45"/>
  <c r="U208" i="45"/>
  <c r="W206" i="45"/>
  <c r="V568" i="45"/>
  <c r="T570" i="45"/>
  <c r="X567" i="45"/>
  <c r="AA565" i="45"/>
  <c r="Y565" i="45"/>
  <c r="AA566" i="45"/>
  <c r="V208" i="45" l="1"/>
  <c r="W208" i="45" s="1"/>
  <c r="X208" i="45" s="1"/>
  <c r="X207" i="45"/>
  <c r="X206" i="45"/>
  <c r="AA567" i="45"/>
  <c r="T210" i="45"/>
  <c r="T571" i="45"/>
  <c r="U570" i="45"/>
  <c r="U209" i="45"/>
  <c r="W568" i="45"/>
  <c r="Z565" i="45"/>
  <c r="Y566" i="45"/>
  <c r="Y567" i="45" s="1"/>
  <c r="V569" i="45"/>
  <c r="W569" i="45" s="1"/>
  <c r="T211" i="45" l="1"/>
  <c r="X569" i="45"/>
  <c r="X568" i="45"/>
  <c r="U210" i="45"/>
  <c r="V570" i="45"/>
  <c r="Y207" i="45"/>
  <c r="Y206" i="45"/>
  <c r="Z566" i="45"/>
  <c r="Z567" i="45" s="1"/>
  <c r="T572" i="45"/>
  <c r="V209" i="45"/>
  <c r="U571" i="45"/>
  <c r="Y208" i="45"/>
  <c r="AA207" i="45"/>
  <c r="V210" i="45" l="1"/>
  <c r="W210" i="45" s="1"/>
  <c r="U572" i="45"/>
  <c r="AA568" i="45"/>
  <c r="Y568" i="45"/>
  <c r="T212" i="45"/>
  <c r="U211" i="45"/>
  <c r="AA569" i="45"/>
  <c r="W209" i="45"/>
  <c r="V571" i="45"/>
  <c r="Z206" i="45"/>
  <c r="AA206" i="45" s="1"/>
  <c r="T573" i="45"/>
  <c r="W570" i="45"/>
  <c r="V572" i="45" l="1"/>
  <c r="U573" i="45"/>
  <c r="V573" i="45" s="1"/>
  <c r="V211" i="45"/>
  <c r="W211" i="45" s="1"/>
  <c r="X211" i="45" s="1"/>
  <c r="U212" i="45"/>
  <c r="W571" i="45"/>
  <c r="X571" i="45" s="1"/>
  <c r="Z568" i="45"/>
  <c r="X570" i="45"/>
  <c r="Y569" i="45"/>
  <c r="T574" i="45"/>
  <c r="Z207" i="45"/>
  <c r="Z208" i="45" s="1"/>
  <c r="AA208" i="45" s="1"/>
  <c r="T213" i="45"/>
  <c r="W572" i="45"/>
  <c r="X210" i="45"/>
  <c r="X209" i="45"/>
  <c r="X572" i="45" l="1"/>
  <c r="U213" i="45"/>
  <c r="V212" i="45"/>
  <c r="Z569" i="45"/>
  <c r="AA572" i="45"/>
  <c r="Y210" i="45"/>
  <c r="Y209" i="45"/>
  <c r="AA570" i="45"/>
  <c r="Y570" i="45"/>
  <c r="T575" i="45"/>
  <c r="AA210" i="45"/>
  <c r="Y211" i="45"/>
  <c r="U574" i="45"/>
  <c r="W573" i="45"/>
  <c r="X573" i="45" s="1"/>
  <c r="T214" i="45"/>
  <c r="U214" i="45" s="1"/>
  <c r="AA571" i="45"/>
  <c r="V213" i="45" l="1"/>
  <c r="W212" i="45"/>
  <c r="X212" i="45" s="1"/>
  <c r="Y212" i="45" s="1"/>
  <c r="Z570" i="45"/>
  <c r="AA573" i="45"/>
  <c r="V574" i="45"/>
  <c r="Y571" i="45"/>
  <c r="V214" i="45"/>
  <c r="T576" i="45"/>
  <c r="T215" i="45"/>
  <c r="U215" i="45" s="1"/>
  <c r="U575" i="45"/>
  <c r="Z209" i="45"/>
  <c r="AA209" i="45" s="1"/>
  <c r="W213" i="45" l="1"/>
  <c r="X213" i="45" s="1"/>
  <c r="Y213" i="45" s="1"/>
  <c r="V215" i="45"/>
  <c r="W574" i="45"/>
  <c r="T577" i="45"/>
  <c r="U576" i="45"/>
  <c r="T216" i="45"/>
  <c r="V575" i="45"/>
  <c r="Y572" i="45"/>
  <c r="Z210" i="45"/>
  <c r="Z211" i="45" s="1"/>
  <c r="AA211" i="45" s="1"/>
  <c r="Z571" i="45"/>
  <c r="W214" i="45" l="1"/>
  <c r="X214" i="45" s="1"/>
  <c r="Y214" i="45" s="1"/>
  <c r="Z212" i="45"/>
  <c r="Z213" i="45" s="1"/>
  <c r="AA213" i="45" s="1"/>
  <c r="T578" i="45"/>
  <c r="U577" i="45"/>
  <c r="T217" i="45"/>
  <c r="U216" i="45"/>
  <c r="W575" i="45"/>
  <c r="X575" i="45" s="1"/>
  <c r="X574" i="45"/>
  <c r="Y573" i="45"/>
  <c r="W215" i="45"/>
  <c r="Z572" i="45"/>
  <c r="V576" i="45"/>
  <c r="AA212" i="45" l="1"/>
  <c r="Z573" i="45"/>
  <c r="T218" i="45"/>
  <c r="V216" i="45"/>
  <c r="AA574" i="45"/>
  <c r="Y574" i="45"/>
  <c r="Y575" i="45" s="1"/>
  <c r="U217" i="45"/>
  <c r="Z214" i="45"/>
  <c r="AA214" i="45" s="1"/>
  <c r="AA575" i="45"/>
  <c r="T579" i="45"/>
  <c r="X215" i="45"/>
  <c r="V577" i="45"/>
  <c r="W577" i="45" s="1"/>
  <c r="U578" i="45"/>
  <c r="W576" i="45"/>
  <c r="X576" i="45" s="1"/>
  <c r="V578" i="45" l="1"/>
  <c r="AA576" i="45"/>
  <c r="Y576" i="45"/>
  <c r="T580" i="45"/>
  <c r="U579" i="45"/>
  <c r="V579" i="45" s="1"/>
  <c r="Y215" i="45"/>
  <c r="V217" i="45"/>
  <c r="Z574" i="45"/>
  <c r="Z575" i="45" s="1"/>
  <c r="Z576" i="45" s="1"/>
  <c r="W578" i="45"/>
  <c r="X578" i="45" s="1"/>
  <c r="T219" i="45"/>
  <c r="X577" i="45"/>
  <c r="W216" i="45"/>
  <c r="U218" i="45"/>
  <c r="V218" i="45" s="1"/>
  <c r="W579" i="45" l="1"/>
  <c r="X579" i="45" s="1"/>
  <c r="W218" i="45"/>
  <c r="AA578" i="45"/>
  <c r="X216" i="45"/>
  <c r="AA577" i="45"/>
  <c r="W217" i="45"/>
  <c r="T220" i="45"/>
  <c r="Z215" i="45"/>
  <c r="AA215" i="45" s="1"/>
  <c r="U219" i="45"/>
  <c r="V219" i="45" s="1"/>
  <c r="T581" i="45"/>
  <c r="U580" i="45"/>
  <c r="V580" i="45" s="1"/>
  <c r="Y577" i="45"/>
  <c r="Y578" i="45" s="1"/>
  <c r="X218" i="45" l="1"/>
  <c r="U220" i="45"/>
  <c r="V220" i="45" s="1"/>
  <c r="W220" i="45" s="1"/>
  <c r="Z577" i="45"/>
  <c r="Z578" i="45" s="1"/>
  <c r="W580" i="45"/>
  <c r="X580" i="45" s="1"/>
  <c r="W219" i="45"/>
  <c r="AA579" i="45"/>
  <c r="Y579" i="45"/>
  <c r="T582" i="45"/>
  <c r="X217" i="45"/>
  <c r="Y217" i="45" s="1"/>
  <c r="U581" i="45"/>
  <c r="V581" i="45" s="1"/>
  <c r="T221" i="45"/>
  <c r="U221" i="45" s="1"/>
  <c r="AA218" i="45"/>
  <c r="Y216" i="45"/>
  <c r="Y580" i="45" l="1"/>
  <c r="Z579" i="45"/>
  <c r="W581" i="45"/>
  <c r="V221" i="45"/>
  <c r="W221" i="45" s="1"/>
  <c r="X220" i="45"/>
  <c r="X219" i="45"/>
  <c r="AA580" i="45"/>
  <c r="Y218" i="45"/>
  <c r="AA217" i="45"/>
  <c r="T583" i="45"/>
  <c r="U582" i="45"/>
  <c r="V582" i="45" s="1"/>
  <c r="Z217" i="45"/>
  <c r="Z216" i="45"/>
  <c r="AA216" i="45" s="1"/>
  <c r="T222" i="45"/>
  <c r="Z580" i="45" l="1"/>
  <c r="X221" i="45"/>
  <c r="W582" i="45"/>
  <c r="Z218" i="45"/>
  <c r="T223" i="45"/>
  <c r="U222" i="45"/>
  <c r="T584" i="45"/>
  <c r="X581" i="45"/>
  <c r="U583" i="45"/>
  <c r="V583" i="45" s="1"/>
  <c r="AA219" i="45"/>
  <c r="Y219" i="45"/>
  <c r="AA220" i="45"/>
  <c r="Z219" i="45" l="1"/>
  <c r="U223" i="45"/>
  <c r="W583" i="45"/>
  <c r="AA581" i="45"/>
  <c r="Y581" i="45"/>
  <c r="T585" i="45"/>
  <c r="U584" i="45"/>
  <c r="V584" i="45" s="1"/>
  <c r="T224" i="45"/>
  <c r="X582" i="45"/>
  <c r="AA221" i="45"/>
  <c r="Y220" i="45"/>
  <c r="V222" i="45"/>
  <c r="U585" i="45" l="1"/>
  <c r="V585" i="45" s="1"/>
  <c r="W585" i="45" s="1"/>
  <c r="Z581" i="45"/>
  <c r="AA582" i="45"/>
  <c r="T586" i="45"/>
  <c r="T225" i="45"/>
  <c r="Y582" i="45"/>
  <c r="W222" i="45"/>
  <c r="V223" i="45"/>
  <c r="U224" i="45"/>
  <c r="Y221" i="45"/>
  <c r="Z220" i="45"/>
  <c r="X583" i="45"/>
  <c r="W584" i="45"/>
  <c r="Y583" i="45" l="1"/>
  <c r="T587" i="45"/>
  <c r="V224" i="45"/>
  <c r="W224" i="45" s="1"/>
  <c r="U586" i="45"/>
  <c r="T226" i="45"/>
  <c r="AA583" i="45"/>
  <c r="X585" i="45"/>
  <c r="X584" i="45"/>
  <c r="X222" i="45"/>
  <c r="W223" i="45"/>
  <c r="Z582" i="45"/>
  <c r="Z221" i="45"/>
  <c r="U225" i="45"/>
  <c r="Z583" i="45" l="1"/>
  <c r="V586" i="45"/>
  <c r="AA584" i="45"/>
  <c r="AA585" i="45"/>
  <c r="V225" i="45"/>
  <c r="W225" i="45" s="1"/>
  <c r="U226" i="45"/>
  <c r="T588" i="45"/>
  <c r="Y584" i="45"/>
  <c r="U587" i="45"/>
  <c r="X224" i="45"/>
  <c r="AA222" i="45"/>
  <c r="Y222" i="45"/>
  <c r="X223" i="45"/>
  <c r="T227" i="45"/>
  <c r="U588" i="45" l="1"/>
  <c r="U227" i="45"/>
  <c r="AA224" i="45"/>
  <c r="Z584" i="45"/>
  <c r="Y585" i="45"/>
  <c r="AA223" i="45"/>
  <c r="W586" i="45"/>
  <c r="V587" i="45"/>
  <c r="W587" i="45" s="1"/>
  <c r="T228" i="45"/>
  <c r="T589" i="45"/>
  <c r="Z222" i="45"/>
  <c r="V226" i="45"/>
  <c r="W226" i="45" s="1"/>
  <c r="Y223" i="45"/>
  <c r="X225" i="45"/>
  <c r="Z223" i="45" l="1"/>
  <c r="V588" i="45"/>
  <c r="W588" i="45" s="1"/>
  <c r="X588" i="45" s="1"/>
  <c r="Z585" i="45"/>
  <c r="X226" i="45"/>
  <c r="X587" i="45"/>
  <c r="X586" i="45"/>
  <c r="T590" i="45"/>
  <c r="U589" i="45"/>
  <c r="V227" i="45"/>
  <c r="T229" i="45"/>
  <c r="Y224" i="45"/>
  <c r="AA225" i="45"/>
  <c r="U228" i="45"/>
  <c r="Z224" i="45" l="1"/>
  <c r="U590" i="45"/>
  <c r="Y588" i="45"/>
  <c r="AA587" i="45"/>
  <c r="V228" i="45"/>
  <c r="W228" i="45" s="1"/>
  <c r="W227" i="45"/>
  <c r="V589" i="45"/>
  <c r="T230" i="45"/>
  <c r="AA226" i="45"/>
  <c r="AA586" i="45"/>
  <c r="Y586" i="45"/>
  <c r="Y587" i="45" s="1"/>
  <c r="U229" i="45"/>
  <c r="T591" i="45"/>
  <c r="Y225" i="45"/>
  <c r="V229" i="45" l="1"/>
  <c r="U230" i="45"/>
  <c r="V230" i="45" s="1"/>
  <c r="T592" i="45"/>
  <c r="Y226" i="45"/>
  <c r="W229" i="45"/>
  <c r="X229" i="45" s="1"/>
  <c r="W589" i="45"/>
  <c r="T231" i="45"/>
  <c r="Z586" i="45"/>
  <c r="Z587" i="45" s="1"/>
  <c r="Z588" i="45" s="1"/>
  <c r="AA588" i="45" s="1"/>
  <c r="V590" i="45"/>
  <c r="Z225" i="45"/>
  <c r="U591" i="45"/>
  <c r="X228" i="45"/>
  <c r="X227" i="45"/>
  <c r="W590" i="45" l="1"/>
  <c r="U231" i="45"/>
  <c r="V231" i="45" s="1"/>
  <c r="AA229" i="45"/>
  <c r="AA228" i="45"/>
  <c r="T232" i="45"/>
  <c r="Z226" i="45"/>
  <c r="T593" i="45"/>
  <c r="X589" i="45"/>
  <c r="U592" i="45"/>
  <c r="V591" i="45"/>
  <c r="W591" i="45" s="1"/>
  <c r="X591" i="45" s="1"/>
  <c r="W230" i="45"/>
  <c r="AA227" i="45"/>
  <c r="Y227" i="45"/>
  <c r="U232" i="45" l="1"/>
  <c r="V232" i="45" s="1"/>
  <c r="W232" i="45" s="1"/>
  <c r="Y589" i="45"/>
  <c r="T233" i="45"/>
  <c r="Y228" i="45"/>
  <c r="T594" i="45"/>
  <c r="Z227" i="45"/>
  <c r="X590" i="45"/>
  <c r="Y590" i="45" s="1"/>
  <c r="X230" i="45"/>
  <c r="U593" i="45"/>
  <c r="V592" i="45"/>
  <c r="W231" i="45"/>
  <c r="V593" i="45" l="1"/>
  <c r="T595" i="45"/>
  <c r="U594" i="45"/>
  <c r="Y229" i="45"/>
  <c r="T234" i="45"/>
  <c r="X232" i="45"/>
  <c r="X231" i="45"/>
  <c r="W592" i="45"/>
  <c r="AA230" i="45"/>
  <c r="U233" i="45"/>
  <c r="Z590" i="45"/>
  <c r="AA590" i="45" s="1"/>
  <c r="Z589" i="45"/>
  <c r="AA589" i="45" s="1"/>
  <c r="Y591" i="45"/>
  <c r="Z228" i="45"/>
  <c r="W593" i="45" l="1"/>
  <c r="Z229" i="45"/>
  <c r="Y230" i="45"/>
  <c r="Y231" i="45" s="1"/>
  <c r="AA231" i="45"/>
  <c r="T596" i="45"/>
  <c r="AA232" i="45"/>
  <c r="U595" i="45"/>
  <c r="T235" i="45"/>
  <c r="U234" i="45"/>
  <c r="V233" i="45"/>
  <c r="V594" i="45"/>
  <c r="X592" i="45"/>
  <c r="X593" i="45" s="1"/>
  <c r="Z230" i="45"/>
  <c r="Z591" i="45"/>
  <c r="AA591" i="45" s="1"/>
  <c r="V234" i="45" l="1"/>
  <c r="W234" i="45" s="1"/>
  <c r="U596" i="45"/>
  <c r="W594" i="45"/>
  <c r="W233" i="45"/>
  <c r="T597" i="45"/>
  <c r="Z231" i="45"/>
  <c r="V595" i="45"/>
  <c r="W595" i="45" s="1"/>
  <c r="Y593" i="45"/>
  <c r="Y592" i="45"/>
  <c r="T236" i="45"/>
  <c r="U235" i="45"/>
  <c r="Y232" i="45"/>
  <c r="Z232" i="45" l="1"/>
  <c r="X595" i="45"/>
  <c r="X594" i="45"/>
  <c r="V596" i="45"/>
  <c r="T598" i="45"/>
  <c r="T237" i="45"/>
  <c r="U236" i="45"/>
  <c r="V235" i="45"/>
  <c r="U597" i="45"/>
  <c r="Z593" i="45"/>
  <c r="AA593" i="45" s="1"/>
  <c r="Z592" i="45"/>
  <c r="AA592" i="45" s="1"/>
  <c r="X234" i="45"/>
  <c r="X233" i="45"/>
  <c r="U598" i="45" l="1"/>
  <c r="T238" i="45"/>
  <c r="W596" i="45"/>
  <c r="Y595" i="45"/>
  <c r="AA594" i="45"/>
  <c r="Y594" i="45"/>
  <c r="W235" i="45"/>
  <c r="V236" i="45"/>
  <c r="AA233" i="45"/>
  <c r="Y233" i="45"/>
  <c r="Y234" i="45" s="1"/>
  <c r="AA234" i="45"/>
  <c r="U237" i="45"/>
  <c r="V597" i="45"/>
  <c r="T599" i="45"/>
  <c r="U599" i="45" s="1"/>
  <c r="V598" i="45" l="1"/>
  <c r="V599" i="45" s="1"/>
  <c r="X235" i="45"/>
  <c r="T239" i="45"/>
  <c r="Z594" i="45"/>
  <c r="Z595" i="45" s="1"/>
  <c r="AA595" i="45" s="1"/>
  <c r="X596" i="45"/>
  <c r="W236" i="45"/>
  <c r="U238" i="45"/>
  <c r="W597" i="45"/>
  <c r="T600" i="45"/>
  <c r="V237" i="45"/>
  <c r="Z233" i="45"/>
  <c r="Z234" i="45" s="1"/>
  <c r="X597" i="45" l="1"/>
  <c r="Y597" i="45" s="1"/>
  <c r="W237" i="45"/>
  <c r="T601" i="45"/>
  <c r="U600" i="45"/>
  <c r="Y596" i="45"/>
  <c r="V238" i="45"/>
  <c r="AA235" i="45"/>
  <c r="Y235" i="45"/>
  <c r="X236" i="45"/>
  <c r="T240" i="45"/>
  <c r="W598" i="45"/>
  <c r="U239" i="45"/>
  <c r="V239" i="45" s="1"/>
  <c r="U601" i="45" l="1"/>
  <c r="U240" i="45"/>
  <c r="Z597" i="45"/>
  <c r="AA597" i="45" s="1"/>
  <c r="Z596" i="45"/>
  <c r="AA596" i="45" s="1"/>
  <c r="W238" i="45"/>
  <c r="W239" i="45" s="1"/>
  <c r="X237" i="45"/>
  <c r="Z235" i="45"/>
  <c r="X598" i="45"/>
  <c r="W599" i="45"/>
  <c r="T241" i="45"/>
  <c r="U241" i="45" s="1"/>
  <c r="V600" i="45"/>
  <c r="V240" i="45"/>
  <c r="AA236" i="45"/>
  <c r="Y236" i="45"/>
  <c r="T602" i="45"/>
  <c r="V241" i="45" l="1"/>
  <c r="Y237" i="45"/>
  <c r="X238" i="45"/>
  <c r="AA238" i="45" s="1"/>
  <c r="Z236" i="45"/>
  <c r="Y598" i="45"/>
  <c r="W600" i="45"/>
  <c r="AA237" i="45"/>
  <c r="X599" i="45"/>
  <c r="Y599" i="45" s="1"/>
  <c r="T603" i="45"/>
  <c r="V601" i="45"/>
  <c r="W601" i="45" s="1"/>
  <c r="U602" i="45"/>
  <c r="T242" i="45"/>
  <c r="W241" i="45"/>
  <c r="W240" i="45"/>
  <c r="Y238" i="45" l="1"/>
  <c r="Z237" i="45"/>
  <c r="Z238" i="45" s="1"/>
  <c r="X239" i="45"/>
  <c r="AA239" i="45" s="1"/>
  <c r="X601" i="45"/>
  <c r="AA601" i="45" s="1"/>
  <c r="X600" i="45"/>
  <c r="T243" i="45"/>
  <c r="Z599" i="45"/>
  <c r="AA599" i="45" s="1"/>
  <c r="Z598" i="45"/>
  <c r="AA598" i="45" s="1"/>
  <c r="T604" i="45"/>
  <c r="U242" i="45"/>
  <c r="U603" i="45"/>
  <c r="V602" i="45"/>
  <c r="X241" i="45"/>
  <c r="Y239" i="45" l="1"/>
  <c r="Z239" i="45" s="1"/>
  <c r="X240" i="45"/>
  <c r="Y601" i="45"/>
  <c r="V242" i="45"/>
  <c r="T605" i="45"/>
  <c r="Y600" i="45"/>
  <c r="T244" i="45"/>
  <c r="V603" i="45"/>
  <c r="W603" i="45" s="1"/>
  <c r="U243" i="45"/>
  <c r="U604" i="45"/>
  <c r="W602" i="45"/>
  <c r="AA241" i="45"/>
  <c r="V243" i="45" l="1"/>
  <c r="Y240" i="45"/>
  <c r="AA240" i="45"/>
  <c r="U244" i="45"/>
  <c r="V244" i="45" s="1"/>
  <c r="V604" i="45"/>
  <c r="W604" i="45" s="1"/>
  <c r="X604" i="45" s="1"/>
  <c r="X603" i="45"/>
  <c r="X602" i="45"/>
  <c r="T606" i="45"/>
  <c r="U605" i="45"/>
  <c r="W242" i="45"/>
  <c r="Z601" i="45"/>
  <c r="Z600" i="45"/>
  <c r="AA600" i="45" s="1"/>
  <c r="T245" i="45"/>
  <c r="V605" i="45" l="1"/>
  <c r="Z240" i="45"/>
  <c r="Y241" i="45"/>
  <c r="U245" i="45"/>
  <c r="V245" i="45" s="1"/>
  <c r="AA604" i="45"/>
  <c r="T607" i="45"/>
  <c r="AA603" i="45"/>
  <c r="AA602" i="45"/>
  <c r="Y602" i="45"/>
  <c r="U606" i="45"/>
  <c r="V606" i="45" s="1"/>
  <c r="X242" i="45"/>
  <c r="W243" i="45"/>
  <c r="T246" i="45"/>
  <c r="W605" i="45"/>
  <c r="Z241" i="45" l="1"/>
  <c r="U607" i="45"/>
  <c r="V607" i="45" s="1"/>
  <c r="X243" i="45"/>
  <c r="Y243" i="45" s="1"/>
  <c r="W244" i="45"/>
  <c r="W245" i="45" s="1"/>
  <c r="W606" i="45"/>
  <c r="Y242" i="45"/>
  <c r="T247" i="45"/>
  <c r="T608" i="45"/>
  <c r="U246" i="45"/>
  <c r="X605" i="45"/>
  <c r="Z602" i="45"/>
  <c r="Y603" i="45"/>
  <c r="U608" i="45" l="1"/>
  <c r="V608" i="45" s="1"/>
  <c r="X244" i="45"/>
  <c r="X245" i="45" s="1"/>
  <c r="V246" i="45"/>
  <c r="Z243" i="45"/>
  <c r="AA243" i="45" s="1"/>
  <c r="Z242" i="45"/>
  <c r="AA242" i="45" s="1"/>
  <c r="T248" i="45"/>
  <c r="U247" i="45"/>
  <c r="AA605" i="45"/>
  <c r="T609" i="45"/>
  <c r="Y604" i="45"/>
  <c r="Y605" i="45" s="1"/>
  <c r="Z603" i="45"/>
  <c r="X606" i="45"/>
  <c r="W607" i="45"/>
  <c r="Y244" i="45" l="1"/>
  <c r="Z244" i="45" s="1"/>
  <c r="AA244" i="45" s="1"/>
  <c r="Z604" i="45"/>
  <c r="Z605" i="45" s="1"/>
  <c r="W246" i="45"/>
  <c r="V247" i="45"/>
  <c r="AA606" i="45"/>
  <c r="T610" i="45"/>
  <c r="Y606" i="45"/>
  <c r="T249" i="45"/>
  <c r="U609" i="45"/>
  <c r="U248" i="45"/>
  <c r="W608" i="45"/>
  <c r="X608" i="45" s="1"/>
  <c r="X607" i="45"/>
  <c r="V248" i="45" l="1"/>
  <c r="Y245" i="45"/>
  <c r="Z245" i="45" s="1"/>
  <c r="AA245" i="45" s="1"/>
  <c r="U610" i="45"/>
  <c r="Y607" i="45"/>
  <c r="U249" i="45"/>
  <c r="V249" i="45" s="1"/>
  <c r="Z606" i="45"/>
  <c r="T250" i="45"/>
  <c r="Y608" i="45"/>
  <c r="AA607" i="45"/>
  <c r="X246" i="45"/>
  <c r="W247" i="45"/>
  <c r="T611" i="45"/>
  <c r="V609" i="45"/>
  <c r="U250" i="45" l="1"/>
  <c r="V250" i="45" s="1"/>
  <c r="W248" i="45"/>
  <c r="X247" i="45"/>
  <c r="X248" i="45" s="1"/>
  <c r="Z607" i="45"/>
  <c r="Z608" i="45" s="1"/>
  <c r="AA608" i="45" s="1"/>
  <c r="T251" i="45"/>
  <c r="W609" i="45"/>
  <c r="V610" i="45"/>
  <c r="T612" i="45"/>
  <c r="U611" i="45"/>
  <c r="W249" i="45"/>
  <c r="Y246" i="45"/>
  <c r="Y247" i="45" l="1"/>
  <c r="Z247" i="45" s="1"/>
  <c r="AA247" i="45" s="1"/>
  <c r="W610" i="45"/>
  <c r="V611" i="45"/>
  <c r="T252" i="45"/>
  <c r="U251" i="45"/>
  <c r="X609" i="45"/>
  <c r="X610" i="45" s="1"/>
  <c r="T613" i="45"/>
  <c r="X249" i="45"/>
  <c r="Z246" i="45"/>
  <c r="AA246" i="45" s="1"/>
  <c r="U612" i="45"/>
  <c r="W250" i="45"/>
  <c r="V612" i="45" l="1"/>
  <c r="Y248" i="45"/>
  <c r="Z248" i="45" s="1"/>
  <c r="AA248" i="45" s="1"/>
  <c r="W611" i="45"/>
  <c r="X611" i="45" s="1"/>
  <c r="T253" i="45"/>
  <c r="U252" i="45"/>
  <c r="T614" i="45"/>
  <c r="U613" i="45"/>
  <c r="Y609" i="45"/>
  <c r="Y610" i="45" s="1"/>
  <c r="Y249" i="45"/>
  <c r="V251" i="45"/>
  <c r="X250" i="45"/>
  <c r="W612" i="45" l="1"/>
  <c r="X612" i="45" s="1"/>
  <c r="Y612" i="45" s="1"/>
  <c r="V252" i="45"/>
  <c r="U253" i="45"/>
  <c r="W251" i="45"/>
  <c r="Z610" i="45"/>
  <c r="AA610" i="45" s="1"/>
  <c r="Z609" i="45"/>
  <c r="AA609" i="45" s="1"/>
  <c r="T254" i="45"/>
  <c r="Z249" i="45"/>
  <c r="AA249" i="45" s="1"/>
  <c r="Y250" i="45"/>
  <c r="T615" i="45"/>
  <c r="Y611" i="45"/>
  <c r="V613" i="45"/>
  <c r="U614" i="45"/>
  <c r="V253" i="45" l="1"/>
  <c r="U615" i="45"/>
  <c r="Z612" i="45"/>
  <c r="AA612" i="45" s="1"/>
  <c r="T255" i="45"/>
  <c r="T616" i="45"/>
  <c r="W613" i="45"/>
  <c r="X251" i="45"/>
  <c r="V614" i="45"/>
  <c r="Z250" i="45"/>
  <c r="AA250" i="45" s="1"/>
  <c r="U254" i="45"/>
  <c r="W252" i="45"/>
  <c r="Z611" i="45"/>
  <c r="AA611" i="45" s="1"/>
  <c r="V615" i="45" l="1"/>
  <c r="X613" i="45"/>
  <c r="W253" i="45"/>
  <c r="W614" i="45"/>
  <c r="T256" i="45"/>
  <c r="V254" i="45"/>
  <c r="T617" i="45"/>
  <c r="U255" i="45"/>
  <c r="U256" i="45" s="1"/>
  <c r="Y251" i="45"/>
  <c r="X252" i="45"/>
  <c r="U616" i="45"/>
  <c r="U617" i="45" l="1"/>
  <c r="Y252" i="45"/>
  <c r="Z252" i="45" s="1"/>
  <c r="AA252" i="45" s="1"/>
  <c r="T618" i="45"/>
  <c r="X253" i="45"/>
  <c r="Y253" i="45" s="1"/>
  <c r="Y613" i="45"/>
  <c r="W254" i="45"/>
  <c r="X614" i="45"/>
  <c r="V255" i="45"/>
  <c r="V616" i="45"/>
  <c r="Z251" i="45"/>
  <c r="AA251" i="45" s="1"/>
  <c r="T257" i="45"/>
  <c r="U257" i="45" s="1"/>
  <c r="W615" i="45"/>
  <c r="X615" i="45" s="1"/>
  <c r="X254" i="45" l="1"/>
  <c r="Z253" i="45"/>
  <c r="AA253" i="45" s="1"/>
  <c r="W255" i="45"/>
  <c r="V256" i="45"/>
  <c r="V257" i="45" s="1"/>
  <c r="T619" i="45"/>
  <c r="Y615" i="45"/>
  <c r="U618" i="45"/>
  <c r="V617" i="45"/>
  <c r="Z613" i="45"/>
  <c r="AA613" i="45" s="1"/>
  <c r="W616" i="45"/>
  <c r="X616" i="45" s="1"/>
  <c r="Y614" i="45"/>
  <c r="T258" i="45"/>
  <c r="Y254" i="45"/>
  <c r="W256" i="45" l="1"/>
  <c r="X255" i="45"/>
  <c r="Y255" i="45" s="1"/>
  <c r="Z615" i="45"/>
  <c r="AA615" i="45" s="1"/>
  <c r="U619" i="45"/>
  <c r="Y616" i="45"/>
  <c r="Z616" i="45" s="1"/>
  <c r="T259" i="45"/>
  <c r="T620" i="45"/>
  <c r="W617" i="45"/>
  <c r="W257" i="45"/>
  <c r="U258" i="45"/>
  <c r="Z614" i="45"/>
  <c r="AA614" i="45" s="1"/>
  <c r="V618" i="45"/>
  <c r="Z254" i="45"/>
  <c r="AA254" i="45" s="1"/>
  <c r="X256" i="45"/>
  <c r="X257" i="45" l="1"/>
  <c r="U620" i="45"/>
  <c r="W618" i="45"/>
  <c r="Z255" i="45"/>
  <c r="AA255" i="45" s="1"/>
  <c r="T260" i="45"/>
  <c r="Y256" i="45"/>
  <c r="V619" i="45"/>
  <c r="V258" i="45"/>
  <c r="AA616" i="45"/>
  <c r="T621" i="45"/>
  <c r="X617" i="45"/>
  <c r="X618" i="45" s="1"/>
  <c r="U259" i="45"/>
  <c r="V259" i="45" l="1"/>
  <c r="U621" i="45"/>
  <c r="U260" i="45"/>
  <c r="V260" i="45" s="1"/>
  <c r="W258" i="45"/>
  <c r="W259" i="45" s="1"/>
  <c r="Y617" i="45"/>
  <c r="V620" i="45"/>
  <c r="T261" i="45"/>
  <c r="T622" i="45"/>
  <c r="Y257" i="45"/>
  <c r="Z257" i="45" s="1"/>
  <c r="Z256" i="45"/>
  <c r="AA256" i="45" s="1"/>
  <c r="W619" i="45"/>
  <c r="U622" i="45" l="1"/>
  <c r="T262" i="45"/>
  <c r="V621" i="45"/>
  <c r="V622" i="45" s="1"/>
  <c r="Z617" i="45"/>
  <c r="AA617" i="45" s="1"/>
  <c r="AA257" i="45"/>
  <c r="Y618" i="45"/>
  <c r="W620" i="45"/>
  <c r="X619" i="45"/>
  <c r="U261" i="45"/>
  <c r="T623" i="45"/>
  <c r="X258" i="45"/>
  <c r="X259" i="45" s="1"/>
  <c r="W260" i="45"/>
  <c r="X620" i="45" l="1"/>
  <c r="W621" i="45"/>
  <c r="T624" i="45"/>
  <c r="T263" i="45"/>
  <c r="Z618" i="45"/>
  <c r="AA618" i="45" s="1"/>
  <c r="U262" i="45"/>
  <c r="Y259" i="45"/>
  <c r="Y258" i="45"/>
  <c r="V261" i="45"/>
  <c r="X260" i="45"/>
  <c r="U623" i="45"/>
  <c r="Y619" i="45"/>
  <c r="Z619" i="45" s="1"/>
  <c r="Y260" i="45" l="1"/>
  <c r="Z260" i="45" s="1"/>
  <c r="AA260" i="45" s="1"/>
  <c r="W622" i="45"/>
  <c r="V623" i="45"/>
  <c r="X621" i="45"/>
  <c r="W261" i="45"/>
  <c r="T264" i="45"/>
  <c r="V262" i="45"/>
  <c r="U263" i="45"/>
  <c r="Z259" i="45"/>
  <c r="AA259" i="45" s="1"/>
  <c r="Z258" i="45"/>
  <c r="AA258" i="45" s="1"/>
  <c r="T625" i="45"/>
  <c r="Y620" i="45"/>
  <c r="Z620" i="45" s="1"/>
  <c r="AA619" i="45"/>
  <c r="U624" i="45"/>
  <c r="V263" i="45" l="1"/>
  <c r="V624" i="45"/>
  <c r="U625" i="45"/>
  <c r="V625" i="45" s="1"/>
  <c r="W623" i="45"/>
  <c r="Y621" i="45"/>
  <c r="Z621" i="45" s="1"/>
  <c r="AA621" i="45" s="1"/>
  <c r="U264" i="45"/>
  <c r="T265" i="45"/>
  <c r="X622" i="45"/>
  <c r="Y622" i="45" s="1"/>
  <c r="AA620" i="45"/>
  <c r="T626" i="45"/>
  <c r="X261" i="45"/>
  <c r="W262" i="45"/>
  <c r="W263" i="45" s="1"/>
  <c r="U265" i="45" l="1"/>
  <c r="W624" i="45"/>
  <c r="V264" i="45"/>
  <c r="X263" i="45"/>
  <c r="Y261" i="45"/>
  <c r="T266" i="45"/>
  <c r="X262" i="45"/>
  <c r="T627" i="45"/>
  <c r="U626" i="45"/>
  <c r="X623" i="45"/>
  <c r="Y623" i="45" s="1"/>
  <c r="Z622" i="45"/>
  <c r="AA622" i="45" s="1"/>
  <c r="U627" i="45" l="1"/>
  <c r="W264" i="45"/>
  <c r="Z261" i="45"/>
  <c r="AA261" i="45" s="1"/>
  <c r="AA262" i="45"/>
  <c r="Y263" i="45"/>
  <c r="W625" i="45"/>
  <c r="X624" i="45"/>
  <c r="T267" i="45"/>
  <c r="U266" i="45"/>
  <c r="V626" i="45"/>
  <c r="Y262" i="45"/>
  <c r="Z262" i="45" s="1"/>
  <c r="V265" i="45"/>
  <c r="T628" i="45"/>
  <c r="Z623" i="45"/>
  <c r="AA623" i="45" s="1"/>
  <c r="X625" i="45" l="1"/>
  <c r="T629" i="45"/>
  <c r="Z263" i="45"/>
  <c r="AA263" i="45" s="1"/>
  <c r="W626" i="45"/>
  <c r="Y624" i="45"/>
  <c r="Y625" i="45" s="1"/>
  <c r="T268" i="45"/>
  <c r="U267" i="45"/>
  <c r="V627" i="45"/>
  <c r="X264" i="45"/>
  <c r="U628" i="45"/>
  <c r="V266" i="45"/>
  <c r="W265" i="45"/>
  <c r="X626" i="45" l="1"/>
  <c r="Y626" i="45" s="1"/>
  <c r="T630" i="45"/>
  <c r="T269" i="45"/>
  <c r="U629" i="45"/>
  <c r="Z625" i="45"/>
  <c r="AA625" i="45" s="1"/>
  <c r="Z624" i="45"/>
  <c r="AA624" i="45" s="1"/>
  <c r="Y264" i="45"/>
  <c r="W627" i="45"/>
  <c r="V267" i="45"/>
  <c r="U268" i="45"/>
  <c r="V628" i="45"/>
  <c r="X265" i="45"/>
  <c r="W266" i="45"/>
  <c r="X266" i="45" s="1"/>
  <c r="V629" i="45" l="1"/>
  <c r="W267" i="45"/>
  <c r="X267" i="45" s="1"/>
  <c r="Y267" i="45" s="1"/>
  <c r="U630" i="45"/>
  <c r="W628" i="45"/>
  <c r="T270" i="45"/>
  <c r="U269" i="45"/>
  <c r="T631" i="45"/>
  <c r="V268" i="45"/>
  <c r="Z264" i="45"/>
  <c r="AA264" i="45" s="1"/>
  <c r="Y266" i="45"/>
  <c r="Z626" i="45"/>
  <c r="AA626" i="45" s="1"/>
  <c r="X627" i="45"/>
  <c r="Y265" i="45"/>
  <c r="Z266" i="45" l="1"/>
  <c r="V630" i="45"/>
  <c r="W629" i="45"/>
  <c r="X629" i="45" s="1"/>
  <c r="Z265" i="45"/>
  <c r="AA265" i="45" s="1"/>
  <c r="V269" i="45"/>
  <c r="W269" i="45" s="1"/>
  <c r="T271" i="45"/>
  <c r="U270" i="45"/>
  <c r="T632" i="45"/>
  <c r="Y627" i="45"/>
  <c r="Z267" i="45"/>
  <c r="AA267" i="45" s="1"/>
  <c r="U631" i="45"/>
  <c r="X628" i="45"/>
  <c r="W268" i="45"/>
  <c r="AA266" i="45"/>
  <c r="V270" i="45" l="1"/>
  <c r="W630" i="45"/>
  <c r="X630" i="45"/>
  <c r="Y628" i="45"/>
  <c r="Z628" i="45" s="1"/>
  <c r="AA628" i="45" s="1"/>
  <c r="X269" i="45"/>
  <c r="X268" i="45"/>
  <c r="T272" i="45"/>
  <c r="T633" i="45"/>
  <c r="U271" i="45"/>
  <c r="V271" i="45" s="1"/>
  <c r="W270" i="45"/>
  <c r="Y629" i="45"/>
  <c r="U632" i="45"/>
  <c r="V631" i="45"/>
  <c r="Z627" i="45"/>
  <c r="AA627" i="45" s="1"/>
  <c r="Y630" i="45"/>
  <c r="U633" i="45" l="1"/>
  <c r="T273" i="45"/>
  <c r="W631" i="45"/>
  <c r="U272" i="45"/>
  <c r="V272" i="45" s="1"/>
  <c r="Y269" i="45"/>
  <c r="Y268" i="45"/>
  <c r="V632" i="45"/>
  <c r="V633" i="45" s="1"/>
  <c r="Z630" i="45"/>
  <c r="AA630" i="45" s="1"/>
  <c r="AA269" i="45"/>
  <c r="X270" i="45"/>
  <c r="Z629" i="45"/>
  <c r="AA629" i="45" s="1"/>
  <c r="T634" i="45"/>
  <c r="W271" i="45"/>
  <c r="X271" i="45" s="1"/>
  <c r="Y270" i="45" l="1"/>
  <c r="Y271" i="45" s="1"/>
  <c r="U273" i="45"/>
  <c r="V273" i="45" s="1"/>
  <c r="AA271" i="45"/>
  <c r="W272" i="45"/>
  <c r="T635" i="45"/>
  <c r="X631" i="45"/>
  <c r="U634" i="45"/>
  <c r="W632" i="45"/>
  <c r="Z269" i="45"/>
  <c r="Z268" i="45"/>
  <c r="AA268" i="45" s="1"/>
  <c r="AA270" i="45"/>
  <c r="T274" i="45"/>
  <c r="Z270" i="45" l="1"/>
  <c r="W273" i="45"/>
  <c r="X273" i="45" s="1"/>
  <c r="Z271" i="45"/>
  <c r="T636" i="45"/>
  <c r="V634" i="45"/>
  <c r="W633" i="45"/>
  <c r="X272" i="45"/>
  <c r="Y631" i="45"/>
  <c r="X632" i="45"/>
  <c r="T275" i="45"/>
  <c r="U274" i="45"/>
  <c r="U635" i="45"/>
  <c r="V635" i="45" l="1"/>
  <c r="U275" i="45"/>
  <c r="U636" i="45"/>
  <c r="W634" i="45"/>
  <c r="Z631" i="45"/>
  <c r="AA631" i="45" s="1"/>
  <c r="X633" i="45"/>
  <c r="Y633" i="45" s="1"/>
  <c r="Y632" i="45"/>
  <c r="T637" i="45"/>
  <c r="T276" i="45"/>
  <c r="V274" i="45"/>
  <c r="V275" i="45" s="1"/>
  <c r="Y273" i="45"/>
  <c r="Y272" i="45"/>
  <c r="V636" i="45" l="1"/>
  <c r="X634" i="45"/>
  <c r="Y634" i="45" s="1"/>
  <c r="Z633" i="45"/>
  <c r="AA633" i="45" s="1"/>
  <c r="W275" i="45"/>
  <c r="W274" i="45"/>
  <c r="W635" i="45"/>
  <c r="T277" i="45"/>
  <c r="U276" i="45"/>
  <c r="T638" i="45"/>
  <c r="Z272" i="45"/>
  <c r="AA272" i="45" s="1"/>
  <c r="U637" i="45"/>
  <c r="Z632" i="45"/>
  <c r="AA632" i="45" s="1"/>
  <c r="U277" i="45" l="1"/>
  <c r="X275" i="45"/>
  <c r="X274" i="45"/>
  <c r="Z273" i="45"/>
  <c r="AA273" i="45" s="1"/>
  <c r="T639" i="45"/>
  <c r="T278" i="45"/>
  <c r="V637" i="45"/>
  <c r="U638" i="45"/>
  <c r="W636" i="45"/>
  <c r="V276" i="45"/>
  <c r="X635" i="45"/>
  <c r="Z634" i="45"/>
  <c r="AA634" i="45" s="1"/>
  <c r="Y635" i="45" l="1"/>
  <c r="AA274" i="45"/>
  <c r="Y274" i="45"/>
  <c r="T640" i="45"/>
  <c r="U639" i="45"/>
  <c r="W276" i="45"/>
  <c r="AA275" i="45"/>
  <c r="W637" i="45"/>
  <c r="V638" i="45"/>
  <c r="X636" i="45"/>
  <c r="Y636" i="45" s="1"/>
  <c r="T279" i="45"/>
  <c r="V277" i="45"/>
  <c r="U278" i="45"/>
  <c r="W638" i="45" l="1"/>
  <c r="U640" i="45"/>
  <c r="U279" i="45"/>
  <c r="Z274" i="45"/>
  <c r="Y275" i="45"/>
  <c r="Z636" i="45"/>
  <c r="AA636" i="45" s="1"/>
  <c r="Z635" i="45"/>
  <c r="AA635" i="45" s="1"/>
  <c r="X276" i="45"/>
  <c r="W277" i="45"/>
  <c r="V278" i="45"/>
  <c r="V639" i="45"/>
  <c r="V640" i="45" s="1"/>
  <c r="T280" i="45"/>
  <c r="X638" i="45"/>
  <c r="T641" i="45"/>
  <c r="U641" i="45" s="1"/>
  <c r="V641" i="45" s="1"/>
  <c r="X637" i="45"/>
  <c r="U280" i="45" l="1"/>
  <c r="W278" i="45"/>
  <c r="X278" i="45" s="1"/>
  <c r="V279" i="45"/>
  <c r="W279" i="45" s="1"/>
  <c r="X279" i="45" s="1"/>
  <c r="W641" i="45"/>
  <c r="T281" i="45"/>
  <c r="Z275" i="45"/>
  <c r="Y638" i="45"/>
  <c r="AA276" i="45"/>
  <c r="Y276" i="45"/>
  <c r="W640" i="45"/>
  <c r="W639" i="45"/>
  <c r="Y637" i="45"/>
  <c r="T642" i="45"/>
  <c r="X277" i="45"/>
  <c r="Y277" i="45" s="1"/>
  <c r="X641" i="45" l="1"/>
  <c r="AA641" i="45" s="1"/>
  <c r="Z276" i="45"/>
  <c r="V280" i="45"/>
  <c r="W280" i="45" s="1"/>
  <c r="X280" i="45" s="1"/>
  <c r="T282" i="45"/>
  <c r="T643" i="45"/>
  <c r="U281" i="45"/>
  <c r="U642" i="45"/>
  <c r="X640" i="45"/>
  <c r="X639" i="45"/>
  <c r="Z637" i="45"/>
  <c r="AA637" i="45" s="1"/>
  <c r="Y279" i="45"/>
  <c r="Y278" i="45"/>
  <c r="Z277" i="45"/>
  <c r="AA277" i="45" s="1"/>
  <c r="Z278" i="45" l="1"/>
  <c r="Z279" i="45" s="1"/>
  <c r="AA279" i="45" s="1"/>
  <c r="U282" i="45"/>
  <c r="Z638" i="45"/>
  <c r="AA638" i="45" s="1"/>
  <c r="T644" i="45"/>
  <c r="U644" i="45" s="1"/>
  <c r="AA639" i="45"/>
  <c r="Y639" i="45"/>
  <c r="Y640" i="45" s="1"/>
  <c r="AA640" i="45"/>
  <c r="T283" i="45"/>
  <c r="U643" i="45"/>
  <c r="AA642" i="45"/>
  <c r="V642" i="45"/>
  <c r="Y280" i="45"/>
  <c r="V281" i="45"/>
  <c r="V282" i="45" l="1"/>
  <c r="Z280" i="45"/>
  <c r="AA280" i="45" s="1"/>
  <c r="AA278" i="45"/>
  <c r="Y641" i="45"/>
  <c r="AA644" i="45"/>
  <c r="T284" i="45"/>
  <c r="AA643" i="45"/>
  <c r="V644" i="45"/>
  <c r="W642" i="45"/>
  <c r="U283" i="45"/>
  <c r="W281" i="45"/>
  <c r="W282" i="45" s="1"/>
  <c r="V643" i="45"/>
  <c r="T645" i="45"/>
  <c r="Z639" i="45"/>
  <c r="Z640" i="45" s="1"/>
  <c r="U284" i="45" l="1"/>
  <c r="W643" i="45"/>
  <c r="W644" i="45" s="1"/>
  <c r="T285" i="45"/>
  <c r="X642" i="45"/>
  <c r="T646" i="45"/>
  <c r="U646" i="45" s="1"/>
  <c r="X282" i="45"/>
  <c r="X281" i="45"/>
  <c r="V283" i="45"/>
  <c r="U645" i="45"/>
  <c r="Z641" i="45"/>
  <c r="X643" i="45" l="1"/>
  <c r="X644" i="45" s="1"/>
  <c r="V646" i="45"/>
  <c r="AA645" i="45"/>
  <c r="V645" i="45"/>
  <c r="Y642" i="45"/>
  <c r="T286" i="45"/>
  <c r="U285" i="45"/>
  <c r="W283" i="45"/>
  <c r="Y282" i="45"/>
  <c r="AA281" i="45"/>
  <c r="Y281" i="45"/>
  <c r="AA646" i="45"/>
  <c r="V284" i="45"/>
  <c r="T647" i="45"/>
  <c r="Z642" i="45" l="1"/>
  <c r="Y643" i="45"/>
  <c r="Z281" i="45"/>
  <c r="Z282" i="45" s="1"/>
  <c r="AA282" i="45" s="1"/>
  <c r="W645" i="45"/>
  <c r="W646" i="45" s="1"/>
  <c r="T648" i="45"/>
  <c r="U648" i="45" s="1"/>
  <c r="W284" i="45"/>
  <c r="T287" i="45"/>
  <c r="U647" i="45"/>
  <c r="X283" i="45"/>
  <c r="V285" i="45"/>
  <c r="U286" i="45"/>
  <c r="U287" i="45" l="1"/>
  <c r="W285" i="45"/>
  <c r="X285" i="45" s="1"/>
  <c r="AA648" i="45"/>
  <c r="V286" i="45"/>
  <c r="Y283" i="45"/>
  <c r="Y644" i="45"/>
  <c r="X284" i="45"/>
  <c r="T288" i="45"/>
  <c r="X645" i="45"/>
  <c r="AA647" i="45"/>
  <c r="V648" i="45"/>
  <c r="V647" i="45"/>
  <c r="T649" i="45"/>
  <c r="Z643" i="45"/>
  <c r="U288" i="45" l="1"/>
  <c r="V287" i="45"/>
  <c r="T650" i="45"/>
  <c r="Y285" i="45"/>
  <c r="W286" i="45"/>
  <c r="Z283" i="45"/>
  <c r="AA283" i="45" s="1"/>
  <c r="U649" i="45"/>
  <c r="Y645" i="45"/>
  <c r="X646" i="45"/>
  <c r="W647" i="45"/>
  <c r="W648" i="45" s="1"/>
  <c r="Z644" i="45"/>
  <c r="T289" i="45"/>
  <c r="Y284" i="45"/>
  <c r="V288" i="45" l="1"/>
  <c r="Z284" i="45"/>
  <c r="AA284" i="45" s="1"/>
  <c r="AA649" i="45"/>
  <c r="V649" i="45"/>
  <c r="T290" i="45"/>
  <c r="U289" i="45"/>
  <c r="Z645" i="45"/>
  <c r="X647" i="45"/>
  <c r="T651" i="45"/>
  <c r="Y646" i="45"/>
  <c r="X286" i="45"/>
  <c r="U650" i="45"/>
  <c r="V650" i="45" s="1"/>
  <c r="W287" i="45"/>
  <c r="Z285" i="45" l="1"/>
  <c r="AA285" i="45" s="1"/>
  <c r="Z646" i="45"/>
  <c r="W649" i="45"/>
  <c r="V289" i="45"/>
  <c r="X648" i="45"/>
  <c r="W288" i="45"/>
  <c r="X288" i="45" s="1"/>
  <c r="T652" i="45"/>
  <c r="U653" i="45" s="1"/>
  <c r="AA650" i="45"/>
  <c r="T291" i="45"/>
  <c r="Y647" i="45"/>
  <c r="Z647" i="45" s="1"/>
  <c r="U651" i="45"/>
  <c r="V651" i="45" s="1"/>
  <c r="U290" i="45"/>
  <c r="V290" i="45" s="1"/>
  <c r="Y286" i="45"/>
  <c r="X287" i="45"/>
  <c r="T292" i="45" l="1"/>
  <c r="U291" i="45"/>
  <c r="Y648" i="45"/>
  <c r="Z648" i="45" s="1"/>
  <c r="W290" i="45"/>
  <c r="W289" i="45"/>
  <c r="X289" i="45" s="1"/>
  <c r="Y289" i="45" s="1"/>
  <c r="Y288" i="45"/>
  <c r="X649" i="45"/>
  <c r="U652" i="45"/>
  <c r="V652" i="45" s="1"/>
  <c r="W650" i="45"/>
  <c r="W651" i="45" s="1"/>
  <c r="AA651" i="45"/>
  <c r="V654" i="45"/>
  <c r="AA653" i="45"/>
  <c r="Z286" i="45"/>
  <c r="AA286" i="45" s="1"/>
  <c r="Y287" i="45"/>
  <c r="Y649" i="45" l="1"/>
  <c r="Z649" i="45" s="1"/>
  <c r="U292" i="45"/>
  <c r="X650" i="45"/>
  <c r="W652" i="45"/>
  <c r="X290" i="45"/>
  <c r="Y290" i="45" s="1"/>
  <c r="AA652" i="45"/>
  <c r="V653" i="45"/>
  <c r="V291" i="45"/>
  <c r="Z287" i="45"/>
  <c r="AA287" i="45" s="1"/>
  <c r="T293" i="45"/>
  <c r="U293" i="45" s="1"/>
  <c r="Y650" i="45" l="1"/>
  <c r="Z650" i="45" s="1"/>
  <c r="X651" i="45"/>
  <c r="W291" i="45"/>
  <c r="Z288" i="45"/>
  <c r="W653" i="45"/>
  <c r="T294" i="45"/>
  <c r="V292" i="45"/>
  <c r="AA290" i="45"/>
  <c r="Y651" i="45" l="1"/>
  <c r="Z651" i="45" s="1"/>
  <c r="X652" i="45"/>
  <c r="X653" i="45" s="1"/>
  <c r="W654" i="45"/>
  <c r="W655" i="45" s="1"/>
  <c r="T295" i="45"/>
  <c r="U294" i="45"/>
  <c r="Z289" i="45"/>
  <c r="AA288" i="45"/>
  <c r="X291" i="45"/>
  <c r="W292" i="45"/>
  <c r="X292" i="45" s="1"/>
  <c r="V293" i="45"/>
  <c r="X654" i="45" l="1"/>
  <c r="X655" i="45" s="1"/>
  <c r="X656" i="45" s="1"/>
  <c r="Y652" i="45"/>
  <c r="Z652" i="45" s="1"/>
  <c r="U295" i="45"/>
  <c r="AA289" i="45"/>
  <c r="Z290" i="45"/>
  <c r="V294" i="45"/>
  <c r="W294" i="45" s="1"/>
  <c r="T296" i="45"/>
  <c r="W293" i="45"/>
  <c r="Y292" i="45"/>
  <c r="Y291" i="45"/>
  <c r="Y653" i="45" l="1"/>
  <c r="Y654" i="45" s="1"/>
  <c r="Y655" i="45" s="1"/>
  <c r="Y656" i="45" s="1"/>
  <c r="V295" i="45"/>
  <c r="W295" i="45" s="1"/>
  <c r="X294" i="45"/>
  <c r="T297" i="45"/>
  <c r="Z291" i="45"/>
  <c r="Z292" i="45" s="1"/>
  <c r="AA292" i="45" s="1"/>
  <c r="U296" i="45"/>
  <c r="X293" i="45"/>
  <c r="Z653" i="45" l="1"/>
  <c r="Z654" i="45" s="1"/>
  <c r="Z655" i="45" s="1"/>
  <c r="Z656" i="45" s="1"/>
  <c r="Y657" i="45"/>
  <c r="T298" i="45"/>
  <c r="AA294" i="45"/>
  <c r="V296" i="45"/>
  <c r="AA291" i="45"/>
  <c r="X295" i="45"/>
  <c r="Y295" i="45" s="1"/>
  <c r="Y294" i="45"/>
  <c r="Y293" i="45"/>
  <c r="U297" i="45"/>
  <c r="T299" i="45" l="1"/>
  <c r="U298" i="45"/>
  <c r="V298" i="45" s="1"/>
  <c r="W296" i="45"/>
  <c r="V297" i="45"/>
  <c r="Y658" i="45"/>
  <c r="Z293" i="45"/>
  <c r="AA293" i="45" s="1"/>
  <c r="Z657" i="45"/>
  <c r="U299" i="45" l="1"/>
  <c r="V299" i="45" s="1"/>
  <c r="Y659" i="45"/>
  <c r="W298" i="45"/>
  <c r="Z294" i="45"/>
  <c r="Z295" i="45" s="1"/>
  <c r="AA295" i="45" s="1"/>
  <c r="Z658" i="45"/>
  <c r="T300" i="45"/>
  <c r="X296" i="45"/>
  <c r="W297" i="45"/>
  <c r="U300" i="45" l="1"/>
  <c r="V300" i="45" s="1"/>
  <c r="Y660" i="45"/>
  <c r="Z659" i="45"/>
  <c r="Y296" i="45"/>
  <c r="X297" i="45"/>
  <c r="X298" i="45" s="1"/>
  <c r="T301" i="45"/>
  <c r="W299" i="45"/>
  <c r="U301" i="45" l="1"/>
  <c r="V301" i="45" s="1"/>
  <c r="Y297" i="45"/>
  <c r="Y298" i="45" s="1"/>
  <c r="AA298" i="45"/>
  <c r="T302" i="45"/>
  <c r="Y661" i="45"/>
  <c r="Z296" i="45"/>
  <c r="Z297" i="45" s="1"/>
  <c r="Z660" i="45"/>
  <c r="X299" i="45"/>
  <c r="W300" i="45"/>
  <c r="X300" i="45" s="1"/>
  <c r="AA297" i="45"/>
  <c r="W301" i="45" l="1"/>
  <c r="X301" i="45" s="1"/>
  <c r="Y299" i="45"/>
  <c r="AA296" i="45"/>
  <c r="T303" i="45"/>
  <c r="U302" i="45"/>
  <c r="AA299" i="45"/>
  <c r="Y300" i="45"/>
  <c r="Z298" i="45"/>
  <c r="Y662" i="45"/>
  <c r="Z661" i="45"/>
  <c r="Z299" i="45" l="1"/>
  <c r="Z300" i="45" s="1"/>
  <c r="AA300" i="45" s="1"/>
  <c r="U303" i="45"/>
  <c r="Y663" i="45"/>
  <c r="V302" i="45"/>
  <c r="Z662" i="45"/>
  <c r="T304" i="45"/>
  <c r="Y301" i="45"/>
  <c r="U304" i="45" l="1"/>
  <c r="Y664" i="45"/>
  <c r="Z663" i="45"/>
  <c r="W302" i="45"/>
  <c r="Z301" i="45"/>
  <c r="AA301" i="45" s="1"/>
  <c r="V303" i="45"/>
  <c r="T305" i="45"/>
  <c r="U305" i="45" s="1"/>
  <c r="V304" i="45" l="1"/>
  <c r="V305" i="45" s="1"/>
  <c r="W303" i="45"/>
  <c r="Y665" i="45"/>
  <c r="Z664" i="45"/>
  <c r="X302" i="45"/>
  <c r="T306" i="45"/>
  <c r="W304" i="45" l="1"/>
  <c r="W305" i="45" s="1"/>
  <c r="X303" i="45"/>
  <c r="X304" i="45" s="1"/>
  <c r="Y304" i="45" s="1"/>
  <c r="Y666" i="45"/>
  <c r="Z665" i="45"/>
  <c r="T307" i="45"/>
  <c r="U306" i="45"/>
  <c r="Y302" i="45"/>
  <c r="Z302" i="45" l="1"/>
  <c r="AA302" i="45" s="1"/>
  <c r="Y303" i="45"/>
  <c r="Y667" i="45"/>
  <c r="X305" i="45"/>
  <c r="Y305" i="45" s="1"/>
  <c r="T308" i="45"/>
  <c r="Z666" i="45"/>
  <c r="V306" i="45"/>
  <c r="U307" i="45"/>
  <c r="V307" i="45" l="1"/>
  <c r="Z667" i="45"/>
  <c r="Z305" i="45"/>
  <c r="AA305" i="45" s="1"/>
  <c r="Z304" i="45"/>
  <c r="AA304" i="45" s="1"/>
  <c r="Z303" i="45"/>
  <c r="AA303" i="45" s="1"/>
  <c r="W306" i="45"/>
  <c r="T309" i="45"/>
  <c r="U308" i="45"/>
  <c r="Y668" i="45"/>
  <c r="Z668" i="45" l="1"/>
  <c r="V308" i="45"/>
  <c r="T310" i="45"/>
  <c r="U309" i="45"/>
  <c r="V309" i="45" s="1"/>
  <c r="Y669" i="45"/>
  <c r="X306" i="45"/>
  <c r="W307" i="45"/>
  <c r="Y670" i="45" l="1"/>
  <c r="Z669" i="45"/>
  <c r="T311" i="45"/>
  <c r="U310" i="45"/>
  <c r="V310" i="45" s="1"/>
  <c r="Y306" i="45"/>
  <c r="W308" i="45"/>
  <c r="X307" i="45"/>
  <c r="U311" i="45" l="1"/>
  <c r="V311" i="45" s="1"/>
  <c r="X308" i="45"/>
  <c r="Y308" i="45" s="1"/>
  <c r="T312" i="45"/>
  <c r="Y671" i="45"/>
  <c r="Z306" i="45"/>
  <c r="AA306" i="45" s="1"/>
  <c r="Y307" i="45"/>
  <c r="Z670" i="45"/>
  <c r="W309" i="45"/>
  <c r="U312" i="45" l="1"/>
  <c r="V312" i="45" s="1"/>
  <c r="Z671" i="45"/>
  <c r="T313" i="45"/>
  <c r="Z308" i="45"/>
  <c r="AA308" i="45" s="1"/>
  <c r="Z307" i="45"/>
  <c r="AA307" i="45" s="1"/>
  <c r="X309" i="45"/>
  <c r="W310" i="45"/>
  <c r="W311" i="45" s="1"/>
  <c r="Y672" i="45"/>
  <c r="X310" i="45" l="1"/>
  <c r="Y673" i="45"/>
  <c r="Z672" i="45"/>
  <c r="T314" i="45"/>
  <c r="U313" i="45"/>
  <c r="Y309" i="45"/>
  <c r="W312" i="45"/>
  <c r="U314" i="45" l="1"/>
  <c r="Y674" i="45"/>
  <c r="Z673" i="45"/>
  <c r="Z309" i="45"/>
  <c r="AA309" i="45" s="1"/>
  <c r="Y310" i="45"/>
  <c r="X311" i="45"/>
  <c r="Y311" i="45" s="1"/>
  <c r="V313" i="45"/>
  <c r="T315" i="45"/>
  <c r="X312" i="45" l="1"/>
  <c r="Y312" i="45" s="1"/>
  <c r="Z312" i="45" s="1"/>
  <c r="AA312" i="45" s="1"/>
  <c r="Z310" i="45"/>
  <c r="AA310" i="45" s="1"/>
  <c r="T316" i="45"/>
  <c r="W313" i="45"/>
  <c r="Y675" i="45"/>
  <c r="V314" i="45"/>
  <c r="W314" i="45" s="1"/>
  <c r="Z674" i="45"/>
  <c r="U315" i="45"/>
  <c r="Z311" i="45"/>
  <c r="AA311" i="45" s="1"/>
  <c r="Z675" i="45" l="1"/>
  <c r="X313" i="45"/>
  <c r="V315" i="45"/>
  <c r="T317" i="45"/>
  <c r="Y676" i="45"/>
  <c r="U316" i="45"/>
  <c r="V316" i="45" l="1"/>
  <c r="Y313" i="45"/>
  <c r="T318" i="45"/>
  <c r="X314" i="45"/>
  <c r="Y314" i="45" s="1"/>
  <c r="U317" i="45"/>
  <c r="W315" i="45"/>
  <c r="Y677" i="45"/>
  <c r="Z676" i="45"/>
  <c r="U318" i="45" l="1"/>
  <c r="Z314" i="45"/>
  <c r="AA314" i="45" s="1"/>
  <c r="Z313" i="45"/>
  <c r="AA313" i="45" s="1"/>
  <c r="Y678" i="45"/>
  <c r="Z677" i="45"/>
  <c r="T319" i="45"/>
  <c r="V317" i="45"/>
  <c r="X315" i="45"/>
  <c r="W316" i="45"/>
  <c r="X316" i="45" l="1"/>
  <c r="Y679" i="45"/>
  <c r="Z678" i="45"/>
  <c r="V318" i="45"/>
  <c r="Y315" i="45"/>
  <c r="W317" i="45"/>
  <c r="X317" i="45" s="1"/>
  <c r="T320" i="45"/>
  <c r="U319" i="45"/>
  <c r="Y316" i="45" l="1"/>
  <c r="W318" i="45"/>
  <c r="X318" i="45" s="1"/>
  <c r="AA317" i="45"/>
  <c r="Y317" i="45"/>
  <c r="Z317" i="45" s="1"/>
  <c r="V319" i="45"/>
  <c r="T321" i="45"/>
  <c r="Y680" i="45"/>
  <c r="U320" i="45"/>
  <c r="V320" i="45" s="1"/>
  <c r="Z679" i="45"/>
  <c r="Z316" i="45"/>
  <c r="AA316" i="45" s="1"/>
  <c r="Z315" i="45"/>
  <c r="AA315" i="45" s="1"/>
  <c r="T322" i="45" l="1"/>
  <c r="W319" i="45"/>
  <c r="Z680" i="45"/>
  <c r="Z681" i="45" s="1"/>
  <c r="U321" i="45"/>
  <c r="Y318" i="45"/>
  <c r="Z318" i="45" s="1"/>
  <c r="AA681" i="45" l="1"/>
  <c r="Z682" i="45"/>
  <c r="X319" i="45"/>
  <c r="T323" i="45"/>
  <c r="V321" i="45"/>
  <c r="AA318" i="45"/>
  <c r="U322" i="45"/>
  <c r="W320" i="45"/>
  <c r="U323" i="45" l="1"/>
  <c r="Y319" i="45"/>
  <c r="X320" i="45"/>
  <c r="V322" i="45"/>
  <c r="AA682" i="45"/>
  <c r="Z683" i="45"/>
  <c r="Z684" i="45" s="1"/>
  <c r="Z685" i="45" s="1"/>
  <c r="Z686" i="45" s="1"/>
  <c r="Z687" i="45" s="1"/>
  <c r="Z688" i="45" s="1"/>
  <c r="Z689" i="45" s="1"/>
  <c r="Z690" i="45" s="1"/>
  <c r="Z691" i="45" s="1"/>
  <c r="Z692" i="45" s="1"/>
  <c r="Z693" i="45" s="1"/>
  <c r="Z694" i="45" s="1"/>
  <c r="T324" i="45"/>
  <c r="W321" i="45"/>
  <c r="V323" i="45" l="1"/>
  <c r="W322" i="45"/>
  <c r="X321" i="45"/>
  <c r="Y321" i="45" s="1"/>
  <c r="T325" i="45"/>
  <c r="AA694" i="45"/>
  <c r="Z695" i="45"/>
  <c r="Y320" i="45"/>
  <c r="Z319" i="45"/>
  <c r="AA319" i="45" s="1"/>
  <c r="U324" i="45"/>
  <c r="U325" i="45" l="1"/>
  <c r="Z320" i="45"/>
  <c r="AA320" i="45" s="1"/>
  <c r="V324" i="45"/>
  <c r="V325" i="45" s="1"/>
  <c r="AA695" i="45"/>
  <c r="Z696" i="45"/>
  <c r="Z697" i="45" s="1"/>
  <c r="Z698" i="45" s="1"/>
  <c r="Z699" i="45" s="1"/>
  <c r="Z700" i="45" s="1"/>
  <c r="Z701" i="45" s="1"/>
  <c r="Z702" i="45" s="1"/>
  <c r="Z703" i="45" s="1"/>
  <c r="Z704" i="45" s="1"/>
  <c r="Z705" i="45" s="1"/>
  <c r="Z706" i="45" s="1"/>
  <c r="Z707" i="45" s="1"/>
  <c r="Z708" i="45" s="1"/>
  <c r="Z709" i="45" s="1"/>
  <c r="Z710" i="45" s="1"/>
  <c r="Z711" i="45" s="1"/>
  <c r="Z712" i="45" s="1"/>
  <c r="Z713" i="45" s="1"/>
  <c r="Z714" i="45" s="1"/>
  <c r="Z715" i="45" s="1"/>
  <c r="Z716" i="45" s="1"/>
  <c r="Z717" i="45" s="1"/>
  <c r="Z718" i="45" s="1"/>
  <c r="Z719" i="45" s="1"/>
  <c r="Z720" i="45" s="1"/>
  <c r="Z721" i="45" s="1"/>
  <c r="Z722" i="45" s="1"/>
  <c r="Z723" i="45" s="1"/>
  <c r="Z724" i="45" s="1"/>
  <c r="Z725" i="45" s="1"/>
  <c r="Z726" i="45" s="1"/>
  <c r="Z727" i="45" s="1"/>
  <c r="Z728" i="45" s="1"/>
  <c r="Z729" i="45" s="1"/>
  <c r="Z730" i="45" s="1"/>
  <c r="Z731" i="45" s="1"/>
  <c r="Z732" i="45" s="1"/>
  <c r="Z733" i="45" s="1"/>
  <c r="Z734" i="45" s="1"/>
  <c r="Z735" i="45" s="1"/>
  <c r="Z736" i="45" s="1"/>
  <c r="Z737" i="45" s="1"/>
  <c r="Z738" i="45" s="1"/>
  <c r="Z739" i="45" s="1"/>
  <c r="Z740" i="45" s="1"/>
  <c r="Z741" i="45" s="1"/>
  <c r="Z742" i="45" s="1"/>
  <c r="Z743" i="45" s="1"/>
  <c r="Z744" i="45" s="1"/>
  <c r="Z745" i="45" s="1"/>
  <c r="Z746" i="45" s="1"/>
  <c r="Z747" i="45" s="1"/>
  <c r="Z748" i="45" s="1"/>
  <c r="Z749" i="45" s="1"/>
  <c r="Z750" i="45" s="1"/>
  <c r="Z751" i="45" s="1"/>
  <c r="Z752" i="45" s="1"/>
  <c r="Z753" i="45" s="1"/>
  <c r="Z754" i="45" s="1"/>
  <c r="Z755" i="45" s="1"/>
  <c r="Z756" i="45" s="1"/>
  <c r="Z757" i="45" s="1"/>
  <c r="Z758" i="45" s="1"/>
  <c r="Z759" i="45" s="1"/>
  <c r="Z760" i="45" s="1"/>
  <c r="Z761" i="45" s="1"/>
  <c r="Z762" i="45" s="1"/>
  <c r="Z763" i="45" s="1"/>
  <c r="Z764" i="45" s="1"/>
  <c r="Z765" i="45" s="1"/>
  <c r="Z766" i="45" s="1"/>
  <c r="Z767" i="45" s="1"/>
  <c r="Z768" i="45" s="1"/>
  <c r="Z769" i="45" s="1"/>
  <c r="Z770" i="45" s="1"/>
  <c r="Z771" i="45" s="1"/>
  <c r="Z772" i="45" s="1"/>
  <c r="Z773" i="45" s="1"/>
  <c r="Z774" i="45" s="1"/>
  <c r="Z775" i="45" s="1"/>
  <c r="Z776" i="45" s="1"/>
  <c r="Z777" i="45" s="1"/>
  <c r="Z778" i="45" s="1"/>
  <c r="Z779" i="45" s="1"/>
  <c r="X322" i="45"/>
  <c r="Y322" i="45" s="1"/>
  <c r="W323" i="45"/>
  <c r="Z321" i="45"/>
  <c r="AA321" i="45" s="1"/>
  <c r="T326" i="45"/>
  <c r="Z322" i="45" l="1"/>
  <c r="AA322" i="45" s="1"/>
  <c r="T327" i="45"/>
  <c r="U326" i="45"/>
  <c r="W325" i="45"/>
  <c r="X323" i="45"/>
  <c r="Y323" i="45" s="1"/>
  <c r="W324" i="45"/>
  <c r="X324" i="45" s="1"/>
  <c r="Z323" i="45" l="1"/>
  <c r="AA323" i="45" s="1"/>
  <c r="V326" i="45"/>
  <c r="T328" i="45"/>
  <c r="U327" i="45"/>
  <c r="V327" i="45" s="1"/>
  <c r="AA324" i="45"/>
  <c r="X325" i="45"/>
  <c r="Y324" i="45"/>
  <c r="W326" i="45" l="1"/>
  <c r="T329" i="45"/>
  <c r="AA325" i="45"/>
  <c r="U328" i="45"/>
  <c r="V328" i="45" s="1"/>
  <c r="Y325" i="45"/>
  <c r="Z324" i="45"/>
  <c r="T330" i="45" l="1"/>
  <c r="U329" i="45"/>
  <c r="X326" i="45"/>
  <c r="Z325" i="45"/>
  <c r="W327" i="45"/>
  <c r="W328" i="45" s="1"/>
  <c r="U330" i="45" l="1"/>
  <c r="AA326" i="45"/>
  <c r="Y326" i="45"/>
  <c r="X327" i="45"/>
  <c r="V329" i="45"/>
  <c r="X328" i="45"/>
  <c r="T331" i="45"/>
  <c r="U331" i="45" l="1"/>
  <c r="Y328" i="45"/>
  <c r="Z326" i="45"/>
  <c r="W329" i="45"/>
  <c r="Y327" i="45"/>
  <c r="V330" i="45"/>
  <c r="W330" i="45" s="1"/>
  <c r="T332" i="45"/>
  <c r="Z327" i="45" l="1"/>
  <c r="AA327" i="45" s="1"/>
  <c r="T333" i="45"/>
  <c r="U332" i="45"/>
  <c r="X330" i="45"/>
  <c r="X329" i="45"/>
  <c r="V331" i="45"/>
  <c r="W331" i="45" s="1"/>
  <c r="Z328" i="45" l="1"/>
  <c r="AA328" i="45" s="1"/>
  <c r="AA330" i="45"/>
  <c r="T334" i="45"/>
  <c r="AA329" i="45"/>
  <c r="Y329" i="45"/>
  <c r="Y330" i="45" s="1"/>
  <c r="U333" i="45"/>
  <c r="V332" i="45"/>
  <c r="W332" i="45" s="1"/>
  <c r="X331" i="45"/>
  <c r="V333" i="45" l="1"/>
  <c r="W333" i="45" s="1"/>
  <c r="X332" i="45"/>
  <c r="Z329" i="45"/>
  <c r="Z330" i="45" s="1"/>
  <c r="T335" i="45"/>
  <c r="AA331" i="45"/>
  <c r="U334" i="45"/>
  <c r="Y331" i="45"/>
  <c r="V334" i="45" l="1"/>
  <c r="W334" i="45" s="1"/>
  <c r="X334" i="45" s="1"/>
  <c r="U335" i="45"/>
  <c r="V335" i="45" s="1"/>
  <c r="Z331" i="45"/>
  <c r="T336" i="45"/>
  <c r="Y332" i="45"/>
  <c r="X333" i="45"/>
  <c r="Y333" i="45" s="1"/>
  <c r="U336" i="45" l="1"/>
  <c r="Z332" i="45"/>
  <c r="AA332" i="45" s="1"/>
  <c r="Y334" i="45"/>
  <c r="W335" i="45"/>
  <c r="X335" i="45" s="1"/>
  <c r="T337" i="45"/>
  <c r="V336" i="45"/>
  <c r="AA335" i="45" l="1"/>
  <c r="Y335" i="45"/>
  <c r="T338" i="45"/>
  <c r="U337" i="45"/>
  <c r="Z333" i="45"/>
  <c r="AA333" i="45" s="1"/>
  <c r="W336" i="45"/>
  <c r="Z334" i="45" l="1"/>
  <c r="V337" i="45"/>
  <c r="T339" i="45"/>
  <c r="X336" i="45"/>
  <c r="U338" i="45"/>
  <c r="AA334" i="45" l="1"/>
  <c r="Z335" i="45"/>
  <c r="T340" i="45"/>
  <c r="W337" i="45"/>
  <c r="Y336" i="45"/>
  <c r="U339" i="45"/>
  <c r="V338" i="45"/>
  <c r="W338" i="45" l="1"/>
  <c r="X338" i="45" s="1"/>
  <c r="X337" i="45"/>
  <c r="Z336" i="45"/>
  <c r="AA336" i="45" s="1"/>
  <c r="T341" i="45"/>
  <c r="U340" i="45"/>
  <c r="V339" i="45"/>
  <c r="V340" i="45" l="1"/>
  <c r="T342" i="45"/>
  <c r="U341" i="45"/>
  <c r="Y338" i="45"/>
  <c r="Y337" i="45"/>
  <c r="W339" i="45"/>
  <c r="W340" i="45" l="1"/>
  <c r="X340" i="45" s="1"/>
  <c r="U342" i="45"/>
  <c r="Z337" i="45"/>
  <c r="Z338" i="45" s="1"/>
  <c r="AA338" i="45" s="1"/>
  <c r="X339" i="45"/>
  <c r="V341" i="45"/>
  <c r="V342" i="45" s="1"/>
  <c r="T343" i="45"/>
  <c r="U343" i="45" s="1"/>
  <c r="AA337" i="45" l="1"/>
  <c r="Y340" i="45"/>
  <c r="Y339" i="45"/>
  <c r="T344" i="45"/>
  <c r="U344" i="45" s="1"/>
  <c r="W341" i="45"/>
  <c r="V343" i="45"/>
  <c r="X341" i="45" l="1"/>
  <c r="Z339" i="45"/>
  <c r="AA339" i="45" s="1"/>
  <c r="W342" i="45"/>
  <c r="V344" i="45"/>
  <c r="W344" i="45" s="1"/>
  <c r="T345" i="45"/>
  <c r="T346" i="45" l="1"/>
  <c r="Y341" i="45"/>
  <c r="X342" i="45"/>
  <c r="Z340" i="45"/>
  <c r="AA340" i="45" s="1"/>
  <c r="U345" i="45"/>
  <c r="W343" i="45"/>
  <c r="X344" i="45" s="1"/>
  <c r="Z341" i="45" l="1"/>
  <c r="AA341" i="45" s="1"/>
  <c r="T347" i="45"/>
  <c r="AA344" i="45"/>
  <c r="U346" i="45"/>
  <c r="V345" i="45"/>
  <c r="X343" i="45"/>
  <c r="Y343" i="45" s="1"/>
  <c r="Y342" i="45"/>
  <c r="T348" i="45" l="1"/>
  <c r="U347" i="45"/>
  <c r="W345" i="45"/>
  <c r="Z342" i="45"/>
  <c r="AA342" i="45" s="1"/>
  <c r="Y344" i="45"/>
  <c r="V346" i="45"/>
  <c r="W346" i="45" l="1"/>
  <c r="X346" i="45" s="1"/>
  <c r="V347" i="45"/>
  <c r="Z343" i="45"/>
  <c r="AA343" i="45" s="1"/>
  <c r="X345" i="45"/>
  <c r="T349" i="45"/>
  <c r="U348" i="45"/>
  <c r="V348" i="45" s="1"/>
  <c r="W347" i="45" l="1"/>
  <c r="X347" i="45" s="1"/>
  <c r="Y347" i="45" s="1"/>
  <c r="U349" i="45"/>
  <c r="V349" i="45" s="1"/>
  <c r="Z344" i="45"/>
  <c r="Y346" i="45"/>
  <c r="Y345" i="45"/>
  <c r="W348" i="45"/>
  <c r="X348" i="45" s="1"/>
  <c r="T350" i="45"/>
  <c r="W349" i="45" l="1"/>
  <c r="X349" i="45" s="1"/>
  <c r="AA348" i="45"/>
  <c r="Y348" i="45"/>
  <c r="T351" i="45"/>
  <c r="U350" i="45"/>
  <c r="Z345" i="45"/>
  <c r="AA345" i="45" s="1"/>
  <c r="Z346" i="45" l="1"/>
  <c r="T352" i="45"/>
  <c r="Y349" i="45"/>
  <c r="U351" i="45"/>
  <c r="V350" i="45"/>
  <c r="T353" i="45" l="1"/>
  <c r="U352" i="45"/>
  <c r="AA346" i="45"/>
  <c r="Z347" i="45"/>
  <c r="W350" i="45"/>
  <c r="V351" i="45"/>
  <c r="AA347" i="45" l="1"/>
  <c r="Z348" i="45"/>
  <c r="Z349" i="45" s="1"/>
  <c r="AA349" i="45" s="1"/>
  <c r="X350" i="45"/>
  <c r="V352" i="45"/>
  <c r="T354" i="45"/>
  <c r="W351" i="45"/>
  <c r="X351" i="45" s="1"/>
  <c r="U353" i="45"/>
  <c r="AA351" i="45" l="1"/>
  <c r="T355" i="45"/>
  <c r="U355" i="45" s="1"/>
  <c r="W352" i="45"/>
  <c r="Y351" i="45"/>
  <c r="Y350" i="45"/>
  <c r="V353" i="45"/>
  <c r="W353" i="45" s="1"/>
  <c r="U354" i="45"/>
  <c r="V355" i="45" l="1"/>
  <c r="X352" i="45"/>
  <c r="T356" i="45"/>
  <c r="U356" i="45" s="1"/>
  <c r="V356" i="45" s="1"/>
  <c r="V354" i="45"/>
  <c r="Z350" i="45"/>
  <c r="AA350" i="45" s="1"/>
  <c r="AA352" i="45" l="1"/>
  <c r="Y352" i="45"/>
  <c r="X353" i="45"/>
  <c r="Y353" i="45" s="1"/>
  <c r="W356" i="45"/>
  <c r="Z351" i="45"/>
  <c r="W354" i="45"/>
  <c r="W355" i="45" s="1"/>
  <c r="T357" i="45"/>
  <c r="T358" i="45" l="1"/>
  <c r="AA353" i="45"/>
  <c r="Z352" i="45"/>
  <c r="Z353" i="45" s="1"/>
  <c r="U357" i="45"/>
  <c r="X354" i="45"/>
  <c r="X355" i="45" s="1"/>
  <c r="AA355" i="45" l="1"/>
  <c r="X356" i="45"/>
  <c r="T359" i="45"/>
  <c r="Y354" i="45"/>
  <c r="U358" i="45"/>
  <c r="V357" i="45"/>
  <c r="AA354" i="45"/>
  <c r="Z354" i="45" l="1"/>
  <c r="T360" i="45"/>
  <c r="U359" i="45"/>
  <c r="Y355" i="45"/>
  <c r="AA356" i="45"/>
  <c r="V358" i="45"/>
  <c r="W358" i="45" s="1"/>
  <c r="W357" i="45"/>
  <c r="T361" i="45" l="1"/>
  <c r="U360" i="45"/>
  <c r="Y356" i="45"/>
  <c r="V359" i="45"/>
  <c r="X357" i="45"/>
  <c r="Z355" i="45"/>
  <c r="V360" i="45" l="1"/>
  <c r="W360" i="45" s="1"/>
  <c r="T362" i="45"/>
  <c r="U361" i="45"/>
  <c r="W359" i="45"/>
  <c r="AA357" i="45"/>
  <c r="Y357" i="45"/>
  <c r="Z356" i="45"/>
  <c r="X358" i="45"/>
  <c r="T363" i="45" l="1"/>
  <c r="AA358" i="45"/>
  <c r="U362" i="45"/>
  <c r="X360" i="45"/>
  <c r="X359" i="45"/>
  <c r="V361" i="45"/>
  <c r="Z357" i="45"/>
  <c r="Y358" i="45"/>
  <c r="AA359" i="45" l="1"/>
  <c r="T364" i="45"/>
  <c r="AA360" i="45"/>
  <c r="Y359" i="45"/>
  <c r="Z358" i="45"/>
  <c r="U363" i="45"/>
  <c r="W361" i="45"/>
  <c r="V362" i="45"/>
  <c r="Z359" i="45" l="1"/>
  <c r="T365" i="45"/>
  <c r="U364" i="45"/>
  <c r="X361" i="45"/>
  <c r="W362" i="45"/>
  <c r="X362" i="45" s="1"/>
  <c r="V363" i="45"/>
  <c r="W363" i="45" s="1"/>
  <c r="Y360" i="45"/>
  <c r="V364" i="45" l="1"/>
  <c r="AA362" i="45"/>
  <c r="AA361" i="45"/>
  <c r="Y361" i="45"/>
  <c r="Y362" i="45" s="1"/>
  <c r="Z360" i="45"/>
  <c r="T366" i="45"/>
  <c r="X363" i="45"/>
  <c r="W364" i="45"/>
  <c r="X364" i="45" s="1"/>
  <c r="U365" i="45"/>
  <c r="AA364" i="45" l="1"/>
  <c r="T367" i="45"/>
  <c r="U366" i="45"/>
  <c r="V365" i="45"/>
  <c r="AA363" i="45"/>
  <c r="Z361" i="45"/>
  <c r="Z362" i="45" s="1"/>
  <c r="Y363" i="45"/>
  <c r="V366" i="45" l="1"/>
  <c r="W366" i="45" s="1"/>
  <c r="T368" i="45"/>
  <c r="U367" i="45"/>
  <c r="Y364" i="45"/>
  <c r="Z363" i="45"/>
  <c r="W365" i="45"/>
  <c r="Z364" i="45" l="1"/>
  <c r="T369" i="45"/>
  <c r="V367" i="45"/>
  <c r="U368" i="45"/>
  <c r="X366" i="45"/>
  <c r="X365" i="45"/>
  <c r="W367" i="45" l="1"/>
  <c r="T370" i="45"/>
  <c r="U369" i="45"/>
  <c r="AA365" i="45"/>
  <c r="Y365" i="45"/>
  <c r="Y366" i="45" s="1"/>
  <c r="AA366" i="45"/>
  <c r="V368" i="45"/>
  <c r="U370" i="45" l="1"/>
  <c r="X367" i="45"/>
  <c r="W368" i="45"/>
  <c r="X368" i="45" s="1"/>
  <c r="T371" i="45"/>
  <c r="Z365" i="45"/>
  <c r="Z366" i="45" s="1"/>
  <c r="V369" i="45"/>
  <c r="W369" i="45" s="1"/>
  <c r="U371" i="45" l="1"/>
  <c r="V370" i="45"/>
  <c r="W370" i="45" s="1"/>
  <c r="AA368" i="45"/>
  <c r="AA367" i="45"/>
  <c r="Y367" i="45"/>
  <c r="X369" i="45"/>
  <c r="T372" i="45"/>
  <c r="V371" i="45" l="1"/>
  <c r="W371" i="45" s="1"/>
  <c r="X371" i="45" s="1"/>
  <c r="Z367" i="45"/>
  <c r="Y368" i="45"/>
  <c r="T373" i="45"/>
  <c r="U372" i="45"/>
  <c r="AA369" i="45"/>
  <c r="X370" i="45"/>
  <c r="V372" i="45" l="1"/>
  <c r="AA370" i="45"/>
  <c r="Z368" i="45"/>
  <c r="AA371" i="45"/>
  <c r="Y369" i="45"/>
  <c r="T374" i="45"/>
  <c r="U373" i="45"/>
  <c r="Z369" i="45" l="1"/>
  <c r="Y370" i="45"/>
  <c r="Y371" i="45" s="1"/>
  <c r="T375" i="45"/>
  <c r="U374" i="45"/>
  <c r="W372" i="45"/>
  <c r="V373" i="45"/>
  <c r="W373" i="45" s="1"/>
  <c r="Z370" i="45" l="1"/>
  <c r="Z371" i="45" s="1"/>
  <c r="U375" i="45"/>
  <c r="V375" i="45" s="1"/>
  <c r="V374" i="45"/>
  <c r="T376" i="45"/>
  <c r="X373" i="45"/>
  <c r="X372" i="45"/>
  <c r="W375" i="45" l="1"/>
  <c r="T377" i="45"/>
  <c r="AA373" i="45"/>
  <c r="W374" i="45"/>
  <c r="U376" i="45"/>
  <c r="AA372" i="45"/>
  <c r="Y372" i="45"/>
  <c r="U377" i="45" l="1"/>
  <c r="X375" i="45"/>
  <c r="X374" i="45"/>
  <c r="Z372" i="45"/>
  <c r="Y373" i="45"/>
  <c r="V376" i="45"/>
  <c r="T378" i="45"/>
  <c r="V377" i="45" l="1"/>
  <c r="AA374" i="45"/>
  <c r="Y374" i="45"/>
  <c r="T379" i="45"/>
  <c r="W376" i="45"/>
  <c r="Z373" i="45"/>
  <c r="AA375" i="45"/>
  <c r="U378" i="45"/>
  <c r="W377" i="45" l="1"/>
  <c r="X377" i="45" s="1"/>
  <c r="Z374" i="45"/>
  <c r="V378" i="45"/>
  <c r="Y375" i="45"/>
  <c r="T380" i="45"/>
  <c r="U379" i="45"/>
  <c r="X376" i="45"/>
  <c r="T381" i="45" l="1"/>
  <c r="U380" i="45"/>
  <c r="Z375" i="45"/>
  <c r="W378" i="45"/>
  <c r="AA376" i="45"/>
  <c r="Y377" i="45"/>
  <c r="Y376" i="45"/>
  <c r="V379" i="45"/>
  <c r="W379" i="45" l="1"/>
  <c r="X379" i="45" s="1"/>
  <c r="T382" i="45"/>
  <c r="U381" i="45"/>
  <c r="X378" i="45"/>
  <c r="Z376" i="45"/>
  <c r="Z377" i="45" s="1"/>
  <c r="AA377" i="45" s="1"/>
  <c r="V380" i="45"/>
  <c r="Y379" i="45" l="1"/>
  <c r="Y378" i="45"/>
  <c r="T383" i="45"/>
  <c r="V381" i="45"/>
  <c r="W381" i="45" s="1"/>
  <c r="U382" i="45"/>
  <c r="V382" i="45" s="1"/>
  <c r="W380" i="45"/>
  <c r="X381" i="45" l="1"/>
  <c r="T384" i="45"/>
  <c r="X380" i="45"/>
  <c r="W382" i="45"/>
  <c r="Z378" i="45"/>
  <c r="Z379" i="45" s="1"/>
  <c r="AA379" i="45" s="1"/>
  <c r="U383" i="45"/>
  <c r="AA378" i="45" l="1"/>
  <c r="U384" i="45"/>
  <c r="AA380" i="45"/>
  <c r="Y380" i="45"/>
  <c r="T385" i="45"/>
  <c r="U385" i="45" s="1"/>
  <c r="AA381" i="45"/>
  <c r="V383" i="45"/>
  <c r="X382" i="45"/>
  <c r="V385" i="45" l="1"/>
  <c r="T386" i="45"/>
  <c r="U386" i="45" s="1"/>
  <c r="W383" i="45"/>
  <c r="Z380" i="45"/>
  <c r="Y381" i="45"/>
  <c r="Y382" i="45" s="1"/>
  <c r="AA382" i="45"/>
  <c r="V384" i="45"/>
  <c r="W385" i="45" l="1"/>
  <c r="Z381" i="45"/>
  <c r="Z382" i="45" s="1"/>
  <c r="V386" i="45"/>
  <c r="W386" i="45" s="1"/>
  <c r="X383" i="45"/>
  <c r="W384" i="45"/>
  <c r="T387" i="45"/>
  <c r="X385" i="45" l="1"/>
  <c r="AA385" i="45" s="1"/>
  <c r="X386" i="45"/>
  <c r="AA386" i="45" s="1"/>
  <c r="X384" i="45"/>
  <c r="T388" i="45"/>
  <c r="U389" i="45" s="1"/>
  <c r="V390" i="45" s="1"/>
  <c r="W391" i="45" s="1"/>
  <c r="X392" i="45" s="1"/>
  <c r="AA383" i="45"/>
  <c r="Y383" i="45"/>
  <c r="U387" i="45"/>
  <c r="AA384" i="45" l="1"/>
  <c r="U388" i="45"/>
  <c r="V388" i="45" s="1"/>
  <c r="AA387" i="45"/>
  <c r="V387" i="45"/>
  <c r="Y393" i="45"/>
  <c r="AA392" i="45"/>
  <c r="Z383" i="45"/>
  <c r="Y384" i="45"/>
  <c r="Y385" i="45" s="1"/>
  <c r="Y386" i="45" l="1"/>
  <c r="W387" i="45"/>
  <c r="W388" i="45" s="1"/>
  <c r="V389" i="45"/>
  <c r="AA388" i="45"/>
  <c r="Z384" i="45"/>
  <c r="Z385" i="45" s="1"/>
  <c r="W389" i="45" l="1"/>
  <c r="W390" i="45" s="1"/>
  <c r="X387" i="45"/>
  <c r="Z386" i="45"/>
  <c r="Y387" i="45" l="1"/>
  <c r="X388" i="45"/>
  <c r="Z387" i="45" l="1"/>
  <c r="X389" i="45"/>
  <c r="Y388" i="45"/>
  <c r="AA389" i="45" l="1"/>
  <c r="X390" i="45"/>
  <c r="Y389" i="45"/>
  <c r="Z388" i="45"/>
  <c r="AA390" i="45" l="1"/>
  <c r="X391" i="45"/>
  <c r="Y390" i="45"/>
  <c r="Z389" i="45"/>
  <c r="AA391" i="45" l="1"/>
  <c r="Y391" i="45"/>
  <c r="Z390" i="45"/>
  <c r="Z391" i="45" l="1"/>
  <c r="Y392" i="45"/>
  <c r="Z392" i="45" l="1"/>
  <c r="Z393" i="45" s="1"/>
  <c r="Z394" i="45" l="1"/>
  <c r="AA393" i="45"/>
  <c r="AA394" i="45" l="1"/>
  <c r="Z395" i="45"/>
  <c r="Z396" i="45" s="1"/>
  <c r="Z397" i="45" l="1"/>
  <c r="AA396" i="45"/>
  <c r="AA397" i="45" l="1"/>
  <c r="Z398" i="45"/>
  <c r="Z399" i="45" s="1"/>
  <c r="AA399" i="45" l="1"/>
  <c r="Z400" i="45"/>
  <c r="Z401" i="45" l="1"/>
  <c r="Z402" i="45" s="1"/>
  <c r="Z403" i="45" s="1"/>
  <c r="Z404" i="45" s="1"/>
  <c r="Z405" i="45" s="1"/>
  <c r="Z406" i="45" s="1"/>
  <c r="Z407" i="45" s="1"/>
  <c r="AA400" i="45"/>
  <c r="Z408" i="45" l="1"/>
  <c r="AA407" i="45"/>
  <c r="AA408" i="45" l="1"/>
  <c r="Z409" i="45"/>
  <c r="Z410" i="45" s="1"/>
  <c r="AA410" i="45" l="1"/>
  <c r="Z411" i="45"/>
  <c r="AA411" i="45" l="1"/>
  <c r="Z412" i="45"/>
  <c r="Z413" i="45" s="1"/>
  <c r="Z414" i="45" s="1"/>
  <c r="Z415" i="45" s="1"/>
  <c r="Z416" i="45" s="1"/>
  <c r="Z417" i="45" s="1"/>
  <c r="Z418" i="45" s="1"/>
  <c r="Z419" i="45" s="1"/>
  <c r="Z420" i="45" s="1"/>
  <c r="AA420" i="45" l="1"/>
  <c r="Z421" i="45"/>
  <c r="Z422" i="45" l="1"/>
  <c r="AA421" i="45"/>
  <c r="AA422" i="45" l="1"/>
  <c r="Z423" i="45"/>
  <c r="AA423" i="45" l="1"/>
  <c r="Z424" i="45"/>
  <c r="AA424" i="45" l="1"/>
  <c r="Z425" i="45"/>
  <c r="AA425" i="45" l="1"/>
  <c r="Z426" i="45"/>
  <c r="Z427" i="45" l="1"/>
  <c r="AA426" i="45"/>
  <c r="AA427" i="45" l="1"/>
  <c r="Z428" i="45"/>
  <c r="Z429" i="45" l="1"/>
  <c r="AA428" i="45"/>
  <c r="AA429" i="45" l="1"/>
  <c r="Z430" i="45"/>
  <c r="Z431" i="45" s="1"/>
  <c r="AA431" i="45" l="1"/>
  <c r="Z432" i="45"/>
  <c r="AA432" i="45" l="1"/>
  <c r="Z433" i="45"/>
  <c r="AA433" i="45" l="1"/>
  <c r="Z434" i="45"/>
  <c r="AA434" i="45" l="1"/>
  <c r="Z435" i="45"/>
  <c r="AA435" i="45" l="1"/>
  <c r="Z436" i="45"/>
  <c r="AA436" i="45" l="1"/>
  <c r="Z437" i="45"/>
  <c r="Z438" i="45" l="1"/>
  <c r="AA437" i="45"/>
  <c r="Z439" i="45" l="1"/>
  <c r="Z440" i="45" s="1"/>
  <c r="AA438" i="45"/>
  <c r="AA440" i="45" l="1"/>
  <c r="Z441" i="45"/>
  <c r="AA441" i="45" l="1"/>
  <c r="Z442" i="45"/>
  <c r="Z443" i="45" s="1"/>
  <c r="AA443" i="45" l="1"/>
  <c r="Z444" i="45"/>
  <c r="AA444" i="45" l="1"/>
  <c r="Z445" i="45"/>
  <c r="Z446" i="45" l="1"/>
  <c r="Z447" i="45" s="1"/>
  <c r="AA445" i="45"/>
  <c r="Z448" i="45" l="1"/>
  <c r="AA447" i="45"/>
  <c r="AA448" i="45" l="1"/>
  <c r="Z449" i="45"/>
  <c r="Z450" i="45" s="1"/>
  <c r="Z451" i="45" s="1"/>
  <c r="Z452" i="45" s="1"/>
  <c r="Z453" i="45" s="1"/>
  <c r="AA453" i="45" s="1"/>
  <c r="J28" i="9"/>
  <c r="K28" i="9" l="1"/>
  <c r="K47" i="46"/>
  <c r="K75" i="46" l="1"/>
  <c r="K26" i="46"/>
  <c r="L28" i="9"/>
  <c r="K186" i="46" l="1"/>
  <c r="M748" i="46" l="1"/>
  <c r="N358" i="46" l="1"/>
  <c r="Q358" i="46" s="1"/>
  <c r="O492" i="45" s="1"/>
  <c r="N99" i="46"/>
  <c r="N7" i="46"/>
  <c r="Q7" i="46" s="1"/>
  <c r="O11" i="45" s="1"/>
  <c r="N230" i="46"/>
  <c r="Q230" i="46" s="1"/>
  <c r="O324" i="45" s="1"/>
  <c r="N685" i="46"/>
  <c r="Q685" i="46" s="1"/>
  <c r="M569" i="45" s="1"/>
  <c r="N469" i="46"/>
  <c r="Q469" i="46" s="1"/>
  <c r="N347" i="46"/>
  <c r="Q347" i="46" s="1"/>
  <c r="M479" i="45" s="1"/>
  <c r="N557" i="46"/>
  <c r="Q557" i="46" s="1"/>
  <c r="N534" i="46"/>
  <c r="Q534" i="46" s="1"/>
  <c r="N110" i="46"/>
  <c r="Q110" i="46" s="1"/>
  <c r="O151" i="45" s="1"/>
  <c r="N71" i="46"/>
  <c r="Q71" i="46" s="1"/>
  <c r="O99" i="45" s="1"/>
  <c r="N824" i="46"/>
  <c r="Q824" i="46" s="1"/>
  <c r="O635" i="45" s="1"/>
  <c r="N701" i="46"/>
  <c r="Q701" i="46" s="1"/>
  <c r="M586" i="45" s="1"/>
  <c r="N384" i="46"/>
  <c r="Q384" i="46" s="1"/>
  <c r="K523" i="45" s="1"/>
  <c r="N471" i="46"/>
  <c r="Q471" i="46" s="1"/>
  <c r="N708" i="46"/>
  <c r="Q708" i="46" s="1"/>
  <c r="M599" i="45" s="1"/>
  <c r="N705" i="46"/>
  <c r="Q705" i="46" s="1"/>
  <c r="M593" i="45" s="1"/>
  <c r="N82" i="46"/>
  <c r="Q82" i="46" s="1"/>
  <c r="O117" i="45" s="1"/>
  <c r="N443" i="46"/>
  <c r="Q443" i="46" s="1"/>
  <c r="M624" i="45" s="1"/>
  <c r="N753" i="46"/>
  <c r="Q753" i="46" s="1"/>
  <c r="O538" i="45" s="1"/>
  <c r="N736" i="46"/>
  <c r="Q736" i="46" s="1"/>
  <c r="O512" i="45" s="1"/>
  <c r="N168" i="46"/>
  <c r="Q168" i="46" s="1"/>
  <c r="O231" i="45" s="1"/>
  <c r="N174" i="46"/>
  <c r="Q174" i="46" s="1"/>
  <c r="O237" i="45" s="1"/>
  <c r="N72" i="46"/>
  <c r="Q72" i="46" s="1"/>
  <c r="N785" i="46"/>
  <c r="Q785" i="46" s="1"/>
  <c r="O576" i="45" s="1"/>
  <c r="N585" i="46"/>
  <c r="Q585" i="46" s="1"/>
  <c r="O410" i="45" s="1"/>
  <c r="N374" i="46"/>
  <c r="Q374" i="46" s="1"/>
  <c r="K512" i="45" s="1"/>
  <c r="N614" i="46"/>
  <c r="Q614" i="46" s="1"/>
  <c r="O443" i="45" s="1"/>
  <c r="N268" i="46"/>
  <c r="Q268" i="46" s="1"/>
  <c r="O370" i="45" s="1"/>
  <c r="N544" i="46"/>
  <c r="Q544" i="46" s="1"/>
  <c r="N650" i="46"/>
  <c r="Q650" i="46" s="1"/>
  <c r="M527" i="45" s="1"/>
  <c r="O527" i="45" s="1"/>
  <c r="N529" i="46"/>
  <c r="Q529" i="46" s="1"/>
  <c r="N568" i="46"/>
  <c r="Q568" i="46" s="1"/>
  <c r="N502" i="46"/>
  <c r="Q502" i="46" s="1"/>
  <c r="N713" i="46"/>
  <c r="Q713" i="46" s="1"/>
  <c r="M604" i="45" s="1"/>
  <c r="N188" i="46"/>
  <c r="Q188" i="46" s="1"/>
  <c r="O264" i="45" s="1"/>
  <c r="N516" i="46"/>
  <c r="Q516" i="46" s="1"/>
  <c r="N710" i="46"/>
  <c r="Q710" i="46" s="1"/>
  <c r="M601" i="45" s="1"/>
  <c r="N85" i="46"/>
  <c r="Q85" i="46" s="1"/>
  <c r="O120" i="45" s="1"/>
  <c r="N468" i="46"/>
  <c r="Q468" i="46" s="1"/>
  <c r="N690" i="46"/>
  <c r="Q690" i="46" s="1"/>
  <c r="M575" i="45" s="1"/>
  <c r="N546" i="46"/>
  <c r="Q546" i="46" s="1"/>
  <c r="N507" i="46"/>
  <c r="Q507" i="46" s="1"/>
  <c r="N88" i="46"/>
  <c r="Q88" i="46" s="1"/>
  <c r="O124" i="45" s="1"/>
  <c r="N145" i="46"/>
  <c r="Q145" i="46" s="1"/>
  <c r="O202" i="45" s="1"/>
  <c r="N320" i="46"/>
  <c r="Q320" i="46" s="1"/>
  <c r="M435" i="45" s="1"/>
  <c r="N271" i="46"/>
  <c r="N414" i="46"/>
  <c r="Q414" i="46" s="1"/>
  <c r="K571" i="45" s="1"/>
  <c r="N385" i="46"/>
  <c r="Q385" i="46" s="1"/>
  <c r="K524" i="45" s="1"/>
  <c r="N235" i="46"/>
  <c r="Q235" i="46" s="1"/>
  <c r="O330" i="45" s="1"/>
  <c r="N561" i="46"/>
  <c r="Q561" i="46" s="1"/>
  <c r="N372" i="46"/>
  <c r="Q372" i="46" s="1"/>
  <c r="K510" i="45" s="1"/>
  <c r="N823" i="46"/>
  <c r="Q823" i="46" s="1"/>
  <c r="O634" i="45" s="1"/>
  <c r="N84" i="46"/>
  <c r="Q84" i="46" s="1"/>
  <c r="O119" i="45" s="1"/>
  <c r="N702" i="46"/>
  <c r="Q702" i="46" s="1"/>
  <c r="M589" i="45" s="1"/>
  <c r="N161" i="46"/>
  <c r="Q161" i="46" s="1"/>
  <c r="O223" i="45" s="1"/>
  <c r="N106" i="46"/>
  <c r="Q106" i="46" s="1"/>
  <c r="O146" i="45" s="1"/>
  <c r="N761" i="46"/>
  <c r="Q761" i="46" s="1"/>
  <c r="O548" i="45" s="1"/>
  <c r="N817" i="46"/>
  <c r="Q817" i="46" s="1"/>
  <c r="O624" i="45" s="1"/>
  <c r="N339" i="46"/>
  <c r="Q339" i="46" s="1"/>
  <c r="M465" i="45" s="1"/>
  <c r="N17" i="46"/>
  <c r="Q17" i="46" s="1"/>
  <c r="O23" i="45" s="1"/>
  <c r="N588" i="46"/>
  <c r="Q588" i="46" s="1"/>
  <c r="O413" i="45" s="1"/>
  <c r="N66" i="46"/>
  <c r="Q66" i="46" s="1"/>
  <c r="O93" i="45" s="1"/>
  <c r="N517" i="46"/>
  <c r="Q517" i="46" s="1"/>
  <c r="N261" i="46"/>
  <c r="Q261" i="46" s="1"/>
  <c r="O362" i="45" s="1"/>
  <c r="N175" i="46"/>
  <c r="Q175" i="46" s="1"/>
  <c r="N74" i="46"/>
  <c r="Q74" i="46" s="1"/>
  <c r="O105" i="45" s="1"/>
  <c r="N669" i="46"/>
  <c r="Q669" i="46" s="1"/>
  <c r="M552" i="45" s="1"/>
  <c r="N300" i="46"/>
  <c r="Q300" i="46" s="1"/>
  <c r="M413" i="45" s="1"/>
  <c r="N649" i="46"/>
  <c r="Q649" i="46" s="1"/>
  <c r="M526" i="45" s="1"/>
  <c r="O526" i="45" s="1"/>
  <c r="N128" i="46"/>
  <c r="Q128" i="46" s="1"/>
  <c r="O177" i="45" s="1"/>
  <c r="N313" i="46"/>
  <c r="Q313" i="46" s="1"/>
  <c r="M427" i="45" s="1"/>
  <c r="N344" i="46"/>
  <c r="Q344" i="46" s="1"/>
  <c r="M473" i="45" s="1"/>
  <c r="N732" i="46"/>
  <c r="Q732" i="46" s="1"/>
  <c r="N183" i="46"/>
  <c r="Q183" i="46" s="1"/>
  <c r="O255" i="45" s="1"/>
  <c r="N135" i="46"/>
  <c r="Q135" i="46" s="1"/>
  <c r="O188" i="45" s="1"/>
  <c r="N445" i="46"/>
  <c r="Q445" i="46" s="1"/>
  <c r="M627" i="45" s="1"/>
  <c r="N783" i="46"/>
  <c r="N361" i="46"/>
  <c r="Q361" i="46" s="1"/>
  <c r="O496" i="45" s="1"/>
  <c r="N70" i="46"/>
  <c r="Q70" i="46" s="1"/>
  <c r="O98" i="45" s="1"/>
  <c r="N44" i="46"/>
  <c r="Q44" i="46" s="1"/>
  <c r="O65" i="45" s="1"/>
  <c r="N423" i="46"/>
  <c r="Q423" i="46" s="1"/>
  <c r="K589" i="45" s="1"/>
  <c r="N93" i="46"/>
  <c r="Q93" i="46" s="1"/>
  <c r="O129" i="45" s="1"/>
  <c r="N635" i="46"/>
  <c r="Q635" i="46" s="1"/>
  <c r="O479" i="45" s="1"/>
  <c r="N721" i="46"/>
  <c r="Q721" i="46" s="1"/>
  <c r="O677" i="45" s="1"/>
  <c r="N236" i="46"/>
  <c r="Q236" i="46" s="1"/>
  <c r="O332" i="45" s="1"/>
  <c r="N182" i="46"/>
  <c r="Q182" i="46" s="1"/>
  <c r="O254" i="45" s="1"/>
  <c r="N102" i="46"/>
  <c r="Q102" i="46" s="1"/>
  <c r="O140" i="45" s="1"/>
  <c r="N558" i="46"/>
  <c r="Q558" i="46" s="1"/>
  <c r="N213" i="46"/>
  <c r="Q213" i="46" s="1"/>
  <c r="O295" i="45" s="1"/>
  <c r="N245" i="46"/>
  <c r="Q245" i="46" s="1"/>
  <c r="O342" i="45" s="1"/>
  <c r="N673" i="46"/>
  <c r="Q673" i="46" s="1"/>
  <c r="M556" i="45" s="1"/>
  <c r="N224" i="46"/>
  <c r="Q224" i="46" s="1"/>
  <c r="O315" i="45" s="1"/>
  <c r="N289" i="46"/>
  <c r="Q289" i="46" s="1"/>
  <c r="M399" i="45" s="1"/>
  <c r="N165" i="46"/>
  <c r="Q165" i="46" s="1"/>
  <c r="O227" i="45" s="1"/>
  <c r="N825" i="46"/>
  <c r="Q825" i="46" s="1"/>
  <c r="O636" i="45" s="1"/>
  <c r="N134" i="46"/>
  <c r="Q134" i="46" s="1"/>
  <c r="O187" i="45" s="1"/>
  <c r="N657" i="46"/>
  <c r="Q657" i="46" s="1"/>
  <c r="M537" i="45" s="1"/>
  <c r="N745" i="46"/>
  <c r="Q745" i="46" s="1"/>
  <c r="N20" i="46"/>
  <c r="Q20" i="46" s="1"/>
  <c r="N537" i="46"/>
  <c r="Q537" i="46" s="1"/>
  <c r="N428" i="46"/>
  <c r="Q428" i="46" s="1"/>
  <c r="K597" i="45" s="1"/>
  <c r="N776" i="46"/>
  <c r="Q776" i="46" s="1"/>
  <c r="O565" i="45" s="1"/>
  <c r="N227" i="46"/>
  <c r="Q227" i="46" s="1"/>
  <c r="O320" i="45" s="1"/>
  <c r="N631" i="46"/>
  <c r="Q631" i="46" s="1"/>
  <c r="O472" i="45" s="1"/>
  <c r="N578" i="46"/>
  <c r="Q578" i="46" s="1"/>
  <c r="O399" i="45" s="1"/>
  <c r="N421" i="46"/>
  <c r="Q421" i="46" s="1"/>
  <c r="K585" i="45" s="1"/>
  <c r="N291" i="46"/>
  <c r="Q291" i="46" s="1"/>
  <c r="M401" i="45" s="1"/>
  <c r="N398" i="46"/>
  <c r="Q398" i="46" s="1"/>
  <c r="K540" i="45" s="1"/>
  <c r="N789" i="46"/>
  <c r="N21" i="46"/>
  <c r="N13" i="46"/>
  <c r="Q13" i="46" s="1"/>
  <c r="O18" i="45" s="1"/>
  <c r="N10" i="46"/>
  <c r="Q10" i="46" s="1"/>
  <c r="O15" i="45" s="1"/>
  <c r="N207" i="46"/>
  <c r="Q207" i="46" s="1"/>
  <c r="O287" i="45" s="1"/>
  <c r="N563" i="46"/>
  <c r="Q563" i="46" s="1"/>
  <c r="N636" i="46"/>
  <c r="Q636" i="46" s="1"/>
  <c r="O480" i="45" s="1"/>
  <c r="N794" i="46"/>
  <c r="N365" i="46"/>
  <c r="Q365" i="46" s="1"/>
  <c r="O501" i="45" s="1"/>
  <c r="N425" i="46"/>
  <c r="Q425" i="46" s="1"/>
  <c r="K592" i="45" s="1"/>
  <c r="N453" i="46"/>
  <c r="Q453" i="46" s="1"/>
  <c r="M638" i="45" s="1"/>
  <c r="N438" i="46"/>
  <c r="Q438" i="46" s="1"/>
  <c r="M614" i="45" s="1"/>
  <c r="N633" i="46"/>
  <c r="Q633" i="46" s="1"/>
  <c r="O476" i="45" s="1"/>
  <c r="N158" i="46"/>
  <c r="Q158" i="46" s="1"/>
  <c r="O220" i="45" s="1"/>
  <c r="N377" i="46"/>
  <c r="Q377" i="46" s="1"/>
  <c r="K515" i="45" s="1"/>
  <c r="N324" i="46"/>
  <c r="Q324" i="46" s="1"/>
  <c r="M440" i="45" s="1"/>
  <c r="N459" i="46"/>
  <c r="Q459" i="46" s="1"/>
  <c r="N241" i="46"/>
  <c r="Q241" i="46" s="1"/>
  <c r="O338" i="45" s="1"/>
  <c r="N67" i="46"/>
  <c r="Q67" i="46" s="1"/>
  <c r="O95" i="45" s="1"/>
  <c r="N58" i="46"/>
  <c r="Q58" i="46" s="1"/>
  <c r="O81" i="45" s="1"/>
  <c r="N243" i="46"/>
  <c r="Q243" i="46" s="1"/>
  <c r="O340" i="45" s="1"/>
  <c r="N28" i="46"/>
  <c r="Q28" i="46" s="1"/>
  <c r="O41" i="45" s="1"/>
  <c r="N215" i="46"/>
  <c r="Q215" i="46" s="1"/>
  <c r="N240" i="46"/>
  <c r="Q240" i="46" s="1"/>
  <c r="O337" i="45" s="1"/>
  <c r="N214" i="46"/>
  <c r="N598" i="46"/>
  <c r="Q598" i="46" s="1"/>
  <c r="O424" i="45" s="1"/>
  <c r="N693" i="46"/>
  <c r="Q693" i="46" s="1"/>
  <c r="M578" i="45" s="1"/>
  <c r="N590" i="46"/>
  <c r="Q590" i="46" s="1"/>
  <c r="O415" i="45" s="1"/>
  <c r="N572" i="46"/>
  <c r="Q572" i="46" s="1"/>
  <c r="N527" i="46"/>
  <c r="Q527" i="46" s="1"/>
  <c r="N142" i="46"/>
  <c r="Q142" i="46" s="1"/>
  <c r="O198" i="45" s="1"/>
  <c r="N500" i="46"/>
  <c r="Q500" i="46" s="1"/>
  <c r="N814" i="46"/>
  <c r="Q814" i="46" s="1"/>
  <c r="O618" i="45" s="1"/>
  <c r="N11" i="46"/>
  <c r="Q11" i="46" s="1"/>
  <c r="O16" i="45" s="1"/>
  <c r="N570" i="46"/>
  <c r="Q570" i="46" s="1"/>
  <c r="N287" i="46"/>
  <c r="Q287" i="46" s="1"/>
  <c r="M396" i="45" s="1"/>
  <c r="N506" i="46"/>
  <c r="Q506" i="46" s="1"/>
  <c r="N484" i="46"/>
  <c r="Q484" i="46" s="1"/>
  <c r="M673" i="45" s="1"/>
  <c r="N627" i="46"/>
  <c r="Q627" i="46" s="1"/>
  <c r="O465" i="45" s="1"/>
  <c r="N580" i="46"/>
  <c r="Q580" i="46" s="1"/>
  <c r="O401" i="45" s="1"/>
  <c r="N810" i="46"/>
  <c r="Q810" i="46" s="1"/>
  <c r="O611" i="45" s="1"/>
  <c r="N113" i="46"/>
  <c r="Q113" i="46" s="1"/>
  <c r="O156" i="45" s="1"/>
  <c r="N461" i="46"/>
  <c r="Q461" i="46" s="1"/>
  <c r="O646" i="45" s="1"/>
  <c r="N460" i="46"/>
  <c r="Q460" i="46" s="1"/>
  <c r="O645" i="45" s="1"/>
  <c r="N706" i="46"/>
  <c r="Q706" i="46" s="1"/>
  <c r="M596" i="45" s="1"/>
  <c r="N221" i="46"/>
  <c r="Q221" i="46" s="1"/>
  <c r="O310" i="45" s="1"/>
  <c r="N185" i="46"/>
  <c r="Q185" i="46" s="1"/>
  <c r="O258" i="45" s="1"/>
  <c r="N36" i="46"/>
  <c r="N692" i="46"/>
  <c r="Q692" i="46" s="1"/>
  <c r="M577" i="45" s="1"/>
  <c r="O577" i="45" s="1"/>
  <c r="N132" i="46"/>
  <c r="Q132" i="46" s="1"/>
  <c r="O184" i="45" s="1"/>
  <c r="N383" i="46"/>
  <c r="Q383" i="46" s="1"/>
  <c r="K522" i="45" s="1"/>
  <c r="N447" i="46"/>
  <c r="Q447" i="46" s="1"/>
  <c r="M631" i="45" s="1"/>
  <c r="N575" i="46"/>
  <c r="Q575" i="46" s="1"/>
  <c r="O394" i="45" s="1"/>
  <c r="N15" i="46"/>
  <c r="Q15" i="46" s="1"/>
  <c r="O21" i="45" s="1"/>
  <c r="N208" i="46"/>
  <c r="Q208" i="46" s="1"/>
  <c r="O288" i="45" s="1"/>
  <c r="N613" i="46"/>
  <c r="Q613" i="46" s="1"/>
  <c r="O441" i="45" s="1"/>
  <c r="N436" i="46"/>
  <c r="Q436" i="46" s="1"/>
  <c r="M611" i="45" s="1"/>
  <c r="N226" i="46"/>
  <c r="Q226" i="46" s="1"/>
  <c r="O319" i="45" s="1"/>
  <c r="N548" i="46"/>
  <c r="Q548" i="46" s="1"/>
  <c r="N370" i="46"/>
  <c r="Q370" i="46" s="1"/>
  <c r="K508" i="45" s="1"/>
  <c r="N407" i="46"/>
  <c r="Q407" i="46" s="1"/>
  <c r="K555" i="45" s="1"/>
  <c r="N481" i="46"/>
  <c r="Q481" i="46" s="1"/>
  <c r="O669" i="45" s="1"/>
  <c r="N719" i="46"/>
  <c r="Q719" i="46" s="1"/>
  <c r="O675" i="45" s="1"/>
  <c r="N130" i="46"/>
  <c r="Q130" i="46" s="1"/>
  <c r="O179" i="45" s="1"/>
  <c r="N23" i="46"/>
  <c r="Q23" i="46" s="1"/>
  <c r="O35" i="45" s="1"/>
  <c r="N505" i="46"/>
  <c r="Q505" i="46" s="1"/>
  <c r="N250" i="46"/>
  <c r="Q250" i="46" s="1"/>
  <c r="O349" i="45" s="1"/>
  <c r="N131" i="46"/>
  <c r="Q131" i="46" s="1"/>
  <c r="O183" i="45" s="1"/>
  <c r="N311" i="46"/>
  <c r="Q311" i="46" s="1"/>
  <c r="M425" i="45" s="1"/>
  <c r="N197" i="46"/>
  <c r="N233" i="46"/>
  <c r="Q233" i="46" s="1"/>
  <c r="O328" i="45" s="1"/>
  <c r="N412" i="46"/>
  <c r="Q412" i="46" s="1"/>
  <c r="K568" i="45" s="1"/>
  <c r="N388" i="46"/>
  <c r="Q388" i="46" s="1"/>
  <c r="K527" i="45" s="1"/>
  <c r="N69" i="46"/>
  <c r="Q69" i="46" s="1"/>
  <c r="O97" i="45" s="1"/>
  <c r="N688" i="46"/>
  <c r="Q688" i="46" s="1"/>
  <c r="M572" i="45" s="1"/>
  <c r="N363" i="46"/>
  <c r="Q363" i="46" s="1"/>
  <c r="O499" i="45" s="1"/>
  <c r="N164" i="46"/>
  <c r="Q164" i="46" s="1"/>
  <c r="O226" i="45" s="1"/>
  <c r="N163" i="46"/>
  <c r="Q163" i="46" s="1"/>
  <c r="O225" i="45" s="1"/>
  <c r="N808" i="46"/>
  <c r="N826" i="46"/>
  <c r="Q826" i="46" s="1"/>
  <c r="O637" i="45" s="1"/>
  <c r="N730" i="46"/>
  <c r="Q730" i="46" s="1"/>
  <c r="N540" i="46"/>
  <c r="Q540" i="46" s="1"/>
  <c r="N611" i="46"/>
  <c r="Q611" i="46" s="1"/>
  <c r="O438" i="45" s="1"/>
  <c r="N210" i="46"/>
  <c r="Q210" i="46" s="1"/>
  <c r="O291" i="45" s="1"/>
  <c r="N533" i="46"/>
  <c r="Q533" i="46" s="1"/>
  <c r="N656" i="46"/>
  <c r="Q656" i="46" s="1"/>
  <c r="M536" i="45" s="1"/>
  <c r="N87" i="46"/>
  <c r="Q87" i="46" s="1"/>
  <c r="O123" i="45" s="1"/>
  <c r="N660" i="46"/>
  <c r="Q660" i="46" s="1"/>
  <c r="M540" i="45" s="1"/>
  <c r="N31" i="46"/>
  <c r="Q31" i="46" s="1"/>
  <c r="O47" i="45" s="1"/>
  <c r="N309" i="46"/>
  <c r="Q309" i="46" s="1"/>
  <c r="M423" i="45" s="1"/>
  <c r="N238" i="46"/>
  <c r="Q238" i="46" s="1"/>
  <c r="O334" i="45" s="1"/>
  <c r="N264" i="46"/>
  <c r="Q264" i="46" s="1"/>
  <c r="O366" i="45" s="1"/>
  <c r="N62" i="46"/>
  <c r="Q62" i="46" s="1"/>
  <c r="O88" i="45" s="1"/>
  <c r="N119" i="46"/>
  <c r="Q119" i="46" s="1"/>
  <c r="O164" i="45" s="1"/>
  <c r="N353" i="46"/>
  <c r="Q353" i="46" s="1"/>
  <c r="M487" i="45" s="1"/>
  <c r="N333" i="46"/>
  <c r="Q333" i="46" s="1"/>
  <c r="M455" i="45" s="1"/>
  <c r="N155" i="46"/>
  <c r="Q155" i="46" s="1"/>
  <c r="O216" i="45" s="1"/>
  <c r="N382" i="46"/>
  <c r="Q382" i="46" s="1"/>
  <c r="K521" i="45" s="1"/>
  <c r="N115" i="46"/>
  <c r="Q115" i="46" s="1"/>
  <c r="O159" i="45" s="1"/>
  <c r="N390" i="46"/>
  <c r="Q390" i="46" s="1"/>
  <c r="K531" i="45" s="1"/>
  <c r="N420" i="46"/>
  <c r="Q420" i="46" s="1"/>
  <c r="K584" i="45" s="1"/>
  <c r="N305" i="46"/>
  <c r="Q305" i="46" s="1"/>
  <c r="M418" i="45" s="1"/>
  <c r="N768" i="46"/>
  <c r="Q768" i="46" s="1"/>
  <c r="O556" i="45" s="1"/>
  <c r="N345" i="46"/>
  <c r="Q345" i="46" s="1"/>
  <c r="M476" i="45" s="1"/>
  <c r="N619" i="46"/>
  <c r="Q619" i="46" s="1"/>
  <c r="O449" i="45" s="1"/>
  <c r="N191" i="46"/>
  <c r="Q191" i="46" s="1"/>
  <c r="O268" i="45" s="1"/>
  <c r="N551" i="46"/>
  <c r="Q551" i="46" s="1"/>
  <c r="N415" i="46"/>
  <c r="Q415" i="46" s="1"/>
  <c r="K572" i="45" s="1"/>
  <c r="N441" i="46"/>
  <c r="Q441" i="46" s="1"/>
  <c r="M620" i="45" s="1"/>
  <c r="N86" i="46"/>
  <c r="Q86" i="46" s="1"/>
  <c r="O121" i="45" s="1"/>
  <c r="N606" i="46"/>
  <c r="Q606" i="46" s="1"/>
  <c r="O433" i="45" s="1"/>
  <c r="N310" i="46"/>
  <c r="Q310" i="46" s="1"/>
  <c r="M424" i="45" s="1"/>
  <c r="N24" i="46"/>
  <c r="Q24" i="46" s="1"/>
  <c r="O36" i="45" s="1"/>
  <c r="N815" i="46"/>
  <c r="Q815" i="46" s="1"/>
  <c r="O620" i="45" s="1"/>
  <c r="N160" i="46"/>
  <c r="Q160" i="46" s="1"/>
  <c r="O222" i="45" s="1"/>
  <c r="N778" i="46"/>
  <c r="Q778" i="46" s="1"/>
  <c r="O567" i="45" s="1"/>
  <c r="N167" i="46"/>
  <c r="Q167" i="46" s="1"/>
  <c r="O229" i="45" s="1"/>
  <c r="N55" i="46"/>
  <c r="Q55" i="46" s="1"/>
  <c r="O78" i="45" s="1"/>
  <c r="N728" i="46"/>
  <c r="Q728" i="46" s="1"/>
  <c r="N83" i="46"/>
  <c r="Q83" i="46" s="1"/>
  <c r="O118" i="45" s="1"/>
  <c r="N589" i="46"/>
  <c r="Q589" i="46" s="1"/>
  <c r="O414" i="45" s="1"/>
  <c r="N392" i="46"/>
  <c r="Q392" i="46" s="1"/>
  <c r="K533" i="45" s="1"/>
  <c r="N381" i="46"/>
  <c r="Q381" i="46" s="1"/>
  <c r="K519" i="45" s="1"/>
  <c r="N399" i="46"/>
  <c r="Q399" i="46" s="1"/>
  <c r="K541" i="45" s="1"/>
  <c r="N144" i="46"/>
  <c r="Q144" i="46" s="1"/>
  <c r="O201" i="45" s="1"/>
  <c r="N317" i="46"/>
  <c r="Q317" i="46" s="1"/>
  <c r="M432" i="45" s="1"/>
  <c r="N367" i="46"/>
  <c r="Q367" i="46" s="1"/>
  <c r="O503" i="45" s="1"/>
  <c r="N451" i="46"/>
  <c r="Q451" i="46" s="1"/>
  <c r="M636" i="45" s="1"/>
  <c r="N487" i="46"/>
  <c r="Q487" i="46" s="1"/>
  <c r="M676" i="45" s="1"/>
  <c r="N117" i="46"/>
  <c r="Q117" i="46" s="1"/>
  <c r="O161" i="45" s="1"/>
  <c r="N341" i="46"/>
  <c r="Q341" i="46" s="1"/>
  <c r="M469" i="45" s="1"/>
  <c r="N380" i="46"/>
  <c r="Q380" i="46" s="1"/>
  <c r="K518" i="45" s="1"/>
  <c r="N239" i="46"/>
  <c r="Q239" i="46" s="1"/>
  <c r="O336" i="45" s="1"/>
  <c r="N169" i="46"/>
  <c r="Q169" i="46" s="1"/>
  <c r="O232" i="45" s="1"/>
  <c r="N526" i="46"/>
  <c r="Q526" i="46" s="1"/>
  <c r="N195" i="46"/>
  <c r="Q195" i="46" s="1"/>
  <c r="O273" i="45" s="1"/>
  <c r="N566" i="46"/>
  <c r="Q566" i="46" s="1"/>
  <c r="N283" i="46"/>
  <c r="Q283" i="46" s="1"/>
  <c r="N552" i="46"/>
  <c r="Q552" i="46" s="1"/>
  <c r="N194" i="46"/>
  <c r="Q194" i="46" s="1"/>
  <c r="O272" i="45" s="1"/>
  <c r="N582" i="46"/>
  <c r="Q582" i="46" s="1"/>
  <c r="O403" i="45" s="1"/>
  <c r="N60" i="46"/>
  <c r="Q60" i="46" s="1"/>
  <c r="O84" i="45" s="1"/>
  <c r="N770" i="46"/>
  <c r="Q770" i="46" s="1"/>
  <c r="O558" i="45" s="1"/>
  <c r="N118" i="46"/>
  <c r="Q118" i="46" s="1"/>
  <c r="O162" i="45" s="1"/>
  <c r="N180" i="46"/>
  <c r="Q180" i="46" s="1"/>
  <c r="O251" i="45" s="1"/>
  <c r="N704" i="46"/>
  <c r="Q704" i="46" s="1"/>
  <c r="M592" i="45" s="1"/>
  <c r="N242" i="46"/>
  <c r="Q242" i="46" s="1"/>
  <c r="O339" i="45" s="1"/>
  <c r="N152" i="46"/>
  <c r="N319" i="46"/>
  <c r="Q319" i="46" s="1"/>
  <c r="M434" i="45" s="1"/>
  <c r="N452" i="46"/>
  <c r="Q452" i="46" s="1"/>
  <c r="M637" i="45" s="1"/>
  <c r="N738" i="46"/>
  <c r="Q738" i="46" s="1"/>
  <c r="O519" i="45" s="1"/>
  <c r="N244" i="46"/>
  <c r="Q244" i="46" s="1"/>
  <c r="O341" i="45" s="1"/>
  <c r="N409" i="46"/>
  <c r="Q409" i="46" s="1"/>
  <c r="K560" i="45" s="1"/>
  <c r="N196" i="46"/>
  <c r="Q196" i="46" s="1"/>
  <c r="O274" i="45" s="1"/>
  <c r="N535" i="46"/>
  <c r="Q535" i="46" s="1"/>
  <c r="N173" i="46"/>
  <c r="Q173" i="46" s="1"/>
  <c r="O236" i="45" s="1"/>
  <c r="N593" i="46"/>
  <c r="Q593" i="46" s="1"/>
  <c r="O418" i="45" s="1"/>
  <c r="N302" i="46"/>
  <c r="Q302" i="46" s="1"/>
  <c r="M415" i="45" s="1"/>
  <c r="N19" i="46"/>
  <c r="Q19" i="46" s="1"/>
  <c r="O25" i="45" s="1"/>
  <c r="N448" i="46"/>
  <c r="Q448" i="46" s="1"/>
  <c r="M632" i="45" s="1"/>
  <c r="N157" i="46"/>
  <c r="Q157" i="46" s="1"/>
  <c r="N583" i="46"/>
  <c r="Q583" i="46" s="1"/>
  <c r="O407" i="45" s="1"/>
  <c r="N746" i="46"/>
  <c r="N133" i="46"/>
  <c r="Q133" i="46" s="1"/>
  <c r="O185" i="45" s="1"/>
  <c r="N220" i="46"/>
  <c r="N574" i="46"/>
  <c r="Q574" i="46" s="1"/>
  <c r="O393" i="45" s="1"/>
  <c r="N209" i="46"/>
  <c r="Q209" i="46" s="1"/>
  <c r="O289" i="45" s="1"/>
  <c r="N655" i="46"/>
  <c r="Q655" i="46" s="1"/>
  <c r="M534" i="45" s="1"/>
  <c r="N400" i="46"/>
  <c r="Q400" i="46" s="1"/>
  <c r="K543" i="45" s="1"/>
  <c r="N562" i="46"/>
  <c r="Q562" i="46" s="1"/>
  <c r="N262" i="46"/>
  <c r="Q262" i="46" s="1"/>
  <c r="O364" i="45" s="1"/>
  <c r="N325" i="46"/>
  <c r="Q325" i="46" s="1"/>
  <c r="M441" i="45" s="1"/>
  <c r="N14" i="46"/>
  <c r="Q14" i="46" s="1"/>
  <c r="O19" i="45" s="1"/>
  <c r="N279" i="46"/>
  <c r="Q279" i="46" s="1"/>
  <c r="O383" i="45" s="1"/>
  <c r="N48" i="46"/>
  <c r="Q48" i="46" s="1"/>
  <c r="O70" i="45" s="1"/>
  <c r="N674" i="46"/>
  <c r="Q674" i="46" s="1"/>
  <c r="M557" i="45" s="1"/>
  <c r="N25" i="46"/>
  <c r="Q25" i="46" s="1"/>
  <c r="O37" i="45" s="1"/>
  <c r="N559" i="46"/>
  <c r="Q559" i="46" s="1"/>
  <c r="N200" i="46"/>
  <c r="Q200" i="46" s="1"/>
  <c r="O279" i="45" s="1"/>
  <c r="N722" i="46"/>
  <c r="Q722" i="46" s="1"/>
  <c r="O678" i="45" s="1"/>
  <c r="N52" i="46"/>
  <c r="Q52" i="46" s="1"/>
  <c r="O75" i="45" s="1"/>
  <c r="N359" i="46"/>
  <c r="Q359" i="46" s="1"/>
  <c r="O493" i="45" s="1"/>
  <c r="N299" i="46"/>
  <c r="Q299" i="46" s="1"/>
  <c r="M412" i="45" s="1"/>
  <c r="N696" i="46"/>
  <c r="Q696" i="46" s="1"/>
  <c r="M581" i="45" s="1"/>
  <c r="N68" i="46"/>
  <c r="Q68" i="46" s="1"/>
  <c r="O96" i="45" s="1"/>
  <c r="N763" i="46"/>
  <c r="Q763" i="46" s="1"/>
  <c r="O551" i="45" s="1"/>
  <c r="N465" i="46"/>
  <c r="Q465" i="46" s="1"/>
  <c r="O650" i="45" s="1"/>
  <c r="N352" i="46"/>
  <c r="Q352" i="46" s="1"/>
  <c r="M485" i="45" s="1"/>
  <c r="N597" i="46"/>
  <c r="Q597" i="46" s="1"/>
  <c r="O423" i="45" s="1"/>
  <c r="N760" i="46"/>
  <c r="Q760" i="46" s="1"/>
  <c r="O547" i="45" s="1"/>
  <c r="N404" i="46"/>
  <c r="Q404" i="46" s="1"/>
  <c r="K548" i="45" s="1"/>
  <c r="N127" i="46"/>
  <c r="Q127" i="46" s="1"/>
  <c r="O176" i="45" s="1"/>
  <c r="N454" i="46"/>
  <c r="Q454" i="46" s="1"/>
  <c r="M639" i="45" s="1"/>
  <c r="N39" i="46"/>
  <c r="Q39" i="46" s="1"/>
  <c r="O58" i="45" s="1"/>
  <c r="N237" i="46"/>
  <c r="Q237" i="46" s="1"/>
  <c r="O333" i="45" s="1"/>
  <c r="N775" i="46"/>
  <c r="Q775" i="46" s="1"/>
  <c r="O564" i="45" s="1"/>
  <c r="N462" i="46"/>
  <c r="Q462" i="46" s="1"/>
  <c r="O647" i="45" s="1"/>
  <c r="N275" i="46"/>
  <c r="Q275" i="46" s="1"/>
  <c r="O379" i="45" s="1"/>
  <c r="N501" i="46"/>
  <c r="Q501" i="46" s="1"/>
  <c r="N192" i="46"/>
  <c r="Q192" i="46" s="1"/>
  <c r="O269" i="45" s="1"/>
  <c r="N149" i="46"/>
  <c r="Q149" i="46" s="1"/>
  <c r="O208" i="45" s="1"/>
  <c r="N678" i="46"/>
  <c r="Q678" i="46" s="1"/>
  <c r="M562" i="45" s="1"/>
  <c r="N549" i="46"/>
  <c r="Q549" i="46" s="1"/>
  <c r="N143" i="46"/>
  <c r="Q143" i="46" s="1"/>
  <c r="O200" i="45" s="1"/>
  <c r="N293" i="46"/>
  <c r="Q293" i="46" s="1"/>
  <c r="M403" i="45" s="1"/>
  <c r="N607" i="46"/>
  <c r="Q607" i="46" s="1"/>
  <c r="O434" i="45" s="1"/>
  <c r="N630" i="46"/>
  <c r="Q630" i="46" s="1"/>
  <c r="O470" i="45" s="1"/>
  <c r="N109" i="46"/>
  <c r="Q109" i="46" s="1"/>
  <c r="O150" i="45" s="1"/>
  <c r="N543" i="46"/>
  <c r="Q543" i="46" s="1"/>
  <c r="N519" i="46"/>
  <c r="Q519" i="46" s="1"/>
  <c r="N269" i="46"/>
  <c r="Q269" i="46" s="1"/>
  <c r="O371" i="45" s="1"/>
  <c r="N246" i="46"/>
  <c r="Q246" i="46" s="1"/>
  <c r="O343" i="45" s="1"/>
  <c r="N172" i="46"/>
  <c r="Q172" i="46" s="1"/>
  <c r="O235" i="45" s="1"/>
  <c r="N503" i="46"/>
  <c r="Q503" i="46" s="1"/>
  <c r="N212" i="46"/>
  <c r="Q212" i="46" s="1"/>
  <c r="O293" i="45" s="1"/>
  <c r="N480" i="46"/>
  <c r="Q480" i="46" s="1"/>
  <c r="O668" i="45" s="1"/>
  <c r="N805" i="46"/>
  <c r="N272" i="46"/>
  <c r="Q272" i="46" s="1"/>
  <c r="O374" i="45" s="1"/>
  <c r="N350" i="46"/>
  <c r="Q350" i="46" s="1"/>
  <c r="M483" i="45" s="1"/>
  <c r="N498" i="46"/>
  <c r="Q498" i="46" s="1"/>
  <c r="N217" i="46"/>
  <c r="Q217" i="46" s="1"/>
  <c r="O303" i="45" s="1"/>
  <c r="N349" i="46"/>
  <c r="Q349" i="46" s="1"/>
  <c r="M482" i="45" s="1"/>
  <c r="N703" i="46"/>
  <c r="Q703" i="46" s="1"/>
  <c r="M590" i="45" s="1"/>
  <c r="N560" i="46"/>
  <c r="Q560" i="46" s="1"/>
  <c r="N6" i="46"/>
  <c r="Q6" i="46" s="1"/>
  <c r="O10" i="45" s="1"/>
  <c r="N258" i="46"/>
  <c r="Q258" i="46" s="1"/>
  <c r="O358" i="45" s="1"/>
  <c r="N494" i="46"/>
  <c r="Q494" i="46" s="1"/>
  <c r="N488" i="46"/>
  <c r="Q488" i="46" s="1"/>
  <c r="M677" i="45" s="1"/>
  <c r="N38" i="46"/>
  <c r="Q38" i="46" s="1"/>
  <c r="O56" i="45" s="1"/>
  <c r="N541" i="46"/>
  <c r="Q541" i="46" s="1"/>
  <c r="N166" i="46"/>
  <c r="Q166" i="46" s="1"/>
  <c r="O228" i="45" s="1"/>
  <c r="N427" i="46"/>
  <c r="Q427" i="46" s="1"/>
  <c r="K596" i="45" s="1"/>
  <c r="N670" i="46"/>
  <c r="Q670" i="46" s="1"/>
  <c r="M553" i="45" s="1"/>
  <c r="N277" i="46"/>
  <c r="Q277" i="46" s="1"/>
  <c r="O381" i="45" s="1"/>
  <c r="N411" i="46"/>
  <c r="Q411" i="46" s="1"/>
  <c r="K563" i="45" s="1"/>
  <c r="N816" i="46"/>
  <c r="Q816" i="46" s="1"/>
  <c r="O621" i="45" s="1"/>
  <c r="N75" i="46"/>
  <c r="Q75" i="46" s="1"/>
  <c r="O107" i="45" s="1"/>
  <c r="N223" i="46"/>
  <c r="Q223" i="46" s="1"/>
  <c r="O313" i="45" s="1"/>
  <c r="N181" i="46"/>
  <c r="Q181" i="46" s="1"/>
  <c r="O252" i="45" s="1"/>
  <c r="N42" i="46"/>
  <c r="Q42" i="46" s="1"/>
  <c r="O62" i="45" s="1"/>
  <c r="N30" i="46"/>
  <c r="Q30" i="46" s="1"/>
  <c r="O45" i="45" s="1"/>
  <c r="N406" i="46"/>
  <c r="Q406" i="46" s="1"/>
  <c r="K552" i="45" s="1"/>
  <c r="N431" i="46"/>
  <c r="Q431" i="46" s="1"/>
  <c r="K601" i="45" s="1"/>
  <c r="N762" i="46"/>
  <c r="Q762" i="46" s="1"/>
  <c r="O549" i="45" s="1"/>
  <c r="N33" i="46"/>
  <c r="Q33" i="46" s="1"/>
  <c r="O50" i="45" s="1"/>
  <c r="N334" i="46"/>
  <c r="Q334" i="46" s="1"/>
  <c r="M456" i="45" s="1"/>
  <c r="N437" i="46"/>
  <c r="Q437" i="46" s="1"/>
  <c r="M613" i="45" s="1"/>
  <c r="N16" i="46"/>
  <c r="Q16" i="46" s="1"/>
  <c r="O22" i="45" s="1"/>
  <c r="N628" i="46"/>
  <c r="Q628" i="46" s="1"/>
  <c r="O466" i="45" s="1"/>
  <c r="N342" i="46"/>
  <c r="Q342" i="46" s="1"/>
  <c r="M470" i="45" s="1"/>
  <c r="N556" i="46"/>
  <c r="Q556" i="46" s="1"/>
  <c r="N199" i="46"/>
  <c r="Q199" i="46" s="1"/>
  <c r="O278" i="45" s="1"/>
  <c r="N555" i="46"/>
  <c r="Q555" i="46" s="1"/>
  <c r="N193" i="46"/>
  <c r="Q193" i="46" s="1"/>
  <c r="O270" i="45" s="1"/>
  <c r="N315" i="46"/>
  <c r="Q315" i="46" s="1"/>
  <c r="M429" i="45" s="1"/>
  <c r="N663" i="46"/>
  <c r="Q663" i="46" s="1"/>
  <c r="M544" i="45" s="1"/>
  <c r="N716" i="46"/>
  <c r="Q716" i="46" s="1"/>
  <c r="N81" i="46"/>
  <c r="Q81" i="46" s="1"/>
  <c r="O116" i="45" s="1"/>
  <c r="N371" i="46"/>
  <c r="Q371" i="46" s="1"/>
  <c r="K509" i="45" s="1"/>
  <c r="N112" i="46"/>
  <c r="Q112" i="46" s="1"/>
  <c r="O155" i="45" s="1"/>
  <c r="N222" i="46"/>
  <c r="Q222" i="46" s="1"/>
  <c r="O312" i="45" s="1"/>
  <c r="N792" i="46"/>
  <c r="Q792" i="46" s="1"/>
  <c r="O583" i="45" s="1"/>
  <c r="N601" i="46"/>
  <c r="Q601" i="46" s="1"/>
  <c r="O427" i="45" s="1"/>
  <c r="N689" i="46"/>
  <c r="Q689" i="46" s="1"/>
  <c r="M574" i="45" s="1"/>
  <c r="N64" i="46"/>
  <c r="Q64" i="46" s="1"/>
  <c r="O91" i="45" s="1"/>
  <c r="N171" i="46"/>
  <c r="Q171" i="46" s="1"/>
  <c r="O234" i="45" s="1"/>
  <c r="N252" i="46"/>
  <c r="Q252" i="46" s="1"/>
  <c r="N413" i="46"/>
  <c r="Q413" i="46" s="1"/>
  <c r="K569" i="45" s="1"/>
  <c r="N515" i="46"/>
  <c r="Q515" i="46" s="1"/>
  <c r="N625" i="46"/>
  <c r="Q625" i="46" s="1"/>
  <c r="O462" i="45" s="1"/>
  <c r="N348" i="46"/>
  <c r="Q348" i="46" s="1"/>
  <c r="M480" i="45" s="1"/>
  <c r="N638" i="46"/>
  <c r="Q638" i="46" s="1"/>
  <c r="O483" i="45" s="1"/>
  <c r="N292" i="46"/>
  <c r="Q292" i="46" s="1"/>
  <c r="M402" i="45" s="1"/>
  <c r="N567" i="46"/>
  <c r="Q567" i="46" s="1"/>
  <c r="N581" i="46"/>
  <c r="Q581" i="46" s="1"/>
  <c r="O402" i="45" s="1"/>
  <c r="N198" i="46"/>
  <c r="Q198" i="46" s="1"/>
  <c r="O277" i="45" s="1"/>
  <c r="N759" i="46"/>
  <c r="Q759" i="46" s="1"/>
  <c r="O546" i="45" s="1"/>
  <c r="N718" i="46"/>
  <c r="Q718" i="46" s="1"/>
  <c r="O674" i="45" s="1"/>
  <c r="N387" i="46"/>
  <c r="Q387" i="46" s="1"/>
  <c r="K526" i="45" s="1"/>
  <c r="N270" i="46"/>
  <c r="Q270" i="46" s="1"/>
  <c r="O372" i="45" s="1"/>
  <c r="N148" i="46"/>
  <c r="Q148" i="46" s="1"/>
  <c r="O206" i="45" s="1"/>
  <c r="N439" i="46"/>
  <c r="Q439" i="46" s="1"/>
  <c r="M617" i="45" s="1"/>
  <c r="N769" i="46"/>
  <c r="Q769" i="46" s="1"/>
  <c r="O557" i="45" s="1"/>
  <c r="N225" i="46"/>
  <c r="Q225" i="46" s="1"/>
  <c r="O316" i="45" s="1"/>
  <c r="N257" i="46"/>
  <c r="Q257" i="46" s="1"/>
  <c r="O357" i="45" s="1"/>
  <c r="N92" i="46"/>
  <c r="Q92" i="46" s="1"/>
  <c r="O128" i="45" s="1"/>
  <c r="N203" i="46"/>
  <c r="Q203" i="46" s="1"/>
  <c r="O283" i="45" s="1"/>
  <c r="N326" i="46"/>
  <c r="Q326" i="46" s="1"/>
  <c r="M443" i="45" s="1"/>
  <c r="N472" i="46"/>
  <c r="Q472" i="46" s="1"/>
  <c r="N697" i="46"/>
  <c r="N531" i="46"/>
  <c r="Q531" i="46" s="1"/>
  <c r="N79" i="46"/>
  <c r="N700" i="46"/>
  <c r="N343" i="46"/>
  <c r="Q343" i="46" s="1"/>
  <c r="M472" i="45" s="1"/>
  <c r="N652" i="46"/>
  <c r="Q652" i="46" s="1"/>
  <c r="M531" i="45" s="1"/>
  <c r="N356" i="46"/>
  <c r="Q356" i="46" s="1"/>
  <c r="O490" i="45" s="1"/>
  <c r="N396" i="46"/>
  <c r="Q396" i="46" s="1"/>
  <c r="K538" i="45" s="1"/>
  <c r="N126" i="46"/>
  <c r="Q126" i="46" s="1"/>
  <c r="O174" i="45" s="1"/>
  <c r="N410" i="46"/>
  <c r="Q410" i="46" s="1"/>
  <c r="K562" i="45" s="1"/>
  <c r="N647" i="46"/>
  <c r="Q647" i="46" s="1"/>
  <c r="M524" i="45" s="1"/>
  <c r="N467" i="46"/>
  <c r="Q467" i="46" s="1"/>
  <c r="O652" i="45" s="1"/>
  <c r="N524" i="46"/>
  <c r="Q524" i="46" s="1"/>
  <c r="N476" i="46"/>
  <c r="N587" i="46"/>
  <c r="Q587" i="46" s="1"/>
  <c r="O412" i="45" s="1"/>
  <c r="N712" i="46"/>
  <c r="Q712" i="46" s="1"/>
  <c r="M603" i="45" s="1"/>
  <c r="N328" i="46"/>
  <c r="Q328" i="46" s="1"/>
  <c r="M445" i="45" s="1"/>
  <c r="N641" i="46"/>
  <c r="Q641" i="46" s="1"/>
  <c r="O487" i="45" s="1"/>
  <c r="N604" i="46"/>
  <c r="Q604" i="46" s="1"/>
  <c r="O431" i="45" s="1"/>
  <c r="N366" i="46"/>
  <c r="Q366" i="46" s="1"/>
  <c r="O502" i="45" s="1"/>
  <c r="N620" i="46"/>
  <c r="Q620" i="46" s="1"/>
  <c r="O450" i="45" s="1"/>
  <c r="N432" i="46"/>
  <c r="Q432" i="46" s="1"/>
  <c r="K602" i="45" s="1"/>
  <c r="N622" i="46"/>
  <c r="Q622" i="46" s="1"/>
  <c r="O456" i="45" s="1"/>
  <c r="N523" i="46"/>
  <c r="Q523" i="46" s="1"/>
  <c r="N677" i="46"/>
  <c r="Q677" i="46" s="1"/>
  <c r="M560" i="45" s="1"/>
  <c r="N332" i="46"/>
  <c r="Q332" i="46" s="1"/>
  <c r="M450" i="45" s="1"/>
  <c r="N63" i="46"/>
  <c r="Q63" i="46" s="1"/>
  <c r="O89" i="45" s="1"/>
  <c r="N278" i="46"/>
  <c r="Q278" i="46" s="1"/>
  <c r="O382" i="45" s="1"/>
  <c r="N477" i="46"/>
  <c r="N565" i="46"/>
  <c r="N456" i="46"/>
  <c r="Q456" i="46" s="1"/>
  <c r="M641" i="45" s="1"/>
  <c r="N569" i="46"/>
  <c r="Q569" i="46" s="1"/>
  <c r="N8" i="46"/>
  <c r="Q8" i="46" s="1"/>
  <c r="O12" i="45" s="1"/>
  <c r="N497" i="46"/>
  <c r="Q497" i="46" s="1"/>
  <c r="N316" i="46"/>
  <c r="Q316" i="46" s="1"/>
  <c r="M431" i="45" s="1"/>
  <c r="N375" i="46"/>
  <c r="Q375" i="46" s="1"/>
  <c r="K513" i="45" s="1"/>
  <c r="N389" i="46"/>
  <c r="Q389" i="46" s="1"/>
  <c r="K528" i="45" s="1"/>
  <c r="N187" i="46"/>
  <c r="Q187" i="46" s="1"/>
  <c r="O261" i="45" s="1"/>
  <c r="N671" i="46"/>
  <c r="Q671" i="46" s="1"/>
  <c r="M554" i="45" s="1"/>
  <c r="N449" i="46"/>
  <c r="Q449" i="46" s="1"/>
  <c r="M634" i="45" s="1"/>
  <c r="N422" i="46"/>
  <c r="Q422" i="46" s="1"/>
  <c r="K586" i="45" s="1"/>
  <c r="N37" i="46"/>
  <c r="Q37" i="46" s="1"/>
  <c r="O55" i="45" s="1"/>
  <c r="N542" i="46"/>
  <c r="Q542" i="46" s="1"/>
  <c r="N54" i="46"/>
  <c r="Q54" i="46" s="1"/>
  <c r="O77" i="45" s="1"/>
  <c r="N96" i="46"/>
  <c r="Q96" i="46" s="1"/>
  <c r="O133" i="45" s="1"/>
  <c r="N573" i="46"/>
  <c r="Q573" i="46" s="1"/>
  <c r="N603" i="46"/>
  <c r="Q603" i="46" s="1"/>
  <c r="O429" i="45" s="1"/>
  <c r="N457" i="46"/>
  <c r="Q457" i="46" s="1"/>
  <c r="N125" i="46"/>
  <c r="Q125" i="46" s="1"/>
  <c r="O173" i="45" s="1"/>
  <c r="N327" i="46"/>
  <c r="Q327" i="46" s="1"/>
  <c r="M444" i="45" s="1"/>
  <c r="N297" i="46"/>
  <c r="Q297" i="46" s="1"/>
  <c r="M410" i="45" s="1"/>
  <c r="N232" i="46"/>
  <c r="Q232" i="46" s="1"/>
  <c r="O327" i="45" s="1"/>
  <c r="N314" i="46"/>
  <c r="Q314" i="46" s="1"/>
  <c r="M428" i="45" s="1"/>
  <c r="N306" i="46"/>
  <c r="Q306" i="46" s="1"/>
  <c r="M420" i="45" s="1"/>
  <c r="N78" i="46"/>
  <c r="Q78" i="46" s="1"/>
  <c r="O111" i="45" s="1"/>
  <c r="N397" i="46"/>
  <c r="Q397" i="46" s="1"/>
  <c r="K539" i="45" s="1"/>
  <c r="N419" i="46"/>
  <c r="Q419" i="46" s="1"/>
  <c r="K583" i="45" s="1"/>
  <c r="N378" i="46"/>
  <c r="Q378" i="46" s="1"/>
  <c r="K516" i="45" s="1"/>
  <c r="N331" i="46"/>
  <c r="Q331" i="46" s="1"/>
  <c r="M449" i="45" s="1"/>
  <c r="N294" i="46"/>
  <c r="Q294" i="46" s="1"/>
  <c r="N801" i="46"/>
  <c r="O605" i="45" l="1"/>
  <c r="P605" i="45" s="1"/>
  <c r="N121" i="46"/>
  <c r="Q121" i="46" s="1"/>
  <c r="O166" i="45" s="1"/>
  <c r="N267" i="46"/>
  <c r="Q267" i="46" s="1"/>
  <c r="O369" i="45" s="1"/>
  <c r="N322" i="46"/>
  <c r="Q322" i="46" s="1"/>
  <c r="M437" i="45" s="1"/>
  <c r="N665" i="46"/>
  <c r="Q665" i="46" s="1"/>
  <c r="M547" i="45" s="1"/>
  <c r="N434" i="46"/>
  <c r="Q434" i="46" s="1"/>
  <c r="K605" i="45" s="1"/>
  <c r="N455" i="46"/>
  <c r="Q455" i="46" s="1"/>
  <c r="M640" i="45" s="1"/>
  <c r="N253" i="46"/>
  <c r="Q253" i="46" s="1"/>
  <c r="O352" i="45" s="1"/>
  <c r="N273" i="46"/>
  <c r="Q273" i="46" s="1"/>
  <c r="O377" i="45" s="1"/>
  <c r="N474" i="46"/>
  <c r="Q474" i="46" s="1"/>
  <c r="N101" i="46"/>
  <c r="Q101" i="46" s="1"/>
  <c r="O139" i="45" s="1"/>
  <c r="N95" i="46"/>
  <c r="Q95" i="46" s="1"/>
  <c r="O132" i="45" s="1"/>
  <c r="N189" i="46"/>
  <c r="Q189" i="46" s="1"/>
  <c r="O265" i="45" s="1"/>
  <c r="N405" i="46"/>
  <c r="Q405" i="46" s="1"/>
  <c r="K549" i="45" s="1"/>
  <c r="N190" i="46"/>
  <c r="Q190" i="46" s="1"/>
  <c r="O267" i="45" s="1"/>
  <c r="N509" i="46"/>
  <c r="Q509" i="46" s="1"/>
  <c r="N61" i="46"/>
  <c r="Q61" i="46" s="1"/>
  <c r="O87" i="45" s="1"/>
  <c r="N354" i="46"/>
  <c r="Q354" i="46" s="1"/>
  <c r="N231" i="46"/>
  <c r="Q231" i="46" s="1"/>
  <c r="O325" i="45" s="1"/>
  <c r="N276" i="46"/>
  <c r="Q276" i="46" s="1"/>
  <c r="O380" i="45" s="1"/>
  <c r="N781" i="46"/>
  <c r="Q781" i="46" s="1"/>
  <c r="O571" i="45" s="1"/>
  <c r="N201" i="46"/>
  <c r="Q201" i="46" s="1"/>
  <c r="O280" i="45" s="1"/>
  <c r="N140" i="46"/>
  <c r="Q140" i="46" s="1"/>
  <c r="O196" i="45" s="1"/>
  <c r="N435" i="46"/>
  <c r="Q435" i="46" s="1"/>
  <c r="M610" i="45" s="1"/>
  <c r="N301" i="46"/>
  <c r="Q301" i="46" s="1"/>
  <c r="M414" i="45" s="1"/>
  <c r="N286" i="46"/>
  <c r="Q286" i="46" s="1"/>
  <c r="M394" i="45" s="1"/>
  <c r="N298" i="46"/>
  <c r="Q298" i="46" s="1"/>
  <c r="M411" i="45" s="1"/>
  <c r="N483" i="46"/>
  <c r="Q483" i="46" s="1"/>
  <c r="O671" i="45" s="1"/>
  <c r="N787" i="46"/>
  <c r="N695" i="46"/>
  <c r="Q695" i="46" s="1"/>
  <c r="M580" i="45" s="1"/>
  <c r="N579" i="46"/>
  <c r="Q579" i="46" s="1"/>
  <c r="O400" i="45" s="1"/>
  <c r="N720" i="46"/>
  <c r="Q720" i="46" s="1"/>
  <c r="O676" i="45" s="1"/>
  <c r="N735" i="46"/>
  <c r="Q735" i="46" s="1"/>
  <c r="O509" i="45" s="1"/>
  <c r="N73" i="46"/>
  <c r="Q73" i="46" s="1"/>
  <c r="O104" i="45" s="1"/>
  <c r="N464" i="46"/>
  <c r="Q464" i="46" s="1"/>
  <c r="O649" i="45" s="1"/>
  <c r="N53" i="46"/>
  <c r="Q53" i="46" s="1"/>
  <c r="O76" i="45" s="1"/>
  <c r="N686" i="46"/>
  <c r="Q686" i="46" s="1"/>
  <c r="N725" i="46"/>
  <c r="Q725" i="46" s="1"/>
  <c r="O682" i="45" s="1"/>
  <c r="N777" i="46"/>
  <c r="Q777" i="46" s="1"/>
  <c r="O566" i="45" s="1"/>
  <c r="N146" i="46"/>
  <c r="Q146" i="46" s="1"/>
  <c r="O204" i="45" s="1"/>
  <c r="N338" i="46"/>
  <c r="Q338" i="46" s="1"/>
  <c r="M463" i="45" s="1"/>
  <c r="N800" i="46"/>
  <c r="Q800" i="46" s="1"/>
  <c r="O596" i="45" s="1"/>
  <c r="N463" i="46"/>
  <c r="Q463" i="46" s="1"/>
  <c r="O648" i="45" s="1"/>
  <c r="N228" i="46"/>
  <c r="Q228" i="46" s="1"/>
  <c r="O322" i="45" s="1"/>
  <c r="N386" i="46"/>
  <c r="Q386" i="46" s="1"/>
  <c r="K525" i="45" s="1"/>
  <c r="N362" i="46"/>
  <c r="Q362" i="46" s="1"/>
  <c r="O498" i="45" s="1"/>
  <c r="N765" i="46"/>
  <c r="Q765" i="46" s="1"/>
  <c r="O553" i="45" s="1"/>
  <c r="N646" i="46"/>
  <c r="Q646" i="46" s="1"/>
  <c r="M523" i="45" s="1"/>
  <c r="N554" i="46"/>
  <c r="Q554" i="46" s="1"/>
  <c r="N205" i="46"/>
  <c r="Q205" i="46" s="1"/>
  <c r="O285" i="45" s="1"/>
  <c r="N755" i="46"/>
  <c r="Q755" i="46" s="1"/>
  <c r="O540" i="45" s="1"/>
  <c r="N717" i="46"/>
  <c r="Q717" i="46" s="1"/>
  <c r="O673" i="45" s="1"/>
  <c r="N219" i="46"/>
  <c r="Q219" i="46" s="1"/>
  <c r="O306" i="45" s="1"/>
  <c r="N803" i="46"/>
  <c r="Q803" i="46" s="1"/>
  <c r="O600" i="45" s="1"/>
  <c r="N216" i="46"/>
  <c r="Q216" i="46" s="1"/>
  <c r="O302" i="45" s="1"/>
  <c r="N446" i="46"/>
  <c r="Q446" i="46" s="1"/>
  <c r="M628" i="45" s="1"/>
  <c r="N668" i="46"/>
  <c r="Q668" i="46" s="1"/>
  <c r="M551" i="45" s="1"/>
  <c r="N645" i="46"/>
  <c r="N642" i="46"/>
  <c r="Q642" i="46" s="1"/>
  <c r="M509" i="45" s="1"/>
  <c r="N653" i="46"/>
  <c r="Q653" i="46" s="1"/>
  <c r="M532" i="45" s="1"/>
  <c r="N752" i="46"/>
  <c r="Q752" i="46" s="1"/>
  <c r="O537" i="45" s="1"/>
  <c r="N482" i="46"/>
  <c r="Q482" i="46" s="1"/>
  <c r="O670" i="45" s="1"/>
  <c r="N806" i="46"/>
  <c r="N596" i="46"/>
  <c r="Q596" i="46" s="1"/>
  <c r="O422" i="45" s="1"/>
  <c r="N393" i="46"/>
  <c r="Q393" i="46" s="1"/>
  <c r="K534" i="45" s="1"/>
  <c r="N748" i="46"/>
  <c r="Q748" i="46" s="1"/>
  <c r="N440" i="46"/>
  <c r="Q440" i="46" s="1"/>
  <c r="M618" i="45" s="1"/>
  <c r="N475" i="46"/>
  <c r="Q475" i="46" s="1"/>
  <c r="O663" i="45" s="1"/>
  <c r="N508" i="46"/>
  <c r="Q508" i="46" s="1"/>
  <c r="N281" i="46"/>
  <c r="Q281" i="46" s="1"/>
  <c r="O385" i="45" s="1"/>
  <c r="N442" i="46"/>
  <c r="Q442" i="46" s="1"/>
  <c r="M621" i="45" s="1"/>
  <c r="N687" i="46"/>
  <c r="Q687" i="46" s="1"/>
  <c r="M571" i="45" s="1"/>
  <c r="N827" i="46"/>
  <c r="Q827" i="46" s="1"/>
  <c r="O638" i="45" s="1"/>
  <c r="N369" i="46"/>
  <c r="Q369" i="46" s="1"/>
  <c r="K507" i="45" s="1"/>
  <c r="N9" i="46"/>
  <c r="Q9" i="46" s="1"/>
  <c r="O13" i="45" s="1"/>
  <c r="N599" i="46"/>
  <c r="Q599" i="46" s="1"/>
  <c r="O425" i="45" s="1"/>
  <c r="N337" i="46"/>
  <c r="Q337" i="46" s="1"/>
  <c r="M462" i="45" s="1"/>
  <c r="N429" i="46"/>
  <c r="N659" i="46"/>
  <c r="Q659" i="46" s="1"/>
  <c r="M539" i="45" s="1"/>
  <c r="N786" i="46"/>
  <c r="N820" i="46"/>
  <c r="Q820" i="46" s="1"/>
  <c r="O628" i="45" s="1"/>
  <c r="N539" i="46"/>
  <c r="Q539" i="46" s="1"/>
  <c r="N416" i="46"/>
  <c r="Q416" i="46" s="1"/>
  <c r="K576" i="45" s="1"/>
  <c r="N553" i="46"/>
  <c r="Q553" i="46" s="1"/>
  <c r="N473" i="46"/>
  <c r="Q473" i="46" s="1"/>
  <c r="O661" i="45" s="1"/>
  <c r="N458" i="46"/>
  <c r="Q458" i="46" s="1"/>
  <c r="N159" i="46"/>
  <c r="Q159" i="46" s="1"/>
  <c r="O221" i="45" s="1"/>
  <c r="N12" i="46"/>
  <c r="Q12" i="46" s="1"/>
  <c r="O17" i="45" s="1"/>
  <c r="N147" i="46"/>
  <c r="Q147" i="46" s="1"/>
  <c r="O205" i="45" s="1"/>
  <c r="N122" i="46"/>
  <c r="Q122" i="46" s="1"/>
  <c r="O167" i="45" s="1"/>
  <c r="N486" i="46"/>
  <c r="Q486" i="46" s="1"/>
  <c r="M675" i="45" s="1"/>
  <c r="N100" i="46"/>
  <c r="Q100" i="46" s="1"/>
  <c r="O138" i="45" s="1"/>
  <c r="N204" i="46"/>
  <c r="Q204" i="46" s="1"/>
  <c r="O284" i="45" s="1"/>
  <c r="N176" i="46"/>
  <c r="Q176" i="46" s="1"/>
  <c r="O244" i="45" s="1"/>
  <c r="N634" i="46"/>
  <c r="Q634" i="46" s="1"/>
  <c r="O477" i="45" s="1"/>
  <c r="N813" i="46"/>
  <c r="Q813" i="46" s="1"/>
  <c r="O617" i="45" s="1"/>
  <c r="N586" i="46"/>
  <c r="Q586" i="46" s="1"/>
  <c r="O411" i="45" s="1"/>
  <c r="N150" i="46"/>
  <c r="Q150" i="46" s="1"/>
  <c r="O209" i="45" s="1"/>
  <c r="N111" i="46"/>
  <c r="Q111" i="46" s="1"/>
  <c r="O154" i="45" s="1"/>
  <c r="N401" i="46"/>
  <c r="Q401" i="46" s="1"/>
  <c r="K544" i="45" s="1"/>
  <c r="N757" i="46"/>
  <c r="Q757" i="46" s="1"/>
  <c r="O543" i="45" s="1"/>
  <c r="N811" i="46"/>
  <c r="Q811" i="46" s="1"/>
  <c r="O613" i="45" s="1"/>
  <c r="N479" i="46"/>
  <c r="N376" i="46"/>
  <c r="Q376" i="46" s="1"/>
  <c r="K514" i="45" s="1"/>
  <c r="N263" i="46"/>
  <c r="Q263" i="46" s="1"/>
  <c r="O365" i="45" s="1"/>
  <c r="N571" i="46"/>
  <c r="Q571" i="46" s="1"/>
  <c r="N615" i="46"/>
  <c r="Q615" i="46" s="1"/>
  <c r="O444" i="45" s="1"/>
  <c r="N522" i="46"/>
  <c r="Q522" i="46" s="1"/>
  <c r="N323" i="46"/>
  <c r="Q323" i="46" s="1"/>
  <c r="M438" i="45" s="1"/>
  <c r="N830" i="46"/>
  <c r="Q830" i="46" s="1"/>
  <c r="O641" i="45" s="1"/>
  <c r="N229" i="46"/>
  <c r="Q229" i="46" s="1"/>
  <c r="O323" i="45" s="1"/>
  <c r="N538" i="46"/>
  <c r="Q538" i="46" s="1"/>
  <c r="N640" i="46"/>
  <c r="Q640" i="46" s="1"/>
  <c r="O485" i="45" s="1"/>
  <c r="N124" i="46"/>
  <c r="Q124" i="46" s="1"/>
  <c r="O171" i="45" s="1"/>
  <c r="N510" i="46"/>
  <c r="Q510" i="46" s="1"/>
  <c r="N254" i="46"/>
  <c r="Q254" i="46" s="1"/>
  <c r="O353" i="45" s="1"/>
  <c r="N107" i="46"/>
  <c r="Q107" i="46" s="1"/>
  <c r="O148" i="45" s="1"/>
  <c r="N807" i="46"/>
  <c r="Q807" i="46" s="1"/>
  <c r="O604" i="45" s="1"/>
  <c r="N218" i="46"/>
  <c r="Q218" i="46" s="1"/>
  <c r="O305" i="45" s="1"/>
  <c r="N104" i="46"/>
  <c r="Q104" i="46" s="1"/>
  <c r="O142" i="45" s="1"/>
  <c r="N681" i="46"/>
  <c r="Q681" i="46" s="1"/>
  <c r="M565" i="45" s="1"/>
  <c r="N819" i="46"/>
  <c r="Q819" i="46" s="1"/>
  <c r="O627" i="45" s="1"/>
  <c r="N450" i="46"/>
  <c r="Q450" i="46" s="1"/>
  <c r="M635" i="45" s="1"/>
  <c r="N782" i="46"/>
  <c r="Q782" i="46" s="1"/>
  <c r="O572" i="45" s="1"/>
  <c r="N259" i="46"/>
  <c r="Q259" i="46" s="1"/>
  <c r="O360" i="45" s="1"/>
  <c r="N496" i="46"/>
  <c r="Q496" i="46" s="1"/>
  <c r="N360" i="46"/>
  <c r="Q360" i="46" s="1"/>
  <c r="O495" i="45" s="1"/>
  <c r="N764" i="46"/>
  <c r="Q764" i="46" s="1"/>
  <c r="O552" i="45" s="1"/>
  <c r="N758" i="46"/>
  <c r="Q758" i="46" s="1"/>
  <c r="O544" i="45" s="1"/>
  <c r="N784" i="46"/>
  <c r="Q784" i="46" s="1"/>
  <c r="O575" i="45" s="1"/>
  <c r="N624" i="46"/>
  <c r="Q624" i="46" s="1"/>
  <c r="O459" i="45" s="1"/>
  <c r="N595" i="46"/>
  <c r="Q595" i="46" s="1"/>
  <c r="O421" i="45" s="1"/>
  <c r="N491" i="46"/>
  <c r="Q491" i="46" s="1"/>
  <c r="M681" i="45" s="1"/>
  <c r="N91" i="46"/>
  <c r="Q91" i="46" s="1"/>
  <c r="O127" i="45" s="1"/>
  <c r="N402" i="46"/>
  <c r="Q402" i="46" s="1"/>
  <c r="K546" i="45" s="1"/>
  <c r="N290" i="46"/>
  <c r="Q290" i="46" s="1"/>
  <c r="M400" i="45" s="1"/>
  <c r="N530" i="46"/>
  <c r="Q530" i="46" s="1"/>
  <c r="N26" i="46"/>
  <c r="Q26" i="46" s="1"/>
  <c r="O39" i="45" s="1"/>
  <c r="N616" i="46"/>
  <c r="Q616" i="46" s="1"/>
  <c r="O445" i="45" s="1"/>
  <c r="N444" i="46"/>
  <c r="Q444" i="46" s="1"/>
  <c r="M625" i="45" s="1"/>
  <c r="N433" i="46"/>
  <c r="Q433" i="46" s="1"/>
  <c r="K603" i="45" s="1"/>
  <c r="N178" i="46"/>
  <c r="Q178" i="46" s="1"/>
  <c r="O247" i="45" s="1"/>
  <c r="N818" i="46"/>
  <c r="Q818" i="46" s="1"/>
  <c r="O625" i="45" s="1"/>
  <c r="N137" i="46"/>
  <c r="Q137" i="46" s="1"/>
  <c r="O192" i="45" s="1"/>
  <c r="N726" i="46"/>
  <c r="Q726" i="46" s="1"/>
  <c r="N489" i="46"/>
  <c r="Q489" i="46" s="1"/>
  <c r="M678" i="45" s="1"/>
  <c r="N35" i="46"/>
  <c r="Q35" i="46" s="1"/>
  <c r="O52" i="45" s="1"/>
  <c r="N138" i="46"/>
  <c r="Q138" i="46" s="1"/>
  <c r="O193" i="45" s="1"/>
  <c r="N179" i="46"/>
  <c r="Q179" i="46" s="1"/>
  <c r="O248" i="45" s="1"/>
  <c r="N724" i="46"/>
  <c r="Q724" i="46" s="1"/>
  <c r="O681" i="45" s="1"/>
  <c r="N490" i="46"/>
  <c r="Q490" i="46" s="1"/>
  <c r="M679" i="45" s="1"/>
  <c r="N108" i="46"/>
  <c r="Q108" i="46" s="1"/>
  <c r="O149" i="45" s="1"/>
  <c r="N466" i="46"/>
  <c r="Q466" i="46" s="1"/>
  <c r="O651" i="45" s="1"/>
  <c r="N751" i="46"/>
  <c r="Q751" i="46" s="1"/>
  <c r="O536" i="45" s="1"/>
  <c r="N591" i="46"/>
  <c r="Q591" i="46" s="1"/>
  <c r="O416" i="45" s="1"/>
  <c r="N485" i="46"/>
  <c r="Q485" i="46" s="1"/>
  <c r="M674" i="45" s="1"/>
  <c r="N756" i="46"/>
  <c r="Q756" i="46" s="1"/>
  <c r="O541" i="45" s="1"/>
  <c r="N43" i="46"/>
  <c r="Q43" i="46" s="1"/>
  <c r="O63" i="45" s="1"/>
  <c r="N357" i="46"/>
  <c r="Q357" i="46" s="1"/>
  <c r="O491" i="45" s="1"/>
  <c r="N791" i="46"/>
  <c r="N248" i="46"/>
  <c r="Q248" i="46" s="1"/>
  <c r="O346" i="45" s="1"/>
  <c r="N307" i="46"/>
  <c r="Q307" i="46" s="1"/>
  <c r="M421" i="45" s="1"/>
  <c r="N355" i="46"/>
  <c r="Q355" i="46" s="1"/>
  <c r="N153" i="46"/>
  <c r="Q153" i="46" s="1"/>
  <c r="O214" i="45" s="1"/>
  <c r="N426" i="46"/>
  <c r="Q426" i="46" s="1"/>
  <c r="K593" i="45" s="1"/>
  <c r="N76" i="46"/>
  <c r="Q76" i="46" s="1"/>
  <c r="O108" i="45" s="1"/>
  <c r="N675" i="46"/>
  <c r="Q675" i="46" s="1"/>
  <c r="M558" i="45" s="1"/>
  <c r="N602" i="46"/>
  <c r="Q602" i="46" s="1"/>
  <c r="O428" i="45" s="1"/>
  <c r="N260" i="46"/>
  <c r="Q260" i="46" s="1"/>
  <c r="O361" i="45" s="1"/>
  <c r="N116" i="46"/>
  <c r="Q116" i="46" s="1"/>
  <c r="O160" i="45" s="1"/>
  <c r="N504" i="46"/>
  <c r="Q504" i="46" s="1"/>
  <c r="N749" i="46"/>
  <c r="Q749" i="46" s="1"/>
  <c r="O533" i="45" s="1"/>
  <c r="N304" i="46"/>
  <c r="Q304" i="46" s="1"/>
  <c r="M417" i="45" s="1"/>
  <c r="N550" i="46"/>
  <c r="Q550" i="46" s="1"/>
  <c r="N417" i="46"/>
  <c r="Q417" i="46" s="1"/>
  <c r="K580" i="45" s="1"/>
  <c r="N741" i="46"/>
  <c r="Q741" i="46" s="1"/>
  <c r="O523" i="45" s="1"/>
  <c r="N684" i="46"/>
  <c r="Q684" i="46" s="1"/>
  <c r="M568" i="45" s="1"/>
  <c r="N424" i="46"/>
  <c r="Q424" i="46" s="1"/>
  <c r="K590" i="45" s="1"/>
  <c r="N727" i="46"/>
  <c r="Q727" i="46" s="1"/>
  <c r="O684" i="45" s="1"/>
  <c r="N284" i="46"/>
  <c r="Q284" i="46" s="1"/>
  <c r="N373" i="46"/>
  <c r="Q373" i="46" s="1"/>
  <c r="K511" i="45" s="1"/>
  <c r="N162" i="46"/>
  <c r="Q162" i="46" s="1"/>
  <c r="O224" i="45" s="1"/>
  <c r="N648" i="46"/>
  <c r="Q648" i="46" s="1"/>
  <c r="M525" i="45" s="1"/>
  <c r="N798" i="46"/>
  <c r="Q798" i="46" s="1"/>
  <c r="O592" i="45" s="1"/>
  <c r="N202" i="46"/>
  <c r="Q202" i="46" s="1"/>
  <c r="O282" i="45" s="1"/>
  <c r="N629" i="46"/>
  <c r="Q629" i="46" s="1"/>
  <c r="O469" i="45" s="1"/>
  <c r="N576" i="46"/>
  <c r="Q576" i="46" s="1"/>
  <c r="O396" i="45" s="1"/>
  <c r="N715" i="46"/>
  <c r="Q715" i="46" s="1"/>
  <c r="N729" i="46"/>
  <c r="Q729" i="46" s="1"/>
  <c r="N206" i="46"/>
  <c r="Q206" i="46" s="1"/>
  <c r="O286" i="45" s="1"/>
  <c r="N266" i="46"/>
  <c r="Q266" i="46" s="1"/>
  <c r="O368" i="45" s="1"/>
  <c r="N714" i="46"/>
  <c r="Q714" i="46" s="1"/>
  <c r="M605" i="45" s="1"/>
  <c r="N32" i="46"/>
  <c r="Q32" i="46" s="1"/>
  <c r="O48" i="45" s="1"/>
  <c r="N672" i="46"/>
  <c r="Q672" i="46" s="1"/>
  <c r="M555" i="45" s="1"/>
  <c r="N528" i="46"/>
  <c r="Q528" i="46" s="1"/>
  <c r="N766" i="46"/>
  <c r="Q766" i="46" s="1"/>
  <c r="O554" i="45" s="1"/>
  <c r="N609" i="46"/>
  <c r="Q609" i="46" s="1"/>
  <c r="O436" i="45" s="1"/>
  <c r="N247" i="46"/>
  <c r="Q247" i="46" s="1"/>
  <c r="O345" i="45" s="1"/>
  <c r="N511" i="46"/>
  <c r="Q511" i="46" s="1"/>
  <c r="N256" i="46"/>
  <c r="Q256" i="46" s="1"/>
  <c r="O356" i="45" s="1"/>
  <c r="N403" i="46"/>
  <c r="Q403" i="46" s="1"/>
  <c r="K547" i="45" s="1"/>
  <c r="N618" i="46"/>
  <c r="Q618" i="46" s="1"/>
  <c r="O448" i="45" s="1"/>
  <c r="N600" i="46"/>
  <c r="Q600" i="46" s="1"/>
  <c r="O426" i="45" s="1"/>
  <c r="N525" i="46"/>
  <c r="Q525" i="46" s="1"/>
  <c r="N296" i="46"/>
  <c r="Q296" i="46" s="1"/>
  <c r="M408" i="45" s="1"/>
  <c r="N651" i="46"/>
  <c r="Q651" i="46" s="1"/>
  <c r="M528" i="45" s="1"/>
  <c r="N97" i="46"/>
  <c r="Q97" i="46" s="1"/>
  <c r="O134" i="45" s="1"/>
  <c r="N280" i="46"/>
  <c r="Q280" i="46" s="1"/>
  <c r="O384" i="45" s="1"/>
  <c r="N520" i="46"/>
  <c r="Q520" i="46" s="1"/>
  <c r="N514" i="46"/>
  <c r="N430" i="46"/>
  <c r="Q430" i="46" s="1"/>
  <c r="K600" i="45" s="1"/>
  <c r="N139" i="46"/>
  <c r="Q139" i="46" s="1"/>
  <c r="O194" i="45" s="1"/>
  <c r="N536" i="46"/>
  <c r="Q536" i="46" s="1"/>
  <c r="N346" i="46"/>
  <c r="Q346" i="46" s="1"/>
  <c r="M477" i="45" s="1"/>
  <c r="N639" i="46"/>
  <c r="Q639" i="46" s="1"/>
  <c r="O484" i="45" s="1"/>
  <c r="N98" i="46"/>
  <c r="Q98" i="46" s="1"/>
  <c r="O136" i="45" s="1"/>
  <c r="N564" i="46"/>
  <c r="N802" i="46"/>
  <c r="Q802" i="46" s="1"/>
  <c r="O599" i="45" s="1"/>
  <c r="N683" i="46"/>
  <c r="Q683" i="46" s="1"/>
  <c r="M567" i="45" s="1"/>
  <c r="N336" i="46"/>
  <c r="Q336" i="46" s="1"/>
  <c r="M459" i="45" s="1"/>
  <c r="N828" i="46"/>
  <c r="Q828" i="46" s="1"/>
  <c r="O639" i="45" s="1"/>
  <c r="N418" i="46"/>
  <c r="Q418" i="46" s="1"/>
  <c r="K582" i="45" s="1"/>
  <c r="N27" i="46"/>
  <c r="Q27" i="46" s="1"/>
  <c r="O40" i="45" s="1"/>
  <c r="N170" i="46"/>
  <c r="Q170" i="46" s="1"/>
  <c r="O233" i="45" s="1"/>
  <c r="N303" i="46"/>
  <c r="Q303" i="46" s="1"/>
  <c r="M416" i="45" s="1"/>
  <c r="N592" i="46"/>
  <c r="Q592" i="46" s="1"/>
  <c r="O417" i="45" s="1"/>
  <c r="N34" i="46"/>
  <c r="Q34" i="46" s="1"/>
  <c r="O51" i="45" s="1"/>
  <c r="N114" i="46"/>
  <c r="Q114" i="46" s="1"/>
  <c r="O157" i="45" s="1"/>
  <c r="N610" i="46"/>
  <c r="Q610" i="46" s="1"/>
  <c r="O437" i="45" s="1"/>
  <c r="N743" i="46"/>
  <c r="Q743" i="46" s="1"/>
  <c r="O525" i="45" s="1"/>
  <c r="N739" i="46"/>
  <c r="Q739" i="46" s="1"/>
  <c r="N698" i="46"/>
  <c r="Q698" i="46" s="1"/>
  <c r="M583" i="45" s="1"/>
  <c r="N57" i="46"/>
  <c r="Q57" i="46" s="1"/>
  <c r="O80" i="45" s="1"/>
  <c r="N408" i="46"/>
  <c r="Q408" i="46" s="1"/>
  <c r="K556" i="45" s="1"/>
  <c r="N394" i="46"/>
  <c r="Q394" i="46" s="1"/>
  <c r="K536" i="45" s="1"/>
  <c r="N804" i="46"/>
  <c r="Q804" i="46" s="1"/>
  <c r="O601" i="45" s="1"/>
  <c r="N90" i="46"/>
  <c r="Q90" i="46" s="1"/>
  <c r="O126" i="45" s="1"/>
  <c r="N707" i="46"/>
  <c r="Q707" i="46" s="1"/>
  <c r="M597" i="45" s="1"/>
  <c r="N123" i="46"/>
  <c r="Q123" i="46" s="1"/>
  <c r="O170" i="45" s="1"/>
  <c r="N391" i="46"/>
  <c r="Q391" i="46" s="1"/>
  <c r="K532" i="45" s="1"/>
  <c r="N643" i="46"/>
  <c r="Q643" i="46" s="1"/>
  <c r="M519" i="45" s="1"/>
  <c r="N255" i="46"/>
  <c r="Q255" i="46" s="1"/>
  <c r="N731" i="46"/>
  <c r="Q731" i="46" s="1"/>
  <c r="N154" i="46"/>
  <c r="N512" i="46"/>
  <c r="Q512" i="46" s="1"/>
  <c r="N793" i="46"/>
  <c r="Q793" i="46" s="1"/>
  <c r="O584" i="45" s="1"/>
  <c r="N249" i="46"/>
  <c r="Q249" i="46" s="1"/>
  <c r="O347" i="45" s="1"/>
  <c r="N45" i="46"/>
  <c r="Q45" i="46" s="1"/>
  <c r="O66" i="45" s="1"/>
  <c r="N796" i="46"/>
  <c r="Q796" i="46" s="1"/>
  <c r="O589" i="45" s="1"/>
  <c r="N177" i="46"/>
  <c r="Q177" i="46" s="1"/>
  <c r="O245" i="45" s="1"/>
  <c r="N829" i="46"/>
  <c r="Q829" i="46" s="1"/>
  <c r="O640" i="45" s="1"/>
  <c r="N694" i="46"/>
  <c r="Q694" i="46" s="1"/>
  <c r="M579" i="45" s="1"/>
  <c r="N637" i="46"/>
  <c r="Q637" i="46" s="1"/>
  <c r="O482" i="45" s="1"/>
  <c r="N711" i="46"/>
  <c r="Q711" i="46" s="1"/>
  <c r="M602" i="45" s="1"/>
  <c r="N644" i="46"/>
  <c r="Q644" i="46" s="1"/>
  <c r="M521" i="45" s="1"/>
  <c r="N335" i="46"/>
  <c r="Q335" i="46" s="1"/>
  <c r="M458" i="45" s="1"/>
  <c r="N251" i="46"/>
  <c r="Q251" i="46" s="1"/>
  <c r="O350" i="45" s="1"/>
  <c r="N51" i="46"/>
  <c r="Q51" i="46" s="1"/>
  <c r="O74" i="45" s="1"/>
  <c r="N41" i="46"/>
  <c r="Q41" i="46" s="1"/>
  <c r="O60" i="45" s="1"/>
  <c r="N364" i="46"/>
  <c r="Q364" i="46" s="1"/>
  <c r="O500" i="45" s="1"/>
  <c r="N709" i="46"/>
  <c r="Q709" i="46" s="1"/>
  <c r="M600" i="45" s="1"/>
  <c r="N617" i="46"/>
  <c r="Q617" i="46" s="1"/>
  <c r="O447" i="45" s="1"/>
  <c r="N493" i="46"/>
  <c r="Q493" i="46" s="1"/>
  <c r="M684" i="45" s="1"/>
  <c r="N691" i="46"/>
  <c r="Q691" i="46" s="1"/>
  <c r="M576" i="45" s="1"/>
  <c r="N608" i="46"/>
  <c r="Q608" i="46" s="1"/>
  <c r="O435" i="45" s="1"/>
  <c r="N80" i="46"/>
  <c r="Q80" i="46" s="1"/>
  <c r="O114" i="45" s="1"/>
  <c r="N288" i="46"/>
  <c r="N797" i="46"/>
  <c r="Q797" i="46" s="1"/>
  <c r="O590" i="45" s="1"/>
  <c r="N120" i="46"/>
  <c r="Q120" i="46" s="1"/>
  <c r="O165" i="45" s="1"/>
  <c r="N94" i="46"/>
  <c r="Q94" i="46" s="1"/>
  <c r="O130" i="45" s="1"/>
  <c r="N50" i="46"/>
  <c r="Q50" i="46" s="1"/>
  <c r="O73" i="45" s="1"/>
  <c r="N184" i="46"/>
  <c r="Q184" i="46" s="1"/>
  <c r="O257" i="45" s="1"/>
  <c r="N234" i="46"/>
  <c r="Q234" i="46" s="1"/>
  <c r="O329" i="45" s="1"/>
  <c r="N682" i="46"/>
  <c r="Q682" i="46" s="1"/>
  <c r="M566" i="45" s="1"/>
  <c r="N654" i="46"/>
  <c r="Q654" i="46" s="1"/>
  <c r="M533" i="45" s="1"/>
  <c r="N29" i="46"/>
  <c r="Q29" i="46" s="1"/>
  <c r="O44" i="45" s="1"/>
  <c r="N274" i="46"/>
  <c r="Q274" i="46" s="1"/>
  <c r="O378" i="45" s="1"/>
  <c r="N136" i="46"/>
  <c r="Q136" i="46" s="1"/>
  <c r="O189" i="45" s="1"/>
  <c r="N742" i="46"/>
  <c r="Q742" i="46" s="1"/>
  <c r="O524" i="45" s="1"/>
  <c r="N780" i="46"/>
  <c r="Q780" i="46" s="1"/>
  <c r="O569" i="45" s="1"/>
  <c r="N666" i="46"/>
  <c r="Q666" i="46" s="1"/>
  <c r="M548" i="45" s="1"/>
  <c r="N340" i="46"/>
  <c r="Q340" i="46" s="1"/>
  <c r="M466" i="45" s="1"/>
  <c r="N623" i="46"/>
  <c r="Q623" i="46" s="1"/>
  <c r="O458" i="45" s="1"/>
  <c r="N47" i="46"/>
  <c r="Q47" i="46" s="1"/>
  <c r="O69" i="45" s="1"/>
  <c r="N676" i="46"/>
  <c r="Q676" i="46" s="1"/>
  <c r="M559" i="45" s="1"/>
  <c r="N312" i="46"/>
  <c r="Q312" i="46" s="1"/>
  <c r="M426" i="45" s="1"/>
  <c r="N318" i="46"/>
  <c r="Q318" i="46" s="1"/>
  <c r="M433" i="45" s="1"/>
  <c r="N737" i="46"/>
  <c r="Q737" i="46" s="1"/>
  <c r="O513" i="45" s="1"/>
  <c r="N18" i="46"/>
  <c r="Q18" i="46" s="1"/>
  <c r="O24" i="45" s="1"/>
  <c r="N532" i="46"/>
  <c r="Q532" i="46" s="1"/>
  <c r="N5" i="46"/>
  <c r="Q5" i="46" s="1"/>
  <c r="O9" i="45" s="1"/>
  <c r="N49" i="46"/>
  <c r="Q49" i="46" s="1"/>
  <c r="O71" i="45" s="1"/>
  <c r="N40" i="46"/>
  <c r="Q40" i="46" s="1"/>
  <c r="O59" i="45" s="1"/>
  <c r="N658" i="46"/>
  <c r="Q658" i="46" s="1"/>
  <c r="M538" i="45" s="1"/>
  <c r="N59" i="46"/>
  <c r="Q59" i="46" s="1"/>
  <c r="O83" i="45" s="1"/>
  <c r="N744" i="46"/>
  <c r="N521" i="46"/>
  <c r="Q521" i="46" s="1"/>
  <c r="N379" i="46"/>
  <c r="Q379" i="46" s="1"/>
  <c r="K517" i="45" s="1"/>
  <c r="N513" i="46"/>
  <c r="Q513" i="46" s="1"/>
  <c r="N664" i="46"/>
  <c r="Q664" i="46" s="1"/>
  <c r="M546" i="45" s="1"/>
  <c r="N809" i="46"/>
  <c r="Q809" i="46" s="1"/>
  <c r="O610" i="45" s="1"/>
  <c r="N103" i="46"/>
  <c r="Q103" i="46" s="1"/>
  <c r="O141" i="45" s="1"/>
  <c r="N812" i="46"/>
  <c r="Q812" i="46" s="1"/>
  <c r="O614" i="45" s="1"/>
  <c r="N821" i="46"/>
  <c r="Q821" i="46" s="1"/>
  <c r="O631" i="45" s="1"/>
  <c r="N186" i="46"/>
  <c r="Q186" i="46" s="1"/>
  <c r="O260" i="45" s="1"/>
  <c r="N771" i="46"/>
  <c r="Q771" i="46" s="1"/>
  <c r="O559" i="45" s="1"/>
  <c r="N774" i="46"/>
  <c r="Q774" i="46" s="1"/>
  <c r="O563" i="45" s="1"/>
  <c r="N577" i="46"/>
  <c r="Q577" i="46" s="1"/>
  <c r="O397" i="45" s="1"/>
  <c r="N605" i="46"/>
  <c r="Q605" i="46" s="1"/>
  <c r="O432" i="45" s="1"/>
  <c r="N734" i="46"/>
  <c r="Q734" i="46" s="1"/>
  <c r="O508" i="45" s="1"/>
  <c r="N395" i="46"/>
  <c r="Q395" i="46" s="1"/>
  <c r="K537" i="45" s="1"/>
  <c r="N754" i="46"/>
  <c r="Q754" i="46" s="1"/>
  <c r="O539" i="45" s="1"/>
  <c r="N584" i="46"/>
  <c r="Q584" i="46" s="1"/>
  <c r="O408" i="45" s="1"/>
  <c r="N788" i="46"/>
  <c r="Q788" i="46" s="1"/>
  <c r="O579" i="45" s="1"/>
  <c r="N368" i="46"/>
  <c r="Q368" i="46" s="1"/>
  <c r="O504" i="45" s="1"/>
  <c r="N151" i="46"/>
  <c r="Q151" i="46" s="1"/>
  <c r="O211" i="45" s="1"/>
  <c r="N733" i="46"/>
  <c r="Q733" i="46" s="1"/>
  <c r="N667" i="46"/>
  <c r="Q667" i="46" s="1"/>
  <c r="M549" i="45" s="1"/>
  <c r="N594" i="46"/>
  <c r="Q594" i="46" s="1"/>
  <c r="O420" i="45" s="1"/>
  <c r="N321" i="46"/>
  <c r="Q321" i="46" s="1"/>
  <c r="M436" i="45" s="1"/>
  <c r="N621" i="46"/>
  <c r="Q621" i="46" s="1"/>
  <c r="O455" i="45" s="1"/>
  <c r="N723" i="46"/>
  <c r="Q723" i="46" s="1"/>
  <c r="O679" i="45" s="1"/>
  <c r="N662" i="46"/>
  <c r="Q662" i="46" s="1"/>
  <c r="M543" i="45" s="1"/>
  <c r="N265" i="46"/>
  <c r="Q265" i="46" s="1"/>
  <c r="O367" i="45" s="1"/>
  <c r="N822" i="46"/>
  <c r="Q822" i="46" s="1"/>
  <c r="O632" i="45" s="1"/>
  <c r="N518" i="46"/>
  <c r="Q518" i="46" s="1"/>
  <c r="N499" i="46"/>
  <c r="Q499" i="46" s="1"/>
  <c r="N747" i="46"/>
  <c r="Q747" i="46" s="1"/>
  <c r="O531" i="45" s="1"/>
  <c r="N329" i="46"/>
  <c r="Q329" i="46" s="1"/>
  <c r="M447" i="45" s="1"/>
  <c r="N750" i="46"/>
  <c r="Q750" i="46" s="1"/>
  <c r="O534" i="45" s="1"/>
  <c r="N767" i="46"/>
  <c r="Q767" i="46" s="1"/>
  <c r="O555" i="45" s="1"/>
  <c r="N156" i="46"/>
  <c r="Q156" i="46" s="1"/>
  <c r="O217" i="45" s="1"/>
  <c r="N492" i="46"/>
  <c r="Q492" i="46" s="1"/>
  <c r="M682" i="45" s="1"/>
  <c r="N779" i="46"/>
  <c r="Q779" i="46" s="1"/>
  <c r="O568" i="45" s="1"/>
  <c r="N612" i="46"/>
  <c r="Q612" i="46" s="1"/>
  <c r="O440" i="45" s="1"/>
  <c r="N795" i="46"/>
  <c r="Q795" i="46" s="1"/>
  <c r="O586" i="45" s="1"/>
  <c r="N799" i="46"/>
  <c r="Q799" i="46" s="1"/>
  <c r="O593" i="45" s="1"/>
  <c r="N129" i="46"/>
  <c r="Q129" i="46" s="1"/>
  <c r="O178" i="45" s="1"/>
  <c r="N772" i="46"/>
  <c r="Q772" i="46" s="1"/>
  <c r="O560" i="45" s="1"/>
  <c r="N46" i="46"/>
  <c r="Q46" i="46" s="1"/>
  <c r="O68" i="45" s="1"/>
  <c r="N105" i="46"/>
  <c r="Q105" i="46" s="1"/>
  <c r="O145" i="45" s="1"/>
  <c r="N478" i="46"/>
  <c r="N351" i="46"/>
  <c r="Q351" i="46" s="1"/>
  <c r="M484" i="45" s="1"/>
  <c r="N141" i="46"/>
  <c r="Q141" i="46" s="1"/>
  <c r="O197" i="45" s="1"/>
  <c r="N790" i="46"/>
  <c r="Q790" i="46" s="1"/>
  <c r="O581" i="45" s="1"/>
  <c r="N77" i="46"/>
  <c r="Q77" i="46" s="1"/>
  <c r="O110" i="45" s="1"/>
  <c r="N679" i="46"/>
  <c r="Q679" i="46" s="1"/>
  <c r="M563" i="45" s="1"/>
  <c r="N773" i="46"/>
  <c r="Q773" i="46" s="1"/>
  <c r="O562" i="45" s="1"/>
  <c r="N495" i="46"/>
  <c r="Q495" i="46" s="1"/>
  <c r="N545" i="46"/>
  <c r="Q545" i="46" s="1"/>
  <c r="N547" i="46"/>
  <c r="Q547" i="46" s="1"/>
  <c r="N282" i="46"/>
  <c r="Q282" i="46" s="1"/>
  <c r="O386" i="45" s="1"/>
  <c r="N295" i="46"/>
  <c r="Q295" i="46" s="1"/>
  <c r="M407" i="45" s="1"/>
  <c r="N626" i="46"/>
  <c r="Q626" i="46" s="1"/>
  <c r="O463" i="45" s="1"/>
  <c r="N632" i="46"/>
  <c r="Q632" i="46" s="1"/>
  <c r="O473" i="45" s="1"/>
  <c r="N211" i="46"/>
  <c r="Q211" i="46" s="1"/>
  <c r="O292" i="45" s="1"/>
  <c r="N308" i="46"/>
  <c r="Q308" i="46" s="1"/>
  <c r="M422" i="45" s="1"/>
  <c r="N699" i="46"/>
  <c r="Q699" i="46" s="1"/>
  <c r="M584" i="45" s="1"/>
  <c r="N740" i="46"/>
  <c r="N470" i="46"/>
  <c r="Q470" i="46" s="1"/>
  <c r="N56" i="46"/>
  <c r="Q56" i="46" s="1"/>
  <c r="O79" i="45" s="1"/>
  <c r="N330" i="46"/>
  <c r="Q330" i="46" s="1"/>
  <c r="M448" i="45" s="1"/>
  <c r="N285" i="46"/>
  <c r="Q285" i="46" s="1"/>
  <c r="M393" i="45" s="1"/>
  <c r="N89" i="46"/>
  <c r="Q89" i="46" s="1"/>
  <c r="O125" i="45" s="1"/>
  <c r="N65" i="46"/>
  <c r="Q65" i="46" s="1"/>
  <c r="O92" i="45" s="1"/>
  <c r="N680" i="46"/>
  <c r="Q680" i="46" s="1"/>
  <c r="M564" i="45" s="1"/>
  <c r="N22" i="46"/>
  <c r="Q22" i="46" s="1"/>
  <c r="O31" i="45" s="1"/>
  <c r="N661" i="46"/>
  <c r="Q661" i="46" s="1"/>
  <c r="M541" i="45" s="1"/>
  <c r="O662" i="45"/>
  <c r="O26" i="45" l="1"/>
  <c r="M488" i="45"/>
  <c r="M645" i="46" l="1"/>
  <c r="Q645" i="46" s="1"/>
  <c r="M522" i="45" s="1"/>
  <c r="P522" i="45" s="1"/>
  <c r="Q429" i="46" l="1"/>
  <c r="Q700" i="46"/>
  <c r="M585" i="45" l="1"/>
  <c r="K599" i="45"/>
  <c r="K642" i="45" s="1"/>
  <c r="O718" i="45" l="1"/>
  <c r="I70" i="9" l="1"/>
  <c r="J70" i="9"/>
  <c r="K565" i="46" l="1"/>
  <c r="Q565" i="46" s="1"/>
  <c r="K70" i="9"/>
  <c r="P565" i="46"/>
  <c r="O768" i="45" s="1"/>
  <c r="L70" i="9" l="1"/>
  <c r="K220" i="46"/>
  <c r="Q220" i="46" s="1"/>
  <c r="O309" i="45" s="1"/>
  <c r="O351" i="45" s="1"/>
  <c r="K152" i="46"/>
  <c r="Q152" i="46" s="1"/>
  <c r="O212" i="45" s="1"/>
  <c r="K99" i="46"/>
  <c r="Q99" i="46" s="1"/>
  <c r="O137" i="45" s="1"/>
  <c r="K271" i="46"/>
  <c r="Q271" i="46" s="1"/>
  <c r="O373" i="45" s="1"/>
  <c r="O387" i="45" s="1"/>
  <c r="J128" i="9" l="1"/>
  <c r="K564" i="46"/>
  <c r="Q564" i="46" s="1"/>
  <c r="I128" i="9" l="1"/>
  <c r="I31" i="9"/>
  <c r="O748" i="45" l="1"/>
  <c r="P564" i="46"/>
  <c r="O767" i="45" s="1"/>
  <c r="K128" i="9"/>
  <c r="I348" i="9"/>
  <c r="I6" i="9"/>
  <c r="O741" i="45" l="1"/>
  <c r="K288" i="46"/>
  <c r="Q288" i="46" s="1"/>
  <c r="M397" i="45" s="1"/>
  <c r="K697" i="46"/>
  <c r="Q697" i="46" s="1"/>
  <c r="M582" i="45" s="1"/>
  <c r="L128" i="9"/>
  <c r="K197" i="46"/>
  <c r="Q197" i="46" s="1"/>
  <c r="O275" i="45" s="1"/>
  <c r="K214" i="46"/>
  <c r="Q214" i="46" s="1"/>
  <c r="O296" i="45" s="1"/>
  <c r="M404" i="45" l="1"/>
  <c r="O489" i="45" s="1"/>
  <c r="M643" i="45"/>
  <c r="P574" i="45"/>
  <c r="P575" i="45" s="1"/>
  <c r="O738" i="45"/>
  <c r="O297" i="45"/>
  <c r="O354" i="45" s="1"/>
  <c r="O388" i="45" s="1"/>
  <c r="J31" i="9"/>
  <c r="O644" i="45" l="1"/>
  <c r="O740" i="45"/>
  <c r="O742" i="45" s="1"/>
  <c r="O745" i="45" s="1"/>
  <c r="O747" i="45" s="1"/>
  <c r="O749" i="45" s="1"/>
  <c r="P738" i="45"/>
  <c r="K31" i="9"/>
  <c r="K154" i="46"/>
  <c r="Q154" i="46" s="1"/>
  <c r="O215" i="45" s="1"/>
  <c r="J348" i="9"/>
  <c r="J6" i="9"/>
  <c r="P644" i="45" l="1"/>
  <c r="O654" i="45"/>
  <c r="O655" i="45"/>
  <c r="K79" i="46"/>
  <c r="Q79" i="46" s="1"/>
  <c r="O113" i="45" s="1"/>
  <c r="O218" i="45" s="1"/>
  <c r="M783" i="46"/>
  <c r="Q783" i="46" s="1"/>
  <c r="K36" i="46"/>
  <c r="Q36" i="46" s="1"/>
  <c r="O54" i="45" s="1"/>
  <c r="O100" i="45" s="1"/>
  <c r="L31" i="9"/>
  <c r="K6" i="9"/>
  <c r="K348" i="9"/>
  <c r="O659" i="45" l="1"/>
  <c r="Q659" i="45" s="1"/>
  <c r="O238" i="45"/>
  <c r="P388" i="45" s="1"/>
  <c r="L6" i="9"/>
  <c r="L348" i="9"/>
  <c r="O722" i="45" l="1"/>
  <c r="M805" i="46"/>
  <c r="Q805" i="46" s="1"/>
  <c r="O602" i="45" s="1"/>
  <c r="M808" i="46"/>
  <c r="Q808" i="46" s="1"/>
  <c r="M791" i="46"/>
  <c r="Q791" i="46" s="1"/>
  <c r="O582" i="45" s="1"/>
  <c r="M787" i="46"/>
  <c r="Q787" i="46" s="1"/>
  <c r="O578" i="45" s="1"/>
  <c r="M789" i="46"/>
  <c r="Q789" i="46" s="1"/>
  <c r="O580" i="45" s="1"/>
  <c r="M746" i="46"/>
  <c r="Q746" i="46" s="1"/>
  <c r="O528" i="45" s="1"/>
  <c r="M786" i="46"/>
  <c r="Q786" i="46" s="1"/>
  <c r="M806" i="46"/>
  <c r="Q806" i="46" s="1"/>
  <c r="O603" i="45" s="1"/>
  <c r="M744" i="46" l="1"/>
  <c r="Q744" i="46" s="1"/>
  <c r="M478" i="46"/>
  <c r="Q478" i="46" s="1"/>
  <c r="O666" i="45" s="1"/>
  <c r="M479" i="46" l="1"/>
  <c r="Q479" i="46" s="1"/>
  <c r="O667" i="45" s="1"/>
  <c r="M740" i="46"/>
  <c r="Q740" i="46" s="1"/>
  <c r="O522" i="45" s="1"/>
  <c r="M476" i="46" l="1"/>
  <c r="Q476" i="46" s="1"/>
  <c r="O664" i="45" s="1"/>
  <c r="M801" i="46" l="1"/>
  <c r="Q801" i="46" s="1"/>
  <c r="O597" i="45" s="1"/>
  <c r="M794" i="46"/>
  <c r="Q794" i="46" s="1"/>
  <c r="O585" i="45" s="1"/>
  <c r="M477" i="46"/>
  <c r="Q477" i="46" s="1"/>
  <c r="O665" i="45" s="1"/>
  <c r="Q665" i="45" l="1"/>
  <c r="P665" i="45"/>
  <c r="P667" i="45" s="1"/>
  <c r="Q666" i="45" l="1"/>
  <c r="O683" i="45"/>
  <c r="O685" i="45" l="1"/>
  <c r="P686" i="45" s="1"/>
  <c r="O686" i="45"/>
  <c r="O695" i="45" s="1"/>
  <c r="O694" i="45" l="1"/>
  <c r="O697" i="45" s="1"/>
  <c r="O707" i="45"/>
  <c r="O715" i="45" l="1"/>
  <c r="P21" i="46" l="1"/>
  <c r="Q21" i="46" s="1"/>
  <c r="P514" i="46"/>
  <c r="O731" i="45"/>
  <c r="O735" i="45" s="1"/>
  <c r="O776" i="45" s="1"/>
  <c r="O779" i="45" s="1"/>
  <c r="O732" i="45"/>
  <c r="O736" i="45" s="1"/>
  <c r="O710" i="45" l="1"/>
  <c r="Q514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ABALT</author>
  </authors>
  <commentList>
    <comment ref="T8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ABALT:</t>
        </r>
        <r>
          <rPr>
            <sz val="9"/>
            <color indexed="81"/>
            <rFont val="Tahoma"/>
            <family val="2"/>
          </rPr>
          <t xml:space="preserve">
EXCLUYE EL EFECTO ERI 2020, PARA EL CUAL NO SE GENERA ID. 
FUENTE: INFORME NIC12 ACTUARIO</t>
        </r>
      </text>
    </comment>
  </commentList>
</comments>
</file>

<file path=xl/sharedStrings.xml><?xml version="1.0" encoding="utf-8"?>
<sst xmlns="http://schemas.openxmlformats.org/spreadsheetml/2006/main" count="13474" uniqueCount="2732">
  <si>
    <t>End of Items</t>
  </si>
  <si>
    <t>Item #</t>
  </si>
  <si>
    <t>Es importante que la información se ingrese solo en las celdas BLANCAS. Todas las demás celdas calcularán automáticamente en función de la información ingresada en las celdas BLANCAS.</t>
  </si>
  <si>
    <t>DO NOT USE THIS LINE</t>
  </si>
  <si>
    <t>LEAVE BLANK</t>
  </si>
  <si>
    <t>Balance de comprobación</t>
  </si>
  <si>
    <t>Saldo</t>
  </si>
  <si>
    <t>Cuenta</t>
  </si>
  <si>
    <t>Grupo</t>
  </si>
  <si>
    <t>UTILIDAD DEL EJERCICIO</t>
  </si>
  <si>
    <t>OTROS INGRESOS</t>
  </si>
  <si>
    <t>Gasto</t>
  </si>
  <si>
    <t>OTROS GASTOS</t>
  </si>
  <si>
    <t>Muebles y enseres</t>
  </si>
  <si>
    <t>Total</t>
  </si>
  <si>
    <t>Gastos de viaje</t>
  </si>
  <si>
    <t>no</t>
  </si>
  <si>
    <t>si</t>
  </si>
  <si>
    <t>Gastos de gestión</t>
  </si>
  <si>
    <t>Concepto</t>
  </si>
  <si>
    <t>Casillero</t>
  </si>
  <si>
    <t>CÁLCULO DE BASE PARTICIPACIÓN A TRABAJADORES</t>
  </si>
  <si>
    <t>Base de cálculo de participación a trabajadores</t>
  </si>
  <si>
    <t>098</t>
  </si>
  <si>
    <t>Promoción y publicidad</t>
  </si>
  <si>
    <t>Local</t>
  </si>
  <si>
    <t>Del exterior</t>
  </si>
  <si>
    <t/>
  </si>
  <si>
    <t>CONCILIACIÓN TRIBUTARIA</t>
  </si>
  <si>
    <t>Observaciones</t>
  </si>
  <si>
    <t>(-) Deducciones adicionales</t>
  </si>
  <si>
    <t>Código Cuenta</t>
  </si>
  <si>
    <t>nombre cuenta formulario 101</t>
  </si>
  <si>
    <t>casillero</t>
  </si>
  <si>
    <t>Total:</t>
  </si>
  <si>
    <t>Saldo ajustado</t>
  </si>
  <si>
    <t>FORMULARIO RENTA SOCIEDADES</t>
  </si>
  <si>
    <t>OPERACIONES CON PARTES RELACIONADAS LOCALES Y/O DEL EXTERIOR</t>
  </si>
  <si>
    <t>CON PARTES RELACIONADAS LOCALES</t>
  </si>
  <si>
    <t>Operaciones de activo</t>
  </si>
  <si>
    <t>003</t>
  </si>
  <si>
    <t>Operaciones de pasivo</t>
  </si>
  <si>
    <t>004</t>
  </si>
  <si>
    <t>Operaciones de ingreso</t>
  </si>
  <si>
    <t>005</t>
  </si>
  <si>
    <t>Operaciones de egreso</t>
  </si>
  <si>
    <t>006</t>
  </si>
  <si>
    <t>Operaciones de regalías, servicios técnicos, administrativos, de consultoría y similares</t>
  </si>
  <si>
    <t>007</t>
  </si>
  <si>
    <t>CON PARTES RELACIONADAS EN PARAÍSOS FISCALES, JURISDICCIONES DE MENOR IMPOSICIÓN Y RÉGIMENES FISCALES PREFERENTES</t>
  </si>
  <si>
    <t>008</t>
  </si>
  <si>
    <t>009</t>
  </si>
  <si>
    <t>010</t>
  </si>
  <si>
    <t>011</t>
  </si>
  <si>
    <t>012</t>
  </si>
  <si>
    <t>CON PARTES RELACIONADAS EN OTRAS JURISDICCIONES O RÉGIMENES DEL EXTERIOR</t>
  </si>
  <si>
    <t>013</t>
  </si>
  <si>
    <t>014</t>
  </si>
  <si>
    <t>015</t>
  </si>
  <si>
    <t>016</t>
  </si>
  <si>
    <t>017</t>
  </si>
  <si>
    <t>TOTAL OPERACIONES CON PARTES RELACIONADAS</t>
  </si>
  <si>
    <t>029</t>
  </si>
  <si>
    <t>¿Sujeto pasivo exento de aplicación del régimen de precios de transferencia?</t>
  </si>
  <si>
    <t>030</t>
  </si>
  <si>
    <t>ESTADO DE SITUACIÓN FINANCIERA</t>
  </si>
  <si>
    <t>ACTIVO</t>
  </si>
  <si>
    <t>ACTIVOS CORRIENTES</t>
  </si>
  <si>
    <t>Efectivo y equivalentes al efectivo</t>
  </si>
  <si>
    <t>311</t>
  </si>
  <si>
    <t>CUENTAS Y DOCUMENTOS POR COBRAR CORRIENTES</t>
  </si>
  <si>
    <t>CUENTAS Y DOCUMENTOS POR COBRAR COMERCIALES CORRIENTES</t>
  </si>
  <si>
    <t>RELACIONADAS</t>
  </si>
  <si>
    <t>Locales</t>
  </si>
  <si>
    <t>312</t>
  </si>
  <si>
    <t>313</t>
  </si>
  <si>
    <t>(-) Deterioro acumulado del valor de cuentas y documentos por cobrar comerciales por incobrabilidad (provisiones para créditos incobrables)</t>
  </si>
  <si>
    <t>314</t>
  </si>
  <si>
    <t>NO RELACIONADAS</t>
  </si>
  <si>
    <t>315</t>
  </si>
  <si>
    <t>316</t>
  </si>
  <si>
    <t>317</t>
  </si>
  <si>
    <t>OTRAS CUENTAS Y DOCUMENTOS POR COBRAR CORRIENTES</t>
  </si>
  <si>
    <t>A ACCIONISTAS, SOCIOS, PARTICIPES, BENEFICIARIOS U OTROS TITULARES DE DERECHOS REPRESENTATIVOS DE CAPITAL</t>
  </si>
  <si>
    <t>318</t>
  </si>
  <si>
    <t>319</t>
  </si>
  <si>
    <t>DIVIDENDOS POR COBRAR</t>
  </si>
  <si>
    <t>En efectivo</t>
  </si>
  <si>
    <t>320</t>
  </si>
  <si>
    <t>En activos diferentes del efectivo</t>
  </si>
  <si>
    <t>321</t>
  </si>
  <si>
    <t>OTRAS RELACIONADAS</t>
  </si>
  <si>
    <t>322</t>
  </si>
  <si>
    <t>323</t>
  </si>
  <si>
    <t>(-) Deterioro acumulado del valor de otras cuentas y documentos por cobrar por incobrabilidad (provisiones para créditos incobrables)</t>
  </si>
  <si>
    <t>324</t>
  </si>
  <si>
    <t>OTRAS NO RELACIONADAS</t>
  </si>
  <si>
    <t>325</t>
  </si>
  <si>
    <t>326</t>
  </si>
  <si>
    <t>327</t>
  </si>
  <si>
    <t>OTROS ACTIVOS FINANCIEROS CORRIENTES</t>
  </si>
  <si>
    <t>A costo amortizado</t>
  </si>
  <si>
    <t>328</t>
  </si>
  <si>
    <t>(-) Deterioro acumulado del valor  de otros activos financieros corrientes medidos a costo amortizado  (provisiones para créditos incobrables)</t>
  </si>
  <si>
    <t>329</t>
  </si>
  <si>
    <t>A valor razonable</t>
  </si>
  <si>
    <t>330</t>
  </si>
  <si>
    <t>PORCIÓN CORRIENTE DE ARRENDAMIENTOS FINANCIEROS POR COBRAR</t>
  </si>
  <si>
    <t>Relacionadas</t>
  </si>
  <si>
    <t>331</t>
  </si>
  <si>
    <t>No relacionadas</t>
  </si>
  <si>
    <t>332</t>
  </si>
  <si>
    <t>IMPORTE BRUTO ADEUDADO POR LOS CLIENTES POR EL TRABAJO EJECUTADO EN CONTRATOS DE CONSTRUCCIÓN</t>
  </si>
  <si>
    <t>333</t>
  </si>
  <si>
    <t>334</t>
  </si>
  <si>
    <t>ACTIVOS POR IMPUESTOS CORRIENTES</t>
  </si>
  <si>
    <t>Crédito tributario a favor del sujeto pasivo (ISD)</t>
  </si>
  <si>
    <t>335</t>
  </si>
  <si>
    <t>Crédito tributario a favor del sujeto pasivo (IVA)</t>
  </si>
  <si>
    <t>336</t>
  </si>
  <si>
    <t xml:space="preserve">Crédito tributario a favor del sujeto pasivo (Impuesto a la Renta) </t>
  </si>
  <si>
    <t>337</t>
  </si>
  <si>
    <t>Otros</t>
  </si>
  <si>
    <t>338</t>
  </si>
  <si>
    <t>INVENTARIOS</t>
  </si>
  <si>
    <t>Mercaderías en tránsito</t>
  </si>
  <si>
    <t>339</t>
  </si>
  <si>
    <t>Inventario de materia prima (no para la construcción)</t>
  </si>
  <si>
    <t>340</t>
  </si>
  <si>
    <t>Inventario de productos en proceso (excluyendo obras/inmuebles en construcción para la venta)</t>
  </si>
  <si>
    <t>341</t>
  </si>
  <si>
    <t>Inventario de prod. term. y mercad. en almacén (excluyendo obras/inmuebles  terminados para la venta)</t>
  </si>
  <si>
    <t>342</t>
  </si>
  <si>
    <t>Inventario de suministros, herramientas, repuestos y materiales (no para la construcción)</t>
  </si>
  <si>
    <t>343</t>
  </si>
  <si>
    <t>Inventario de materia prima, suministros y materiales para la construcción</t>
  </si>
  <si>
    <t>344</t>
  </si>
  <si>
    <t>Inventario de obras/inmuebles en construcción para la venta</t>
  </si>
  <si>
    <t>345</t>
  </si>
  <si>
    <t>Inventario de obras/inmuebles terminados para la venta</t>
  </si>
  <si>
    <t>346</t>
  </si>
  <si>
    <t>(-) Deterioro acumulado del valor de inventarios por ajuste al valor neto realizable</t>
  </si>
  <si>
    <t>347</t>
  </si>
  <si>
    <t>ACTIVOS NO CORRIENTES MANTENIDOS PARA LA VENTA</t>
  </si>
  <si>
    <t>Costo</t>
  </si>
  <si>
    <t>348</t>
  </si>
  <si>
    <t>(-) Deterioro acumulado del valor de activos no corrientes mantenidos para la venta</t>
  </si>
  <si>
    <t>349</t>
  </si>
  <si>
    <t>ACTIVOS BIOLÓGICOS</t>
  </si>
  <si>
    <t>PLANTAS VIVAS Y FRUTOS EN CRECIMIENTO</t>
  </si>
  <si>
    <t>A costo</t>
  </si>
  <si>
    <t>350</t>
  </si>
  <si>
    <t>(-) Deterioro acumulado del valor de activos biológicos medidos a costo</t>
  </si>
  <si>
    <t>351</t>
  </si>
  <si>
    <t>A valor razonable menos los costos de venta</t>
  </si>
  <si>
    <t>352</t>
  </si>
  <si>
    <t>ANIMALES VIVOS</t>
  </si>
  <si>
    <t>353</t>
  </si>
  <si>
    <t>354</t>
  </si>
  <si>
    <t>355</t>
  </si>
  <si>
    <t>GASTOS PAGADOS POR ANTICIPADO (PREPAGADOS)</t>
  </si>
  <si>
    <t>Propaganda y publicidad prepagada</t>
  </si>
  <si>
    <t>356</t>
  </si>
  <si>
    <t>Arrendamientos operativos pagados por anticipado</t>
  </si>
  <si>
    <t>357</t>
  </si>
  <si>
    <t>Primas de seguro pagadas por anticipado</t>
  </si>
  <si>
    <t>358</t>
  </si>
  <si>
    <t>359</t>
  </si>
  <si>
    <t>Otros Activos Corrientes</t>
  </si>
  <si>
    <t>360</t>
  </si>
  <si>
    <t>TOTAL ACTIVOS CORRIENTES</t>
  </si>
  <si>
    <t>361</t>
  </si>
  <si>
    <t>ACTIVOS  NO CORRIENTES</t>
  </si>
  <si>
    <t>PROPIEDADES, PLANTA Y EQUIPO</t>
  </si>
  <si>
    <t>TERRENOS</t>
  </si>
  <si>
    <t>Costo histórico antes de reexpresiones o revaluaciones</t>
  </si>
  <si>
    <t>362</t>
  </si>
  <si>
    <t>Ajuste acumulado por reexpresiones o revaluaciones</t>
  </si>
  <si>
    <t>ajuste acumulado por reexpresiones o revaluaciones</t>
  </si>
  <si>
    <t>363</t>
  </si>
  <si>
    <t>EDIFICIOS Y OTROS INMUEBLES (EXCEPTO TERRENOS)</t>
  </si>
  <si>
    <t xml:space="preserve">Costo histórico antes de reexpresiones o revaluaciones </t>
  </si>
  <si>
    <t>364</t>
  </si>
  <si>
    <t>365</t>
  </si>
  <si>
    <t>NAVES, AERONAVES, BARCAZAS Y SIMILARES</t>
  </si>
  <si>
    <t>366</t>
  </si>
  <si>
    <t>367</t>
  </si>
  <si>
    <t>MAQUINARIA, EQUIPO, INSTALACIONES Y ADECUACIONES</t>
  </si>
  <si>
    <t>368</t>
  </si>
  <si>
    <t>369</t>
  </si>
  <si>
    <t>PLANTAS PRODUCTORAS (AGRICULTURA)</t>
  </si>
  <si>
    <t>370</t>
  </si>
  <si>
    <t>371</t>
  </si>
  <si>
    <t>Construcciones en Curso y Otros Activos en Tránsito</t>
  </si>
  <si>
    <t>372</t>
  </si>
  <si>
    <t>373</t>
  </si>
  <si>
    <t>Equipo de Computación</t>
  </si>
  <si>
    <t>equipo de computación</t>
  </si>
  <si>
    <t>374</t>
  </si>
  <si>
    <t>Vehículos, Equipo de Transporte y Caminero Móvil</t>
  </si>
  <si>
    <t>375</t>
  </si>
  <si>
    <t>PROPIEDADES, PLANTA Y EQUIPO POR CONTRATOS DE ARRENDAMIENTO FINANCIERO</t>
  </si>
  <si>
    <t>Terrenos</t>
  </si>
  <si>
    <t>376</t>
  </si>
  <si>
    <t>Edificios y otros inmuebles (excepto terrenos)</t>
  </si>
  <si>
    <t>edificios y otros inmuebles (excepto terrenos)</t>
  </si>
  <si>
    <t>377</t>
  </si>
  <si>
    <t>Naves, aeronaves, barcazas y similares</t>
  </si>
  <si>
    <t>naves, aeronaves, barcazas y similares</t>
  </si>
  <si>
    <t>378</t>
  </si>
  <si>
    <t>Maquinaria, equipo, instalaciones y adecuaciones</t>
  </si>
  <si>
    <t>maquinaria, equipo, instalaciones y adecuaciones</t>
  </si>
  <si>
    <t>379</t>
  </si>
  <si>
    <t>Equipo de computación</t>
  </si>
  <si>
    <t>380</t>
  </si>
  <si>
    <t>Vehículos, equipo de transporte y caminero móvil</t>
  </si>
  <si>
    <t>vehículos, equipo de transporte y caminero móvil</t>
  </si>
  <si>
    <t>381</t>
  </si>
  <si>
    <t>otros</t>
  </si>
  <si>
    <t>382</t>
  </si>
  <si>
    <t>Otras Propiedades, Planta y Equipo</t>
  </si>
  <si>
    <t>383</t>
  </si>
  <si>
    <t>(-) DEPRECIACIÒN ACUMULADA DE PROPIEDADES, PLANTA Y EQUIPO</t>
  </si>
  <si>
    <t>Del costo histórico antes de reexpresiones o revaluaciones</t>
  </si>
  <si>
    <t>384</t>
  </si>
  <si>
    <t>Del ajuste acumulado por reexpresiones o revaluaciones</t>
  </si>
  <si>
    <t>385</t>
  </si>
  <si>
    <t>(-) Deterioro acumulado del valor de propiedades, planta y equipo</t>
  </si>
  <si>
    <t>386</t>
  </si>
  <si>
    <t>ACTIVOS INTANGIBLES</t>
  </si>
  <si>
    <t>Plusvalía o goodwill (derecho de llave)</t>
  </si>
  <si>
    <t>387</t>
  </si>
  <si>
    <t>Marcas, patentes, licencias y otros similares</t>
  </si>
  <si>
    <t>388</t>
  </si>
  <si>
    <t>Adecuaciones y mejoras en bienes arrendados mediante arrendamiento operativo</t>
  </si>
  <si>
    <t>389</t>
  </si>
  <si>
    <t>Derechos en acuerdos de concesión</t>
  </si>
  <si>
    <t>390</t>
  </si>
  <si>
    <t>391</t>
  </si>
  <si>
    <t>(-) Amortización acumulada de activos intangibles</t>
  </si>
  <si>
    <t>392</t>
  </si>
  <si>
    <t>(-) Deterioro acumulado de activos intangibles</t>
  </si>
  <si>
    <t>393</t>
  </si>
  <si>
    <t>PROPIEDADES DE INVERSIÓN</t>
  </si>
  <si>
    <t>394</t>
  </si>
  <si>
    <t>395</t>
  </si>
  <si>
    <t>EDIFICIOS</t>
  </si>
  <si>
    <t>396</t>
  </si>
  <si>
    <t>397</t>
  </si>
  <si>
    <t>(-) Depreciación Acumulada de Propiedades de Inversión</t>
  </si>
  <si>
    <t>398</t>
  </si>
  <si>
    <t>(-) Deterioro Acumulado del Valor de Propiedades de Inversión</t>
  </si>
  <si>
    <t>399</t>
  </si>
  <si>
    <t>400</t>
  </si>
  <si>
    <t>(-) Depreciación acumulada de activos biológicos medidos a costo</t>
  </si>
  <si>
    <t>401</t>
  </si>
  <si>
    <t>402</t>
  </si>
  <si>
    <t>403</t>
  </si>
  <si>
    <t>404</t>
  </si>
  <si>
    <t>405</t>
  </si>
  <si>
    <t>406</t>
  </si>
  <si>
    <t>407</t>
  </si>
  <si>
    <t>ACTIVOS PARA EXPLORACIÓN, EVALUACIÓN Y EXPLOTACIÓN DE RECURSOS MINERALES</t>
  </si>
  <si>
    <t>Tangibles</t>
  </si>
  <si>
    <t>408</t>
  </si>
  <si>
    <t>Intangibles</t>
  </si>
  <si>
    <t>409</t>
  </si>
  <si>
    <t xml:space="preserve">(-) Depreciación / amortización acumulada de activos para exploración, evaluación y explotación </t>
  </si>
  <si>
    <t>410</t>
  </si>
  <si>
    <t xml:space="preserve">(-) Deterioro acumulado del valor de activos para exploración, evaluación y explotación </t>
  </si>
  <si>
    <t>411</t>
  </si>
  <si>
    <t>INVERSIONES NO CORRIENTES</t>
  </si>
  <si>
    <t>EN SUBSIDIARIAS</t>
  </si>
  <si>
    <t>412</t>
  </si>
  <si>
    <t>Ajuste acumulado por aplicación del método de la participación (valor patrimonial proporcional)</t>
  </si>
  <si>
    <t>413</t>
  </si>
  <si>
    <t>EN ASOCIADAS</t>
  </si>
  <si>
    <t>414</t>
  </si>
  <si>
    <t>415</t>
  </si>
  <si>
    <t>EN NEGOCIOS CONJUNTOS</t>
  </si>
  <si>
    <t>416</t>
  </si>
  <si>
    <t>417</t>
  </si>
  <si>
    <t>Otros Derechos Representativos de Capital en Sociedades que no son Subsidiarias, ni Asociadas, ni Negocios Conjuntos</t>
  </si>
  <si>
    <t>418</t>
  </si>
  <si>
    <t>(-) Deterioro Acumulado del Valor de Inversiones no Corrientes</t>
  </si>
  <si>
    <t>419</t>
  </si>
  <si>
    <t>CUENTAS Y DOCUMENTOS POR COBRAR NO CORRIENTES</t>
  </si>
  <si>
    <t>CUENTAS Y DOCUMENTOS POR COBRAR COMERCIALES NO CORRIENTES</t>
  </si>
  <si>
    <t>420</t>
  </si>
  <si>
    <t>421</t>
  </si>
  <si>
    <t>422</t>
  </si>
  <si>
    <t>423</t>
  </si>
  <si>
    <t>424</t>
  </si>
  <si>
    <t>425</t>
  </si>
  <si>
    <t>OTRAS CUENTAS Y DOCUMENTOS POR COBRAR NO CORRIENTES</t>
  </si>
  <si>
    <t>A ACCIONISTAS. SOCIOS, PARTICIPES. BENEFICIARIOS U OTROS TITULARES DE DERECHOS REPRESENTATIVOS DE CAPITAL</t>
  </si>
  <si>
    <t>426</t>
  </si>
  <si>
    <t>427</t>
  </si>
  <si>
    <t>(-) Deterioro acumulado del valor de cuentas y documentos por cobrar por incobrabilidad (provisiones para créditos incobrables)</t>
  </si>
  <si>
    <t>428</t>
  </si>
  <si>
    <t>429</t>
  </si>
  <si>
    <t>430</t>
  </si>
  <si>
    <t>431</t>
  </si>
  <si>
    <t>432</t>
  </si>
  <si>
    <t>433</t>
  </si>
  <si>
    <t>434</t>
  </si>
  <si>
    <t>OTROS ACTIVOS FINANCIEROS NO CORRIENTES</t>
  </si>
  <si>
    <t>435</t>
  </si>
  <si>
    <t>(-) Deterioro acumulado del valor  de otros activos financieros no corrientes medidos a costo amortizado (provisiones para créditos incobrables)</t>
  </si>
  <si>
    <t>436</t>
  </si>
  <si>
    <t>437</t>
  </si>
  <si>
    <t>PORCIÓN NO CORRIENTE DE ARRENDAMIENTOS FINANCIEROS POR COBRAR</t>
  </si>
  <si>
    <t>438</t>
  </si>
  <si>
    <t>No Relacionadas</t>
  </si>
  <si>
    <t>439</t>
  </si>
  <si>
    <t>ACTIVOS POR IMPUESTOS DIFERIDOS</t>
  </si>
  <si>
    <t>Por diferencias temporarias</t>
  </si>
  <si>
    <t>440</t>
  </si>
  <si>
    <t>Por pérdidas tributarias sujetas a amortización en periodos siguientes</t>
  </si>
  <si>
    <t>441</t>
  </si>
  <si>
    <t>POR CRÉDITOS FISCALES NO UTILIZADOS</t>
  </si>
  <si>
    <t>442</t>
  </si>
  <si>
    <t>443</t>
  </si>
  <si>
    <t>444</t>
  </si>
  <si>
    <t>Otros Activos No Corrientes</t>
  </si>
  <si>
    <t>445</t>
  </si>
  <si>
    <t>TOTAL ACTIVOS NO CORRIENTES</t>
  </si>
  <si>
    <t>449</t>
  </si>
  <si>
    <t>REVALUACIONES Y REEXPRESIONES DE ACTIVOS (INFORMATIVO)</t>
  </si>
  <si>
    <t>Ajustes acumulados por reexpresiones o revaluaciones de otras partidas de propiedades, planta y equipo (Informativo)</t>
  </si>
  <si>
    <t>460</t>
  </si>
  <si>
    <t>(-) Depreciación acumulada de los ajustes acumulados por reexpresiones o revaluaciones de otras partidas de propiedades, planta y equipo (Informativo)</t>
  </si>
  <si>
    <t>461</t>
  </si>
  <si>
    <t>Ajustes acumulados por reexpresiones o revaluaciones de activos intangibles (Informativo)</t>
  </si>
  <si>
    <t>462</t>
  </si>
  <si>
    <t>(-) Amortización acumulada de los ajustes acumulados por reexpresiones o revaluaciones de activos intangibles (Informativo)</t>
  </si>
  <si>
    <t>463</t>
  </si>
  <si>
    <t>Ajustes acumulados por reexpresiones o revaluaciones de propiedades de inversión (Informativo)</t>
  </si>
  <si>
    <t>464</t>
  </si>
  <si>
    <t>(-) Depreciación acumulada de los ajustes acumulados por reexpresiones o revaluaciones de propiedades de inversión (Informativo)</t>
  </si>
  <si>
    <t>465</t>
  </si>
  <si>
    <t>Ajustes acumulados por reexpresiones o revaluaciones de activos para exploración, evaluación y explotación de recursos minerales (Informativo)</t>
  </si>
  <si>
    <t>466</t>
  </si>
  <si>
    <t>(-) Depreciación/amortización acumulada del ajustes acumulado por reexpresiones o revaluaciones de activos para exploración, evaluación y explotación de recursos minerales (Informativo)</t>
  </si>
  <si>
    <t>467</t>
  </si>
  <si>
    <t>Total de las  revaluaciones y otros ajustes positivos producto de valoraciones financieras excluidos del cálculo del anticipo,  para todos los activos (Informativo)</t>
  </si>
  <si>
    <t>468</t>
  </si>
  <si>
    <t>(-) Total depreciación acumulada del ajuste acumulado por  revaluaciones y otros ajustes negativos producto de valoraciones financieras excluidos del cálculo del anticipo, para todos los activos (Informativo)</t>
  </si>
  <si>
    <t>469</t>
  </si>
  <si>
    <t>TERRENOS QUE SE EXCLUYEN DEL CÁLCULO DEL ANTICIPO</t>
  </si>
  <si>
    <t>Total costo de terrenos en los que se desarrollan actividades agropecuarias (excluyendo sus revaluaciones o reexpresiones) (Informativo)</t>
  </si>
  <si>
    <t>470</t>
  </si>
  <si>
    <t>Total deterioro acumulado del costo de terrenos en los que se desarrollan actividades agropecuarias (Informativo)</t>
  </si>
  <si>
    <t>471</t>
  </si>
  <si>
    <t>Total costo de terrenos en los que se desarrollan proyectos inmobiliarios para la vivienda de interés social (excluyendo sus revaluaciones o reexpresiones) (Informativo)</t>
  </si>
  <si>
    <t>472</t>
  </si>
  <si>
    <t>Total deterioro acumulado del costo de terrenos en los que se desarrollan proyectos inmobiliarios para la vivienda de interés  social (Informativo)</t>
  </si>
  <si>
    <t>473</t>
  </si>
  <si>
    <t>Total de intereses implícitos no devengados (futuros ingresos financieros en el estado de resultados) por acuerdos que constituyen efectivamente una transacción financiera o cobro diferido (Informativo)</t>
  </si>
  <si>
    <t>474</t>
  </si>
  <si>
    <t>Activos (fideicomitidos y generados) en fideicomisos mercantiles o encargos fiduciarios donde el contribuyente es constituyente  o aportante (Informativo)</t>
  </si>
  <si>
    <t>475</t>
  </si>
  <si>
    <t>Activos adquiridos por el valor de las utilidades reinvertidas generadas en el período anterior al declarado (Informativo)</t>
  </si>
  <si>
    <t>476</t>
  </si>
  <si>
    <t>TOTAL DEL ACTIVO</t>
  </si>
  <si>
    <t>499</t>
  </si>
  <si>
    <t>PASIVO</t>
  </si>
  <si>
    <t>PASIVOS CORRIENTES</t>
  </si>
  <si>
    <t>CUENTAS Y DOCUMENTOS POR PAGAR CORRIENTES</t>
  </si>
  <si>
    <t>CUENTAS Y DOCUMENTOS POR PAGAR COMERCIALES CORRIENTES</t>
  </si>
  <si>
    <t>511</t>
  </si>
  <si>
    <t>512</t>
  </si>
  <si>
    <t>513</t>
  </si>
  <si>
    <t>514</t>
  </si>
  <si>
    <t>OTRAS CUENTAS Y DOCUMENTOS POR PAGAR CORRIENTES</t>
  </si>
  <si>
    <t>A ACCIONISTAS. SOCIOS, PARTÍCIPES. BENEFICIARIOS U OTROS TITULARES DE DERECHOS REPRESENTATIVOS DE CAPITAL</t>
  </si>
  <si>
    <t>515</t>
  </si>
  <si>
    <t>516</t>
  </si>
  <si>
    <t>DIVIDENDOS POR PAGAR</t>
  </si>
  <si>
    <t>517</t>
  </si>
  <si>
    <t>518</t>
  </si>
  <si>
    <t>519</t>
  </si>
  <si>
    <t>520</t>
  </si>
  <si>
    <t>521</t>
  </si>
  <si>
    <t>522</t>
  </si>
  <si>
    <t>OBLIGACIONES CON INSTITUCIONES FINANCIERAS - CORRIENTES</t>
  </si>
  <si>
    <t>523</t>
  </si>
  <si>
    <t>524</t>
  </si>
  <si>
    <t>525</t>
  </si>
  <si>
    <t>526</t>
  </si>
  <si>
    <t>Crédito A Mutuo</t>
  </si>
  <si>
    <t>527</t>
  </si>
  <si>
    <t>Porción Corriente de Obligaciones Emitidas</t>
  </si>
  <si>
    <t>528</t>
  </si>
  <si>
    <t>OTROS PASIVOS FINANCIEROS</t>
  </si>
  <si>
    <t>529</t>
  </si>
  <si>
    <t>530</t>
  </si>
  <si>
    <t>Porción Corriente de Arrendamientos Financieros Por Pagar</t>
  </si>
  <si>
    <t>531</t>
  </si>
  <si>
    <t>Impuesto A La Renta Por Pagar Del Ejercicio</t>
  </si>
  <si>
    <t>532</t>
  </si>
  <si>
    <t>PASIVOS CORRIENTES POR BENEFICIOS A LOS EMPLEADOS</t>
  </si>
  <si>
    <t>Participación trabajadores por pagar del ejercicio</t>
  </si>
  <si>
    <t>533</t>
  </si>
  <si>
    <t>Obligaciones con el IESS</t>
  </si>
  <si>
    <t>534</t>
  </si>
  <si>
    <t>Jubilación Patronal</t>
  </si>
  <si>
    <t>535</t>
  </si>
  <si>
    <t>Otros Pasivos Corrientes Por Beneficios a Empleados</t>
  </si>
  <si>
    <t>536</t>
  </si>
  <si>
    <t xml:space="preserve">PROVISIONES CORRIENTES </t>
  </si>
  <si>
    <t>Por garantías</t>
  </si>
  <si>
    <t>537</t>
  </si>
  <si>
    <t>Por desmantelamiento</t>
  </si>
  <si>
    <t>538</t>
  </si>
  <si>
    <t>Por contratos onerosos</t>
  </si>
  <si>
    <t>539</t>
  </si>
  <si>
    <t>Por reestructuraciones de negocios</t>
  </si>
  <si>
    <t>540</t>
  </si>
  <si>
    <t>Por reembolsos a clientes</t>
  </si>
  <si>
    <t>541</t>
  </si>
  <si>
    <t>Por litigios</t>
  </si>
  <si>
    <t>542</t>
  </si>
  <si>
    <t>Por pasivos contingentes asumidos en una combinación de negocios</t>
  </si>
  <si>
    <t>543</t>
  </si>
  <si>
    <t>Otras</t>
  </si>
  <si>
    <t>544</t>
  </si>
  <si>
    <t>PASIVOS POR INGRESOS DIFERIDOS</t>
  </si>
  <si>
    <t>Anticipos de clientes</t>
  </si>
  <si>
    <t>545</t>
  </si>
  <si>
    <t>Subvenciones del Gobierno</t>
  </si>
  <si>
    <t>546</t>
  </si>
  <si>
    <t>547</t>
  </si>
  <si>
    <t>OTROS PASIVOS CORRIENTES</t>
  </si>
  <si>
    <t xml:space="preserve">Transferencias casa matriz y sucursales (del exterior) </t>
  </si>
  <si>
    <t>548</t>
  </si>
  <si>
    <t>549</t>
  </si>
  <si>
    <t>TOTAL PASIVOS CORRIENTES</t>
  </si>
  <si>
    <t>550</t>
  </si>
  <si>
    <t>PASIVOS NO CORRIENTES</t>
  </si>
  <si>
    <t>CUENTAS Y DOCUMENTOS POR PAGAR NO CORRIENTES</t>
  </si>
  <si>
    <t>CUENTAS Y DOCUMENTOS POR PAGAR COMERCIALES NO CORRIENTES</t>
  </si>
  <si>
    <t>553</t>
  </si>
  <si>
    <t>554</t>
  </si>
  <si>
    <t/>
  </si>
  <si>
    <t>555</t>
  </si>
  <si>
    <t>556</t>
  </si>
  <si>
    <t>OTRAS CUENTAS Y DOCUMENTOS POR PAGAR NO CORRIENTES</t>
  </si>
  <si>
    <t>A ACCIONISTAS, SOCIOS, PARTÍCIPES. BENEFICIARIOS U OTROS TITULARES DE DERECHOS REPRESENTATIVOS DE CAPITAL</t>
  </si>
  <si>
    <t>557</t>
  </si>
  <si>
    <t>558</t>
  </si>
  <si>
    <t>559</t>
  </si>
  <si>
    <t>560</t>
  </si>
  <si>
    <t>561</t>
  </si>
  <si>
    <t>562</t>
  </si>
  <si>
    <t>OBLIGACIONES CON INSTITUCIONES FINANCIERAS - NO CORRIENTES</t>
  </si>
  <si>
    <t>563</t>
  </si>
  <si>
    <t>564</t>
  </si>
  <si>
    <t>565</t>
  </si>
  <si>
    <t>566</t>
  </si>
  <si>
    <t xml:space="preserve">Crédito a mutuo </t>
  </si>
  <si>
    <t>567</t>
  </si>
  <si>
    <t>Porción no corriente de obligaciones emitidas</t>
  </si>
  <si>
    <t>568</t>
  </si>
  <si>
    <t>OTROS PASIVOS FINANCIEROS NO CORRIENTES</t>
  </si>
  <si>
    <t>569</t>
  </si>
  <si>
    <t>570</t>
  </si>
  <si>
    <t>Porción no corriente de arrendamientos financieros por pagar</t>
  </si>
  <si>
    <t>571</t>
  </si>
  <si>
    <t>Pasivo por Impuesto a la Renta diferido</t>
  </si>
  <si>
    <t>572</t>
  </si>
  <si>
    <t>PASIVOS NO CORRIENTES POR BENEFICIOS A LOS EMPLEADOS</t>
  </si>
  <si>
    <t>573</t>
  </si>
  <si>
    <t>Desahucio</t>
  </si>
  <si>
    <t>574</t>
  </si>
  <si>
    <t>Otros Pasivos No Corrientes Por Beneficios A Empleados</t>
  </si>
  <si>
    <t>575</t>
  </si>
  <si>
    <t>PROVISIONES NO CORRIENTES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</si>
  <si>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</si>
  <si>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</si>
  <si>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</si>
  <si>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</si>
  <si>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</si>
  <si>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</si>
  <si>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</si>
  <si>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</si>
  <si>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</si>
  <si>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Subvenciones del gobierno</t>
  </si>
  <si>
    <t>585</t>
  </si>
  <si>
    <t>586</t>
  </si>
  <si>
    <t>OTROS PASIVOS NO CORRIENTES</t>
  </si>
  <si>
    <t>587</t>
  </si>
  <si>
    <t>588</t>
  </si>
  <si>
    <t>TOTAL PASIVOS NO CORRIENTES</t>
  </si>
  <si>
    <t>589</t>
  </si>
  <si>
    <t>Total de Intereses Implícitos No Debvengados (Futuros Gastos Financieros En El Estado De Resultados) Por Acuerdos Que Constituyen Efectivamente Una Transacción Financiera O Pago Diferido (Informativo)</t>
  </si>
  <si>
    <t>591</t>
  </si>
  <si>
    <t>Pasivos incurridos en fideicomisos mercantiles o encargos fiduciarios donde el contribuyente es constituyente  o aportante (Informativo)</t>
  </si>
  <si>
    <t>592</t>
  </si>
  <si>
    <t>TOTAL DEL PASIVO</t>
  </si>
  <si>
    <t>599</t>
  </si>
  <si>
    <t>PATRIMONIO</t>
  </si>
  <si>
    <t>Capital Suscrito y/o Asignado</t>
  </si>
  <si>
    <t>601</t>
  </si>
  <si>
    <t>(-) Capital Suscrito No Pagado, Acciones en Tesorería</t>
  </si>
  <si>
    <t>602</t>
  </si>
  <si>
    <t>Aportes de Socios, Accionistas, Partícipes, Fundadores, Constituyentes, Beneficiarios U Otros Titulares De Derechos Representativos De Capital Para Futura Capitalización</t>
  </si>
  <si>
    <t>603</t>
  </si>
  <si>
    <t>RESERVAS</t>
  </si>
  <si>
    <t>Reserva legal</t>
  </si>
  <si>
    <t>604</t>
  </si>
  <si>
    <t>Reserva facultativa</t>
  </si>
  <si>
    <t>605</t>
  </si>
  <si>
    <t>606</t>
  </si>
  <si>
    <t>RESULTADOS ACUMULADOS</t>
  </si>
  <si>
    <t>Reserva de capital</t>
  </si>
  <si>
    <t>607</t>
  </si>
  <si>
    <t>Reserva por donaciones</t>
  </si>
  <si>
    <t>608</t>
  </si>
  <si>
    <t>Reserva por valuación (procedente de la aplicación de normas ecuatorianas de contabilidad - NEC)</t>
  </si>
  <si>
    <t>609</t>
  </si>
  <si>
    <t>Superávit por revaluación de inversiones (procedente de la aplicación de normas ecuatorianas de contabilidad - NEC)</t>
  </si>
  <si>
    <t>610</t>
  </si>
  <si>
    <t>Utilidades acumuladas de ejercicios anteriores</t>
  </si>
  <si>
    <t>611</t>
  </si>
  <si>
    <t>(-) Pérdidas acumuladas de ejercicios anteriores</t>
  </si>
  <si>
    <t>612</t>
  </si>
  <si>
    <t>Excedente / pérdida del ejercicio anterior (con socios)</t>
  </si>
  <si>
    <t>613</t>
  </si>
  <si>
    <t>Resultados acumulados por adopción por primera vez de las NIIF</t>
  </si>
  <si>
    <t>614</t>
  </si>
  <si>
    <t>Utilidad del ejercicio</t>
  </si>
  <si>
    <t>615</t>
  </si>
  <si>
    <t>Pérdida del ejercicio</t>
  </si>
  <si>
    <t>616</t>
  </si>
  <si>
    <t>Excedente / pérdida del ejercicio económico (con socios)</t>
  </si>
  <si>
    <t>617</t>
  </si>
  <si>
    <t>OTROS RESULTADOS INTEGRALES ACUMULADOS</t>
  </si>
  <si>
    <t>SUPERÁVIT DE REVALUACIÓN ACUMULADO</t>
  </si>
  <si>
    <t>Propiedades, Planta y Equipo</t>
  </si>
  <si>
    <t>618</t>
  </si>
  <si>
    <t>Activos intangibles</t>
  </si>
  <si>
    <t>619</t>
  </si>
  <si>
    <t>620</t>
  </si>
  <si>
    <t>Ganancias y pérdidas acumuladas por inversiones en instrumentos de patrimonio medidos a valor razonable con cambios en otro resultado integral</t>
  </si>
  <si>
    <t>621</t>
  </si>
  <si>
    <t>Ganancias y pérdidas acumuladas por la conversión de estados financieros de un negocio en el extranjero</t>
  </si>
  <si>
    <t>622</t>
  </si>
  <si>
    <t>Ganancias y pérdidas actuariales acumuladas</t>
  </si>
  <si>
    <t>623</t>
  </si>
  <si>
    <t>La parte efectiva de las ganancias y pérdidas de los instrumentos de cobertura en una cobertura de flujos de efectivo</t>
  </si>
  <si>
    <t>624</t>
  </si>
  <si>
    <t>625</t>
  </si>
  <si>
    <t xml:space="preserve">Dividendos declarados (distribuidos) a favor de titulares de derechos representativos de capital en el ejercicio fiscal  (Informativo) </t>
  </si>
  <si>
    <t>626</t>
  </si>
  <si>
    <t xml:space="preserve">Dividendos pagados (liquidados)  a titulares de derechos representativos de capital en el ejercicio fiscal  (Informativo) </t>
  </si>
  <si>
    <t>627</t>
  </si>
  <si>
    <t>TOTAL DEL PATRIMONIO</t>
  </si>
  <si>
    <t>698</t>
  </si>
  <si>
    <t>TOTAL PASIVO Y PATRIMONIO</t>
  </si>
  <si>
    <t>699</t>
  </si>
  <si>
    <t>ESTADO DEL RESULTADO INTEGRAL</t>
  </si>
  <si>
    <t>INGRESOS</t>
  </si>
  <si>
    <t>INGRESOS DE ACTIVIDADES ORDINARIAS</t>
  </si>
  <si>
    <t>VENTAS LOCALES DE BIENES</t>
  </si>
  <si>
    <t>Total ingresos</t>
  </si>
  <si>
    <t>Valor exento / no objeto</t>
  </si>
  <si>
    <t>Gravadas con tarifa diferente de 0% de IVA</t>
  </si>
  <si>
    <t>6001</t>
  </si>
  <si>
    <t>6002</t>
  </si>
  <si>
    <t>Gravadas con tarifa 0% de iva o exentas de IVA</t>
  </si>
  <si>
    <t>6003</t>
  </si>
  <si>
    <t>6004</t>
  </si>
  <si>
    <t>PRESTACIONES LOCALES DE SERVICIOS</t>
  </si>
  <si>
    <t>6005</t>
  </si>
  <si>
    <t>6006</t>
  </si>
  <si>
    <t>6007</t>
  </si>
  <si>
    <t>6008</t>
  </si>
  <si>
    <t>EXPORTACIONES NETAS (6009 - 6012)</t>
  </si>
  <si>
    <t>De bienes</t>
  </si>
  <si>
    <t>6009</t>
  </si>
  <si>
    <t>6010</t>
  </si>
  <si>
    <t>De servicios</t>
  </si>
  <si>
    <t>6011</t>
  </si>
  <si>
    <t>6012</t>
  </si>
  <si>
    <t>Por prestación de servicios de construcción</t>
  </si>
  <si>
    <t>6013</t>
  </si>
  <si>
    <t>6014</t>
  </si>
  <si>
    <t>Obtenidos bajo la modalidad de comisiones o similares (relaciones de agencia)</t>
  </si>
  <si>
    <t>6015</t>
  </si>
  <si>
    <t>6016</t>
  </si>
  <si>
    <t>Obtenidos por arrendamientos operativos</t>
  </si>
  <si>
    <t>6017</t>
  </si>
  <si>
    <t>6018</t>
  </si>
  <si>
    <t>TOTAL INGRESOS DE ACTIVIDADES ORDINARIAS</t>
  </si>
  <si>
    <t>1005</t>
  </si>
  <si>
    <t>POR REGALÍAS Y OTRAS CESIONES DE DERECHOS</t>
  </si>
  <si>
    <t>6019</t>
  </si>
  <si>
    <t>6020</t>
  </si>
  <si>
    <t>6021</t>
  </si>
  <si>
    <t>6022</t>
  </si>
  <si>
    <t>POR DIVIDENDOS</t>
  </si>
  <si>
    <t xml:space="preserve">Procedentes de sociedades residentes o establecidas en Ecuador </t>
  </si>
  <si>
    <t>6023</t>
  </si>
  <si>
    <t>6024</t>
  </si>
  <si>
    <t xml:space="preserve">Procedentes de sociedades no residentes ni establecidas en Ecuador </t>
  </si>
  <si>
    <t>6025</t>
  </si>
  <si>
    <t>6026</t>
  </si>
  <si>
    <t>Ganancias netas por mediciones de activos biológicos a valor razonable menos costos de venta</t>
  </si>
  <si>
    <t>6027</t>
  </si>
  <si>
    <t>6028</t>
  </si>
  <si>
    <t>Ganancias netas por medición de propiedades de inversión a valor razonable</t>
  </si>
  <si>
    <t>6029</t>
  </si>
  <si>
    <t>6030</t>
  </si>
  <si>
    <t>Ganancias netas por medición de instrumentos financieros a valor razonable</t>
  </si>
  <si>
    <t>6031</t>
  </si>
  <si>
    <t>6032</t>
  </si>
  <si>
    <t>Ganancias netas por diferencias de cambios</t>
  </si>
  <si>
    <t>6033</t>
  </si>
  <si>
    <t>6034</t>
  </si>
  <si>
    <t>Utilidad en venta de propiedades, planta y equipo</t>
  </si>
  <si>
    <t>6035</t>
  </si>
  <si>
    <t>6036</t>
  </si>
  <si>
    <t>Utilidad en la enajenación de derechos representativos de capital</t>
  </si>
  <si>
    <t>6037</t>
  </si>
  <si>
    <t>6038</t>
  </si>
  <si>
    <t>Ingresos devengados por subvenciones del gobierno y otras ayudas gubernamentales</t>
  </si>
  <si>
    <t>6039</t>
  </si>
  <si>
    <t>6040</t>
  </si>
  <si>
    <t>GANANCIAS NETAS POR REVERSIONES DE DETERIORO EN EL VALOR</t>
  </si>
  <si>
    <t>De activos financieros (reversión de provisiones para créditos incobrables)</t>
  </si>
  <si>
    <t>6041</t>
  </si>
  <si>
    <t>6042</t>
  </si>
  <si>
    <t>De inventarios</t>
  </si>
  <si>
    <t>6043</t>
  </si>
  <si>
    <t>6044</t>
  </si>
  <si>
    <t>De activos no corrientes mantenidos para la venta</t>
  </si>
  <si>
    <t>6045</t>
  </si>
  <si>
    <t>6046</t>
  </si>
  <si>
    <t>De activos biológicos</t>
  </si>
  <si>
    <t>6047</t>
  </si>
  <si>
    <t>6048</t>
  </si>
  <si>
    <t>De propiedades, planta y equipo</t>
  </si>
  <si>
    <t>6049</t>
  </si>
  <si>
    <t>6050</t>
  </si>
  <si>
    <t>De activos intangibles</t>
  </si>
  <si>
    <t>6051</t>
  </si>
  <si>
    <t>6052</t>
  </si>
  <si>
    <t>De propiedades de inversión</t>
  </si>
  <si>
    <t>6053</t>
  </si>
  <si>
    <t>6054</t>
  </si>
  <si>
    <t>De activos de exploración, evaluación y explotación de recursos minerales</t>
  </si>
  <si>
    <t>6055</t>
  </si>
  <si>
    <t>6056</t>
  </si>
  <si>
    <t>De inversiones no corrientes</t>
  </si>
  <si>
    <t>6057</t>
  </si>
  <si>
    <t>6058</t>
  </si>
  <si>
    <t>6059</t>
  </si>
  <si>
    <t>6060</t>
  </si>
  <si>
    <t>GANANCIAS NETAS POR REVERSIONES DE PROVISIONES</t>
  </si>
  <si>
    <t>6061</t>
  </si>
  <si>
    <t>6062</t>
  </si>
  <si>
    <t>Por desmantelamientos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</si>
  <si>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</si>
  <si>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</si>
  <si>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</si>
  <si>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</si>
  <si>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</si>
  <si>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</si>
  <si>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</si>
  <si>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</si>
  <si>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</si>
  <si>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</si>
  <si>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</si>
  <si>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</si>
  <si>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</si>
  <si>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</si>
  <si>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GANANCIAS NETAS POR REVERSIONES DE PASIVOS POR BENEFICIOS A LOS EMPLEADOS</t>
  </si>
  <si>
    <t>Jubilación patronal y desahucio</t>
  </si>
  <si>
    <t>6077</t>
  </si>
  <si>
    <t>6078</t>
  </si>
  <si>
    <t>6079</t>
  </si>
  <si>
    <t>6080</t>
  </si>
  <si>
    <t>RENTAS NETAS PROVENIENTES DE DONACIONES Y APORTACIONES (PARA USO DE INSTITUCIONES DE CARÁCTER PRIVADOS SIN FINES DE LUCRO)</t>
  </si>
  <si>
    <t>De recursos públicos</t>
  </si>
  <si>
    <t>6081</t>
  </si>
  <si>
    <t>6082</t>
  </si>
  <si>
    <t>De otras locales</t>
  </si>
  <si>
    <t>6083</t>
  </si>
  <si>
    <t>6084</t>
  </si>
  <si>
    <t>6085</t>
  </si>
  <si>
    <t>6086</t>
  </si>
  <si>
    <t>POR REEMBOLSOS DE SEGUROS</t>
  </si>
  <si>
    <t>Por lucro cesante</t>
  </si>
  <si>
    <t>6087</t>
  </si>
  <si>
    <t>6088</t>
  </si>
  <si>
    <t>6089</t>
  </si>
  <si>
    <t>6090</t>
  </si>
  <si>
    <t>Provenientes del exterior</t>
  </si>
  <si>
    <t>6091</t>
  </si>
  <si>
    <t>6092</t>
  </si>
  <si>
    <t>6093</t>
  </si>
  <si>
    <t>6094</t>
  </si>
  <si>
    <t>INGRESOS FINANCIEROS Y OTROS NO OPERACIONALES</t>
  </si>
  <si>
    <t>INGRESOS FINANCIEROS</t>
  </si>
  <si>
    <t>ARRENDAMIENTO MERCANTIL</t>
  </si>
  <si>
    <t>6095</t>
  </si>
  <si>
    <t>6096</t>
  </si>
  <si>
    <t>6097</t>
  </si>
  <si>
    <t>6098</t>
  </si>
  <si>
    <t>6099</t>
  </si>
  <si>
    <t>6100</t>
  </si>
  <si>
    <t>6101</t>
  </si>
  <si>
    <t>6102</t>
  </si>
  <si>
    <t>COSTOS DE TRANSACCIÓN (COMISIONES BANCRIAS, HONORARIOS, TASAS, ENTRE OTROS)</t>
  </si>
  <si>
    <t>6103</t>
  </si>
  <si>
    <t>6104</t>
  </si>
  <si>
    <t>6105</t>
  </si>
  <si>
    <t>6106</t>
  </si>
  <si>
    <t>6107</t>
  </si>
  <si>
    <t>6108</t>
  </si>
  <si>
    <t>6109</t>
  </si>
  <si>
    <t>6110</t>
  </si>
  <si>
    <t>INTERESES CON INSTITUCIONES FINANCIERAS</t>
  </si>
  <si>
    <t>6111</t>
  </si>
  <si>
    <t>6112</t>
  </si>
  <si>
    <t>6113</t>
  </si>
  <si>
    <t>6114</t>
  </si>
  <si>
    <t>6115</t>
  </si>
  <si>
    <t>6116</t>
  </si>
  <si>
    <t>6117</t>
  </si>
  <si>
    <t>6118</t>
  </si>
  <si>
    <t>INTERESES DEVENGADOS CON TERCEROS</t>
  </si>
  <si>
    <t>6119</t>
  </si>
  <si>
    <t>6120</t>
  </si>
  <si>
    <t>6121</t>
  </si>
  <si>
    <t>6122</t>
  </si>
  <si>
    <t>6123</t>
  </si>
  <si>
    <t>6124</t>
  </si>
  <si>
    <t>6125</t>
  </si>
  <si>
    <t>6126</t>
  </si>
  <si>
    <t>.</t>
  </si>
  <si>
    <t>Intereses implícitos devengados por acuerdos que constituyen efectivamente una transacción financiera o cobro diferido</t>
  </si>
  <si>
    <t>6127</t>
  </si>
  <si>
    <t>6128</t>
  </si>
  <si>
    <t>6129</t>
  </si>
  <si>
    <t>6130</t>
  </si>
  <si>
    <t>Ganancias por medición de inversiones en asociadas y negocios conjuntos al método de la participación (valor patrimonial proporcional)</t>
  </si>
  <si>
    <t>6131</t>
  </si>
  <si>
    <t>6132</t>
  </si>
  <si>
    <t>6133</t>
  </si>
  <si>
    <t>6134</t>
  </si>
  <si>
    <t>,</t>
  </si>
  <si>
    <t xml:space="preserve">Valor exento / no objeto </t>
  </si>
  <si>
    <t>Ganancias netas procedentes de actividades discontinuadas</t>
  </si>
  <si>
    <t>6135</t>
  </si>
  <si>
    <t>6136</t>
  </si>
  <si>
    <t>TOTAL INGRESOS NO OPERACIONALES</t>
  </si>
  <si>
    <t>1045</t>
  </si>
  <si>
    <t>TOTAL INGRESOS</t>
  </si>
  <si>
    <t>6999</t>
  </si>
  <si>
    <t xml:space="preserve">Ventas netas de propiedades, planta y equipo (Informativo) </t>
  </si>
  <si>
    <t>6140</t>
  </si>
  <si>
    <t>Ingresos por reembolso como intermediario / monto total facturado por operadoras de transporte con puntos de emisión asignados a socios (Informativo)</t>
  </si>
  <si>
    <t>6141</t>
  </si>
  <si>
    <t>Dividendos declarados (distribuidos) a favor del contribuyente en el ejercicio fiscal (Informativo)</t>
  </si>
  <si>
    <t>6142</t>
  </si>
  <si>
    <t>Dividendos cobrados (recaudados) por el  contribuyente en el ejercicio fiscal (Informativo)</t>
  </si>
  <si>
    <t>6143</t>
  </si>
  <si>
    <t>Ingresos obtenidos por  las organizaciones previstas en la ley de economía popular y solidaria (Informativo)</t>
  </si>
  <si>
    <t>Utilidades (Informativo)</t>
  </si>
  <si>
    <t>6144</t>
  </si>
  <si>
    <t>Excedentes (Informativo)</t>
  </si>
  <si>
    <t>6145</t>
  </si>
  <si>
    <t xml:space="preserve">Monto total facturado por comisionistas y similares (relaciones de agencia)  (Informativo) </t>
  </si>
  <si>
    <t>Correspondiente a los valores brutos de los bienes o servicios vendidos bajo la modalidad de comisiones o similares (Informativo)</t>
  </si>
  <si>
    <t>6146</t>
  </si>
  <si>
    <t>Valor total correspondiente a las comisiones, descuentos, primas y similares sobre los valores brutos de los bienes o servicios vendidos bajo la modalidad de comisiones o similares (Informativo)</t>
  </si>
  <si>
    <t>6147</t>
  </si>
  <si>
    <t>Ingresos generados por compañías de transporte internacional por sus operaciones habituales de transporte (Informativo)</t>
  </si>
  <si>
    <t>6148</t>
  </si>
  <si>
    <t>Ingresos generados en fideicomisos mercantiles o encargos fiduciarios donde el contribuyente es constituyente o aportante (Informativo)</t>
  </si>
  <si>
    <t>6149</t>
  </si>
  <si>
    <t>Ingresos no objeto de impuesto a la renta</t>
  </si>
  <si>
    <t>6150</t>
  </si>
  <si>
    <t>Ingresos obtenidos en dinero electrónico (Informativo)</t>
  </si>
  <si>
    <t>6151</t>
  </si>
  <si>
    <t>Ingresos brutos totales según contabilidad</t>
  </si>
  <si>
    <t>6152</t>
  </si>
  <si>
    <t>COSTOS Y GASTOS</t>
  </si>
  <si>
    <t>COSTO DE VENTAS</t>
  </si>
  <si>
    <t>Valor no deducible</t>
  </si>
  <si>
    <t>Inventario inicial de bienes no producidos por el sujeto pasivo</t>
  </si>
  <si>
    <t>7001</t>
  </si>
  <si>
    <t>Compras netas locales de bienes no producidos por el sujeto pasivo</t>
  </si>
  <si>
    <t>7004</t>
  </si>
  <si>
    <t>7006</t>
  </si>
  <si>
    <t>Importaciones de bienes no producidos por el sujeto pasivo</t>
  </si>
  <si>
    <t>7007</t>
  </si>
  <si>
    <t>7008</t>
  </si>
  <si>
    <t>7009</t>
  </si>
  <si>
    <t>(-) Inventario final de bienes no producidos por el sujeto pasivo</t>
  </si>
  <si>
    <t>7010</t>
  </si>
  <si>
    <t>Inventario inicial de materia prima</t>
  </si>
  <si>
    <t>7013</t>
  </si>
  <si>
    <t>Compras netas locales de materia prima</t>
  </si>
  <si>
    <t>7016</t>
  </si>
  <si>
    <t>7018</t>
  </si>
  <si>
    <t>Importaciones de materia prima</t>
  </si>
  <si>
    <t>7019</t>
  </si>
  <si>
    <t>7021</t>
  </si>
  <si>
    <t>(-) Inventario final de materia prima</t>
  </si>
  <si>
    <t>7022</t>
  </si>
  <si>
    <t>Inventario inicial de productos en proceso</t>
  </si>
  <si>
    <t>7025</t>
  </si>
  <si>
    <t>(-) Inventario final de productos en proceso</t>
  </si>
  <si>
    <t>7028</t>
  </si>
  <si>
    <t>Inventario inicial productos terminados</t>
  </si>
  <si>
    <t>7031</t>
  </si>
  <si>
    <t>(-) Inventario final de productos terminados</t>
  </si>
  <si>
    <t>7034</t>
  </si>
  <si>
    <t>(+ / -) Ajustes</t>
  </si>
  <si>
    <t>7037</t>
  </si>
  <si>
    <t>GASTOS POR BENEFICIOS A LOS EMPLEADOS Y HONORARIOS</t>
  </si>
  <si>
    <t>Sueldos, salarios y demás remuneraciones que constituyen materia gravada del iess</t>
  </si>
  <si>
    <t>7040</t>
  </si>
  <si>
    <t>7041</t>
  </si>
  <si>
    <t>7042</t>
  </si>
  <si>
    <t>Beneficios sociales, indemnizaciones y otras remuneraciones que no constituyen materia gravada del IESS</t>
  </si>
  <si>
    <t>7043</t>
  </si>
  <si>
    <t>7044</t>
  </si>
  <si>
    <t>7045</t>
  </si>
  <si>
    <t>Aporte a la seguridad social (incluye fondo de reserva)</t>
  </si>
  <si>
    <t>7046</t>
  </si>
  <si>
    <t>7047</t>
  </si>
  <si>
    <t>7048</t>
  </si>
  <si>
    <t>Honorarios profesionales y dietas</t>
  </si>
  <si>
    <t>7049</t>
  </si>
  <si>
    <t>7050</t>
  </si>
  <si>
    <t>7051</t>
  </si>
  <si>
    <t>Honorarios y otros pagos a no residentes por servicios ocasionales</t>
  </si>
  <si>
    <t>7052</t>
  </si>
  <si>
    <t>7053</t>
  </si>
  <si>
    <t>7054</t>
  </si>
  <si>
    <t>Jubilación patronal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</si>
  <si>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</si>
  <si>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</si>
  <si>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</si>
  <si>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</si>
  <si>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</si>
  <si>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</si>
  <si>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</si>
  <si>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</si>
  <si>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</si>
  <si>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GASTOS POR DEPRECIACIONES</t>
  </si>
  <si>
    <t>DEL COSTO HISTÓRICO DE PROPIEDADES, PLANTA Y EQUIPO</t>
  </si>
  <si>
    <t>Acelerada</t>
  </si>
  <si>
    <t>7064</t>
  </si>
  <si>
    <t>7065</t>
  </si>
  <si>
    <t>7066</t>
  </si>
  <si>
    <t>No acelerada</t>
  </si>
  <si>
    <t>7067</t>
  </si>
  <si>
    <t>7068</t>
  </si>
  <si>
    <t>7069</t>
  </si>
  <si>
    <t>Del costo histórico de propiedades de inversión</t>
  </si>
  <si>
    <t>7070</t>
  </si>
  <si>
    <t>7071</t>
  </si>
  <si>
    <t>7072</t>
  </si>
  <si>
    <t>Del costo histórico de activos para exploración, evaluación y explotación de recursos minerales</t>
  </si>
  <si>
    <t>7073</t>
  </si>
  <si>
    <t>7074</t>
  </si>
  <si>
    <t>7075</t>
  </si>
  <si>
    <t>DEL AJUSTE ACUMULADO POR REEXPRESIONES O REVALUACIONES</t>
  </si>
  <si>
    <t>Propiedades, planta y equipo</t>
  </si>
  <si>
    <t>7076</t>
  </si>
  <si>
    <t>7077</t>
  </si>
  <si>
    <t>7078</t>
  </si>
  <si>
    <t>Propiedades de inversión</t>
  </si>
  <si>
    <t>7079</t>
  </si>
  <si>
    <t>7080</t>
  </si>
  <si>
    <t>7081</t>
  </si>
  <si>
    <t>Activos para exploración, evaluación y explotación de recursos minerales</t>
  </si>
  <si>
    <t>7082</t>
  </si>
  <si>
    <t>7083</t>
  </si>
  <si>
    <t>7084</t>
  </si>
  <si>
    <t>7085</t>
  </si>
  <si>
    <t>7086</t>
  </si>
  <si>
    <t>7087</t>
  </si>
  <si>
    <t>De Activos Biológicos</t>
  </si>
  <si>
    <t>7088</t>
  </si>
  <si>
    <t>7089</t>
  </si>
  <si>
    <t>7090</t>
  </si>
  <si>
    <t>Otras depreciaciones</t>
  </si>
  <si>
    <t>7091</t>
  </si>
  <si>
    <t>7092</t>
  </si>
  <si>
    <t>7093</t>
  </si>
  <si>
    <t>GASTOS POR AMORTIZACIONES</t>
  </si>
  <si>
    <t>Del costo histórico de Activos Intangibles</t>
  </si>
  <si>
    <t>7094</t>
  </si>
  <si>
    <t>7095</t>
  </si>
  <si>
    <t>7096</t>
  </si>
  <si>
    <t>Del costo histórico de activos para la exploración evaluación y explotación de recursos minerales</t>
  </si>
  <si>
    <t>7097</t>
  </si>
  <si>
    <t>7098</t>
  </si>
  <si>
    <t>7099</t>
  </si>
  <si>
    <t>7100</t>
  </si>
  <si>
    <t>7101</t>
  </si>
  <si>
    <t>7102</t>
  </si>
  <si>
    <t>Activos para la exploración. Evaluación y explotación de recursos minerales</t>
  </si>
  <si>
    <t>7103</t>
  </si>
  <si>
    <t>7104</t>
  </si>
  <si>
    <t>7105</t>
  </si>
  <si>
    <t>7106</t>
  </si>
  <si>
    <t>7107</t>
  </si>
  <si>
    <t>7108</t>
  </si>
  <si>
    <t>Otras amortizaciones</t>
  </si>
  <si>
    <t>7109</t>
  </si>
  <si>
    <t>7110</t>
  </si>
  <si>
    <t>7111</t>
  </si>
  <si>
    <t>PÉRDIDAS NETAS POR DETERIORO EN EL VALOR</t>
  </si>
  <si>
    <t>De activos financieros (de provisiones para créditos incobrables)</t>
  </si>
  <si>
    <t>7113</t>
  </si>
  <si>
    <t>7114</t>
  </si>
  <si>
    <t>7115</t>
  </si>
  <si>
    <t>7116</t>
  </si>
  <si>
    <t>7117</t>
  </si>
  <si>
    <t>7119</t>
  </si>
  <si>
    <t>7120</t>
  </si>
  <si>
    <t>7122</t>
  </si>
  <si>
    <t>7123</t>
  </si>
  <si>
    <t>7124</t>
  </si>
  <si>
    <t>7125</t>
  </si>
  <si>
    <t>7126</t>
  </si>
  <si>
    <t>7127</t>
  </si>
  <si>
    <t>7128</t>
  </si>
  <si>
    <t>7129</t>
  </si>
  <si>
    <t>7131</t>
  </si>
  <si>
    <t>7132</t>
  </si>
  <si>
    <t>7134</t>
  </si>
  <si>
    <t>7135</t>
  </si>
  <si>
    <t>7137</t>
  </si>
  <si>
    <t>7138</t>
  </si>
  <si>
    <t>7139</t>
  </si>
  <si>
    <t>7140</t>
  </si>
  <si>
    <t>7141</t>
  </si>
  <si>
    <t>GASTOS DE PROVISIONES</t>
  </si>
  <si>
    <t>7142</t>
  </si>
  <si>
    <t>7143</t>
  </si>
  <si>
    <t>7144</t>
  </si>
  <si>
    <t>7145</t>
  </si>
  <si>
    <t>7146</t>
  </si>
  <si>
    <t>7147</t>
  </si>
  <si>
    <t>7149</t>
  </si>
  <si>
    <t>7150</t>
  </si>
  <si>
    <t>7152</t>
  </si>
  <si>
    <t>7153</t>
  </si>
  <si>
    <t>7155</t>
  </si>
  <si>
    <t>7156</t>
  </si>
  <si>
    <t>7158</t>
  </si>
  <si>
    <t>7159</t>
  </si>
  <si>
    <t>7160</t>
  </si>
  <si>
    <t>7161</t>
  </si>
  <si>
    <t>7162</t>
  </si>
  <si>
    <t>7163</t>
  </si>
  <si>
    <t>7164</t>
  </si>
  <si>
    <t>7165</t>
  </si>
  <si>
    <t>PÉRDIDA EN VENTA DE ACTIVOS FIJOS</t>
  </si>
  <si>
    <t>7166</t>
  </si>
  <si>
    <t>7167</t>
  </si>
  <si>
    <t>7168</t>
  </si>
  <si>
    <t>7169</t>
  </si>
  <si>
    <t>7170</t>
  </si>
  <si>
    <t>7171</t>
  </si>
  <si>
    <t>7173</t>
  </si>
  <si>
    <t>7174</t>
  </si>
  <si>
    <t>Transporte</t>
  </si>
  <si>
    <t>7176</t>
  </si>
  <si>
    <t>7177</t>
  </si>
  <si>
    <t>Consumo de combustibles y lubricantes</t>
  </si>
  <si>
    <t>7178</t>
  </si>
  <si>
    <t>7179</t>
  </si>
  <si>
    <t>7180</t>
  </si>
  <si>
    <t>7182</t>
  </si>
  <si>
    <t>7183</t>
  </si>
  <si>
    <t>7185</t>
  </si>
  <si>
    <t>7186</t>
  </si>
  <si>
    <t>Arrendamientos operativos</t>
  </si>
  <si>
    <t>7188</t>
  </si>
  <si>
    <t>7189</t>
  </si>
  <si>
    <t>Suministros, herramientas, materiales y repuestos</t>
  </si>
  <si>
    <t>7190</t>
  </si>
  <si>
    <t>7191</t>
  </si>
  <si>
    <t>7192</t>
  </si>
  <si>
    <t>Pérdida en la enajenación de derechos representativos de capital</t>
  </si>
  <si>
    <t>7194</t>
  </si>
  <si>
    <t>7195</t>
  </si>
  <si>
    <t>Mantenimiento y reparaciones</t>
  </si>
  <si>
    <t>7196</t>
  </si>
  <si>
    <t>7197</t>
  </si>
  <si>
    <t>7198</t>
  </si>
  <si>
    <t>Mermas</t>
  </si>
  <si>
    <t>7199</t>
  </si>
  <si>
    <t>7200</t>
  </si>
  <si>
    <t>7201</t>
  </si>
  <si>
    <t xml:space="preserve">Seguros y reaseguros (primas y cesiones) </t>
  </si>
  <si>
    <t>7202</t>
  </si>
  <si>
    <t>7203</t>
  </si>
  <si>
    <t>7204</t>
  </si>
  <si>
    <t>Gastos indirectos asignados desde el exterior por partes relacionadas</t>
  </si>
  <si>
    <t>7205</t>
  </si>
  <si>
    <t>7206</t>
  </si>
  <si>
    <t>7207</t>
  </si>
  <si>
    <t>Impuestos, contribuciones y otros</t>
  </si>
  <si>
    <t>7208</t>
  </si>
  <si>
    <t>7209</t>
  </si>
  <si>
    <t>7210</t>
  </si>
  <si>
    <t>COMISIONES Y SIMILARES (DIFERENTES DE LAS COMISIONES POR OPERACIONES FINANCIERAS)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</si>
  <si>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</si>
  <si>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</si>
  <si>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</si>
  <si>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</si>
  <si>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</si>
  <si>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</si>
  <si>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</si>
  <si>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</si>
  <si>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</si>
  <si>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</si>
  <si>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</si>
  <si>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</si>
  <si>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OPERACIONES DE REGALÍAS, SERVICIOS TÉCNICOS. ADMINISTRATIVOS, DE CONSULTARÍA Y SIMILARES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</si>
  <si>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</si>
  <si>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</si>
  <si>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</si>
  <si>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</si>
  <si>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</si>
  <si>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</si>
  <si>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</si>
  <si>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</si>
  <si>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</si>
  <si>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</si>
  <si>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</si>
  <si>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</si>
  <si>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Instalación, organización y similares</t>
  </si>
  <si>
    <t>7235</t>
  </si>
  <si>
    <t>7236</t>
  </si>
  <si>
    <t>7237</t>
  </si>
  <si>
    <t>IVA que se carga al costo o gasto</t>
  </si>
  <si>
    <t>7238</t>
  </si>
  <si>
    <t>7239</t>
  </si>
  <si>
    <t>7240</t>
  </si>
  <si>
    <t>Servicios públicos</t>
  </si>
  <si>
    <t>7241</t>
  </si>
  <si>
    <t>7242</t>
  </si>
  <si>
    <t>7243</t>
  </si>
  <si>
    <t>Pérdidas por siniestros</t>
  </si>
  <si>
    <t>7245</t>
  </si>
  <si>
    <t>7246</t>
  </si>
  <si>
    <t>7247</t>
  </si>
  <si>
    <t>7248</t>
  </si>
  <si>
    <t>7249</t>
  </si>
  <si>
    <t>GASTOS FINANCIEROS Y OTROS  NO OPERACIONALES</t>
  </si>
  <si>
    <t>GASTOS FINANCIEROS</t>
  </si>
  <si>
    <t>7251</t>
  </si>
  <si>
    <t>7252</t>
  </si>
  <si>
    <t>7254</t>
  </si>
  <si>
    <t>7255</t>
  </si>
  <si>
    <t>7257</t>
  </si>
  <si>
    <t>7258</t>
  </si>
  <si>
    <t>7260</t>
  </si>
  <si>
    <t>7261</t>
  </si>
  <si>
    <t>COSTOS DE TRANSACCIÓN (COMISIONES BANCARIAS, HONORARIOS, TASAS, ENTRE OTROS)</t>
  </si>
  <si>
    <t>7263</t>
  </si>
  <si>
    <t>7264</t>
  </si>
  <si>
    <t>7266</t>
  </si>
  <si>
    <t>7267</t>
  </si>
  <si>
    <t>7269</t>
  </si>
  <si>
    <t>7270</t>
  </si>
  <si>
    <t>7272</t>
  </si>
  <si>
    <t>7273</t>
  </si>
  <si>
    <t>7275</t>
  </si>
  <si>
    <t>7276</t>
  </si>
  <si>
    <t>7278</t>
  </si>
  <si>
    <t>7279</t>
  </si>
  <si>
    <t>7281</t>
  </si>
  <si>
    <t>7282</t>
  </si>
  <si>
    <t>7284</t>
  </si>
  <si>
    <t>7285</t>
  </si>
  <si>
    <t>INTERESES PAGADOS A TERCEROS</t>
  </si>
  <si>
    <t>7287</t>
  </si>
  <si>
    <t>7288</t>
  </si>
  <si>
    <t>7290</t>
  </si>
  <si>
    <t>7291</t>
  </si>
  <si>
    <t>7293</t>
  </si>
  <si>
    <t>7294</t>
  </si>
  <si>
    <t>7296</t>
  </si>
  <si>
    <t>7297</t>
  </si>
  <si>
    <t>Reversiones del descuento de provisiones que fueron reconocidas a su valor presente</t>
  </si>
  <si>
    <t>7299</t>
  </si>
  <si>
    <t>7300</t>
  </si>
  <si>
    <t>Intereses implícitos devengados por acuerdos que constituyen efectivamente una transacción financiera o pago diferido</t>
  </si>
  <si>
    <t>7302</t>
  </si>
  <si>
    <t>7303</t>
  </si>
  <si>
    <t>7305</t>
  </si>
  <si>
    <t>7306</t>
  </si>
  <si>
    <t>Pérdidas por medición de inversiones en asociadas y negocios conjuntos al método de la participación (valor patrimonial proporcional)</t>
  </si>
  <si>
    <t>7308</t>
  </si>
  <si>
    <t>7309</t>
  </si>
  <si>
    <t>7311</t>
  </si>
  <si>
    <t>7312</t>
  </si>
  <si>
    <t>Perdidas netas procedentes de actividades disconitnuadas</t>
  </si>
  <si>
    <t>7314</t>
  </si>
  <si>
    <t>7315</t>
  </si>
  <si>
    <t>TOTAL COSTOS OPERACIONALES</t>
  </si>
  <si>
    <t>7991</t>
  </si>
  <si>
    <t>TOTAL GASTOS</t>
  </si>
  <si>
    <t>7992</t>
  </si>
  <si>
    <t>TOTAL COSTOS Y GASTOS</t>
  </si>
  <si>
    <t>7999</t>
  </si>
  <si>
    <t>Baja de inventario (Informativo)</t>
  </si>
  <si>
    <t>7901</t>
  </si>
  <si>
    <t>Pago por reembolso como reembolsante / monto total facturado por socios por puntos de emisión a operadoras de transporte (Informativo)</t>
  </si>
  <si>
    <t>7902</t>
  </si>
  <si>
    <t>Pago por reembolso como intermediario (Informativo)</t>
  </si>
  <si>
    <t>7903</t>
  </si>
  <si>
    <t>No. de ruc del profesional que  realizó el cálculo actuarial para el contribuyente (Informativo)</t>
  </si>
  <si>
    <t>7904</t>
  </si>
  <si>
    <t>Costos y gastos generados en fideicomisos mercantiles o encargos fiduciarios donde el contribuyente es constituyente  o aportante (Informativo)</t>
  </si>
  <si>
    <t>7905</t>
  </si>
  <si>
    <t>Gastos atribuidos a ingresos no objeto de impuesto a la renta</t>
  </si>
  <si>
    <t>7906</t>
  </si>
  <si>
    <t>Costos y gastos realizados con dinero electrónico (Informativo)</t>
  </si>
  <si>
    <t>7907</t>
  </si>
  <si>
    <t>Incentivos ley de solidaridad (inversiones nuevas, exoneración para IFIS y compensación por el exceso de las contribuciones solidarias)</t>
  </si>
  <si>
    <t>7908</t>
  </si>
  <si>
    <t>801</t>
  </si>
  <si>
    <t>PÉRDIDA DEL EJERCICIO</t>
  </si>
  <si>
    <t>802</t>
  </si>
  <si>
    <t>Generación</t>
  </si>
  <si>
    <t>Reversión</t>
  </si>
  <si>
    <t>Ingresos por mediciones de activos biológicos al valor razonable menos costos de venta</t>
  </si>
  <si>
    <t>094</t>
  </si>
  <si>
    <t>095</t>
  </si>
  <si>
    <t>Pérdidas, costos y gastos por mediciones de activos biológicos al valor razonable menos costos de venta</t>
  </si>
  <si>
    <t>096</t>
  </si>
  <si>
    <t>097</t>
  </si>
  <si>
    <t>DIFERENCIAS PERMANENTES</t>
  </si>
  <si>
    <t>(-) Participación a trabajadores</t>
  </si>
  <si>
    <t>803</t>
  </si>
  <si>
    <t>(-) Dividendos exentos  y efectos por método de participación (valor patrimonial proporcional) campos (6024+6026+6132)</t>
  </si>
  <si>
    <t>804</t>
  </si>
  <si>
    <t>(-) Otras rentas exentas e ingresos no objeto de Impuesto a la Renta</t>
  </si>
  <si>
    <t>805</t>
  </si>
  <si>
    <t>(+) Gastos no deducibles locales</t>
  </si>
  <si>
    <t>806</t>
  </si>
  <si>
    <t>(+) Gastos no deducibles del exterior</t>
  </si>
  <si>
    <t>807</t>
  </si>
  <si>
    <t>(+) Gastos incurridos para generar ingresos exentos y gastos atribuidos a ingresos no objeto de Impuesto a la Renta</t>
  </si>
  <si>
    <t>808</t>
  </si>
  <si>
    <t>(+) Participación trabajadores atribuible a ingresos exentos y no objeto de impuesto a la renta -Fórmula {(804*15%) +  [ (805-808)*15% ]}</t>
  </si>
  <si>
    <t>809</t>
  </si>
  <si>
    <t>810</t>
  </si>
  <si>
    <t xml:space="preserve">(+) Ajuste por precios de transferencia </t>
  </si>
  <si>
    <t>811</t>
  </si>
  <si>
    <t>(-) Ingresos sujetos a Impuesto a la Renta Unico</t>
  </si>
  <si>
    <t>812</t>
  </si>
  <si>
    <t>(+) Costos y gastos deducibles incurridos para generar ingresos sujetos a impuesto a la renta único</t>
  </si>
  <si>
    <t>813</t>
  </si>
  <si>
    <t>GENERACIÓN / REVERSIÓN DE DIFERENCIAS TEMPORARIAS (IMPUESTOS DIFERIDOS)</t>
  </si>
  <si>
    <t>Por valor neto realizable de inventarios</t>
  </si>
  <si>
    <t>814</t>
  </si>
  <si>
    <t>815</t>
  </si>
  <si>
    <t xml:space="preserve">Por provisiones para desahucio pensiones jubilares patronales </t>
  </si>
  <si>
    <t>816</t>
  </si>
  <si>
    <t>817</t>
  </si>
  <si>
    <t>Por costos estimados de desmantelamiento</t>
  </si>
  <si>
    <t>818</t>
  </si>
  <si>
    <t>819</t>
  </si>
  <si>
    <t>Por deterioros del valor de propiedades, planta y equipo</t>
  </si>
  <si>
    <t>820</t>
  </si>
  <si>
    <t>821</t>
  </si>
  <si>
    <t>Por provisiones (diferentes de cuentas incobrables, desmantelamiento, desahucio y jubilación patronal)</t>
  </si>
  <si>
    <t>822</t>
  </si>
  <si>
    <t>823</t>
  </si>
  <si>
    <t>Por contratos de construcción</t>
  </si>
  <si>
    <t>824</t>
  </si>
  <si>
    <t>825</t>
  </si>
  <si>
    <t>Por mediciones de activos no corrientes mantenidos para la venta</t>
  </si>
  <si>
    <t>826</t>
  </si>
  <si>
    <t>827</t>
  </si>
  <si>
    <t>POR MEDICIONES DE ACTIVOS BIOLÓGICOS AL VALOR RAZONABLE MENOS COSTO DE VENTA</t>
  </si>
  <si>
    <t xml:space="preserve">Ingresos </t>
  </si>
  <si>
    <t>828</t>
  </si>
  <si>
    <t>829</t>
  </si>
  <si>
    <t xml:space="preserve">Pérdidas, costos y gastos </t>
  </si>
  <si>
    <t>830</t>
  </si>
  <si>
    <t>831</t>
  </si>
  <si>
    <t xml:space="preserve">Amortización pérdidas tributarias de años anteriores </t>
  </si>
  <si>
    <t>833</t>
  </si>
  <si>
    <t>Por otras diferencias temporarias</t>
  </si>
  <si>
    <t>834</t>
  </si>
  <si>
    <t>835</t>
  </si>
  <si>
    <t>Utilidad gravable</t>
  </si>
  <si>
    <t>836</t>
  </si>
  <si>
    <t>Pérdida sujeta a amortización en períodos siguientes</t>
  </si>
  <si>
    <t>837</t>
  </si>
  <si>
    <t>INFORMACIÓN RELACIONADA CON EL DEBER DE INFORMAR LA COMPOSICIÒN SOCIETARIA A LA ADMINISTRACIÓN TRIBUTARIA (ANEXO DE ACCIONISTAS - APS)</t>
  </si>
  <si>
    <t>¿Cumple el deber de informar sobre la composición societaria dentro de los plazos establecidos?</t>
  </si>
  <si>
    <t>838</t>
  </si>
  <si>
    <t>Porcentaje de la composición societaria no informada (dentro de los plazos establecidos)</t>
  </si>
  <si>
    <t>839</t>
  </si>
  <si>
    <t>Porcentaje de la composición societaria correspondiente a paraísos fiscales al 31 de diciembre del ejercicio declarado que sí ha sido informada</t>
  </si>
  <si>
    <t>840</t>
  </si>
  <si>
    <t>INFORMACIÓN RELACIONADA POR RESULTADOS OBTENIDOS DENTRO Y FUERA DE ZEDESs</t>
  </si>
  <si>
    <t xml:space="preserve"> ¿Contribuyente declarante es administrador u operador de ZEDE?</t>
  </si>
  <si>
    <t>841</t>
  </si>
  <si>
    <t>INFORMACIÓN RELACIONADA POR RESULTADOS OBTENIDOS DENTRO Y FUERA DE ZEDES</t>
  </si>
  <si>
    <t>Aplicable a territorio ZEDE</t>
  </si>
  <si>
    <t>Aplicable a territorio fuera de ZEDE</t>
  </si>
  <si>
    <t>842</t>
  </si>
  <si>
    <t>843</t>
  </si>
  <si>
    <t>844</t>
  </si>
  <si>
    <t>845</t>
  </si>
  <si>
    <t>Utilidad a reinvertir y capitalizar (sujeta legalmente a reducción de la tarifa)</t>
  </si>
  <si>
    <t>846</t>
  </si>
  <si>
    <t>847</t>
  </si>
  <si>
    <t xml:space="preserve">Saldo utilidad gravable </t>
  </si>
  <si>
    <t>848</t>
  </si>
  <si>
    <t>849</t>
  </si>
  <si>
    <t>Para el período fiscal seleccionado, ¿se constituye en una sociedad que cumple la condición para el beneficio de rebaja en la tarifa por reinversión de utilidades (detalle tipo)?</t>
  </si>
  <si>
    <t>033</t>
  </si>
  <si>
    <t>Para el período fiscal seleccionado, ¿se constituye en una sociedad exportadora habitual (octavo artículo innumerado a continuación del art. 7 del RLRTI), que cumple las condiciones para el beneficio de rebaja en la tarifa de impuesto a la renta (segundo artículo innumerado a continuación del art. 37.1 de la LRTI)? Nota: El beneficio tributario no aplica para las actividades petroleras ni de recursos no renovables.</t>
  </si>
  <si>
    <t>034</t>
  </si>
  <si>
    <t>¿Tiene derecho a la reducción de tarifa por reinversión de utilidades en proyectos deportivos, culturales, investigación científica responsable o desarrollo tecnológico acreditados por la SENESCYT?</t>
  </si>
  <si>
    <t>046</t>
  </si>
  <si>
    <t>Porcentaje de reducción porcentual de tarifa aplicable en proyectos deportivos, culturales, investigación científica responsable o desarrollo tecnológico acreditados por la SENESCYT</t>
  </si>
  <si>
    <t>047</t>
  </si>
  <si>
    <t xml:space="preserve">¿Es una empresa existente con nuevas inversiones productivas que genera empleo neto y debe aplicar la proporcionalidad del Impuesto a la Renta? </t>
  </si>
  <si>
    <t>037</t>
  </si>
  <si>
    <t xml:space="preserve">Porcentaje de reducción de tarifa aplicable en el caso de empresas existentes con nuevas inversiones productivas  que genera empleo neto </t>
  </si>
  <si>
    <t>038</t>
  </si>
  <si>
    <t>¿Es una empresa existente con nuevas inversiones productivas que genera empleo neto con autorización del CEPAI para una reducción de tarifa de Impuesto a la Renta superior a 10%?</t>
  </si>
  <si>
    <t>049</t>
  </si>
  <si>
    <t>Número de Resolución de autorización del CEPAI para una reducción de tarifa superior a 10 puntos porcentuales</t>
  </si>
  <si>
    <t>050</t>
  </si>
  <si>
    <t>Porcentaje de reducción de tarifa superior a 10 puntos porcentuales aplicable en el caso de empresas existentes con nuevas inversiones productivas que genera empleo neto con autorización del CEPAI</t>
  </si>
  <si>
    <t>051</t>
  </si>
  <si>
    <t xml:space="preserve">Total impuesto causado </t>
  </si>
  <si>
    <t>850</t>
  </si>
  <si>
    <t xml:space="preserve">¿Tiene derecho a la exoneración del impuesto a la renta para entidades del sector financiero popular y solidario resultantes de procesos de fusión de los segmentos distintos a los dos últimos? </t>
  </si>
  <si>
    <t>039</t>
  </si>
  <si>
    <t>Porcentaje de la relación entre el activo total de la entidad de menor tamaño respecto al activo total de la entidad absorbente</t>
  </si>
  <si>
    <t>040</t>
  </si>
  <si>
    <t>(-) Exoneración del impuesto a la renta para las entidades del sector financiero popular y solidario resultantes de procesos de fusión de los segmentos distintos a los dos últimos</t>
  </si>
  <si>
    <t>041</t>
  </si>
  <si>
    <t xml:space="preserve">Saldo del anticipo pendiente de pago (traslade campo 876 declaración período anterior) </t>
  </si>
  <si>
    <t>800</t>
  </si>
  <si>
    <t xml:space="preserve"> anticipo determinado correspondiente al ejercicio fiscal declarado (traslade campo 879 declaración período  anterior) </t>
  </si>
  <si>
    <t>851</t>
  </si>
  <si>
    <t>(=) Rebaja del saldo del anticipo - decreto ejecutivo no. 210 (aplica para únicamente para el ejercicio 2017)</t>
  </si>
  <si>
    <t>852</t>
  </si>
  <si>
    <t>(=) Anticipo reducido correspondiente al ejercicio fiscal declarado (aplica para únicamente para el ejercicio 2017)                                                   (851-852)</t>
  </si>
  <si>
    <t>853</t>
  </si>
  <si>
    <t xml:space="preserve">(=) Impuesto a la renta causado mayor al anticipo reducido                                                                                                                                                            </t>
  </si>
  <si>
    <t>854</t>
  </si>
  <si>
    <t>(=) Crédito tributario generado por anticipo</t>
  </si>
  <si>
    <t>855</t>
  </si>
  <si>
    <t>(+) Saldo del anticipo pendiente de pago</t>
  </si>
  <si>
    <t>856</t>
  </si>
  <si>
    <t>(-) Retenciones en la fuente que le realizaron en el ejercicio fiscal</t>
  </si>
  <si>
    <t>857</t>
  </si>
  <si>
    <t>(-) Retenciones por dividendos anticipados</t>
  </si>
  <si>
    <t>858</t>
  </si>
  <si>
    <t>(-) Retenciones por ingresos provenientes del exterior con derecho a crédito tributario</t>
  </si>
  <si>
    <t>859</t>
  </si>
  <si>
    <t>(-) Anticipo de impuesto a la renta pagado por espectáculos públicos</t>
  </si>
  <si>
    <t>860</t>
  </si>
  <si>
    <t>(-) Crédito tributario de años anteriores</t>
  </si>
  <si>
    <t>861</t>
  </si>
  <si>
    <t>(-) CRÉDITO TRIBUTARIO GENERADO POR IMPUESTO A LA SALIDA DE DIVISAS</t>
  </si>
  <si>
    <t>Generado en el ejercicio fiscal declarado</t>
  </si>
  <si>
    <t>862</t>
  </si>
  <si>
    <t>Generado en ejercicios fiscales anteriores</t>
  </si>
  <si>
    <t>863</t>
  </si>
  <si>
    <t>¿Tiene derecho a la exoneración del pago del saldo del Impuesto a la Renta del ejercicio fiscal 2015 dispuesta en la Ley Orgánica de Solidaridad y de Corresponsabilidad Ciudadana para la Reconstrucción y Reactivación de las Zonas Afectadas?</t>
  </si>
  <si>
    <t>042</t>
  </si>
  <si>
    <t>(-) Exoneración del pago del saldo del impuesto a la renta del ejercicio fiscal 2015 dispuesta en la Ley Orgánica de Solidaridad y de Corresponsabilidad Ciudadana para la Reconstrucción y Reactivación de las Zonas Afectadas.</t>
  </si>
  <si>
    <t>043</t>
  </si>
  <si>
    <t>¿Tiene derecho a la reducción de 10% del Impuesto a la Renta a pagar del ejercicio fiscal 2019 para contribuyentes domiciliados a septiembre de 2019 cuya actividad económica principal sea la agrícola, ganadera, agroindustrial y/o turismo en provincias afectadas por la paralización?</t>
  </si>
  <si>
    <t>044</t>
  </si>
  <si>
    <t>(-) Reducción de 10% del Impuesto a la Renta del ejercicio fiscal 2019 para contribuyentes domiciliados a septiembre de 2019 cuya actividad económica principal sea la agrícola, ganadera, agroindustrial y/o turismo en las provincias afectadas por la paralización</t>
  </si>
  <si>
    <t>045</t>
  </si>
  <si>
    <t>(-) Valor del beneficio en impuesto de una sociedad que dispone de un contrato de inversión con estabilidad en la tarifa de Impuesto a la Renta, de acuerdo a lo señalado en el COPCI</t>
  </si>
  <si>
    <t>048</t>
  </si>
  <si>
    <t>Subtotal impuesto a pagar</t>
  </si>
  <si>
    <t>865</t>
  </si>
  <si>
    <t>Subtotal saldo a favor</t>
  </si>
  <si>
    <t>866</t>
  </si>
  <si>
    <t>(+) Impuesto a la renta único (a partir del ejercicio 2015 registre la sumatoria de los valores pagados mensualmente por concepto de impuesto único)</t>
  </si>
  <si>
    <t>867</t>
  </si>
  <si>
    <t xml:space="preserve">(-) Crédito tributario para la liquidación del impuesto a la renta único (a partir del ejercicio 2015) </t>
  </si>
  <si>
    <t>868</t>
  </si>
  <si>
    <t>Impuesto a la renta a pagar</t>
  </si>
  <si>
    <t>869</t>
  </si>
  <si>
    <t>Saldo a favor contribuyente</t>
  </si>
  <si>
    <t>870</t>
  </si>
  <si>
    <t>RESUMEN FINANCIERO (INFORMATIVO)</t>
  </si>
  <si>
    <t xml:space="preserve">Ingresos Operacionales </t>
  </si>
  <si>
    <t>(-) Costos Operacionales</t>
  </si>
  <si>
    <t xml:space="preserve">(=) Utilidad Bruta </t>
  </si>
  <si>
    <t>1025</t>
  </si>
  <si>
    <t xml:space="preserve">(-) Gastos Operacionales </t>
  </si>
  <si>
    <t>1030</t>
  </si>
  <si>
    <t xml:space="preserve">(=) Utilidad Operacional </t>
  </si>
  <si>
    <t>1040</t>
  </si>
  <si>
    <t>(+) Ingresos No Operacionales</t>
  </si>
  <si>
    <t>(-) Gastos Financieros y Otros gastos no operacionales</t>
  </si>
  <si>
    <t>1055</t>
  </si>
  <si>
    <t xml:space="preserve">(=) Utilidad antes de Participación a trabajadores </t>
  </si>
  <si>
    <t>1065</t>
  </si>
  <si>
    <t>(=) Utilidad antes de Impuesto a la Renta (1065 - 803)</t>
  </si>
  <si>
    <t>1075</t>
  </si>
  <si>
    <t>(-) Impuesto a la Renta Causado</t>
  </si>
  <si>
    <t>(=) Utilidad después de Impuesto a la Renta (1075 - 850)</t>
  </si>
  <si>
    <t>ANTICIPO (PRÓXIMO AÑO)</t>
  </si>
  <si>
    <t>ANTICIPO DE IMPUESTO A LA RENTA PRÓXIMO AÑO</t>
  </si>
  <si>
    <t>871</t>
  </si>
  <si>
    <t>(-) Exoneraciones y rebajas al anticipo</t>
  </si>
  <si>
    <t>872</t>
  </si>
  <si>
    <t>(+) Otros conceptos</t>
  </si>
  <si>
    <t>873</t>
  </si>
  <si>
    <t>Anticipo determinado próximo año</t>
  </si>
  <si>
    <t>879</t>
  </si>
  <si>
    <t>OTRO RESULTADO INTEGRAL DEL PERIODO (INFORMATIVO)</t>
  </si>
  <si>
    <t>GANANCIAS Y PERDIDAS POR REVALUACIONES</t>
  </si>
  <si>
    <t>880</t>
  </si>
  <si>
    <t>881</t>
  </si>
  <si>
    <t>882</t>
  </si>
  <si>
    <t>Ganancias y pérdidas por inversiones en instrumentos de patrimonio medidos a valor razonable con cambios en otro resultado integral</t>
  </si>
  <si>
    <t>883</t>
  </si>
  <si>
    <t>Ganancias y pérdidas por la conversión de estados financieros de un negocio en el extranjero</t>
  </si>
  <si>
    <t>884</t>
  </si>
  <si>
    <t>Ganancias y pérdidas actuariales</t>
  </si>
  <si>
    <t>885</t>
  </si>
  <si>
    <t>886</t>
  </si>
  <si>
    <t>887</t>
  </si>
  <si>
    <t xml:space="preserve">GASTO (INGRESO) POR IMPUESTO A LA RENTA DEL PERIODO (INFORMATIVO) </t>
  </si>
  <si>
    <t>Gasto (ingreso) por impuesto a la renta corriente</t>
  </si>
  <si>
    <t>888</t>
  </si>
  <si>
    <t>Gasto (ingreso) por impuesto a la renta diferido</t>
  </si>
  <si>
    <t>889</t>
  </si>
  <si>
    <t>TOTALES</t>
  </si>
  <si>
    <t>Pago previo (Informativo)</t>
  </si>
  <si>
    <t>890</t>
  </si>
  <si>
    <t>DETALLE DE IMPUTACIÓN AL PAGO (PARA DECLARACIONES SUSTITUTIVAS)</t>
  </si>
  <si>
    <t>Interés</t>
  </si>
  <si>
    <t>897</t>
  </si>
  <si>
    <t>Impuesto</t>
  </si>
  <si>
    <t>898</t>
  </si>
  <si>
    <t>Multa</t>
  </si>
  <si>
    <t>899</t>
  </si>
  <si>
    <t>VALORES A PAGAR Y FORMAS DE PAGO (LUEGO DE IMPUTACIÓN AL PAGO EN DECLARACIONES SUSTITUTIVAS)</t>
  </si>
  <si>
    <t>TOTAL IMPUESTO A PAGAR</t>
  </si>
  <si>
    <t>902</t>
  </si>
  <si>
    <t xml:space="preserve">Interés por mora </t>
  </si>
  <si>
    <t>903</t>
  </si>
  <si>
    <t xml:space="preserve">Multa </t>
  </si>
  <si>
    <t>904</t>
  </si>
  <si>
    <t>TOTAL PAGADO</t>
  </si>
  <si>
    <t>999</t>
  </si>
  <si>
    <t>_</t>
  </si>
  <si>
    <t>COSTO DE VENTAS_Importaciones de bienes no producidos por el sujeto pasivo_Gasto</t>
  </si>
  <si>
    <t>7038</t>
  </si>
  <si>
    <t>COSTO DE VENTAS_(+ / -) Ajustes_Gasto</t>
  </si>
  <si>
    <t>GASTOS POR BENEFICIOS A LOS EMPLEADOS Y HONORARIOS_Sueldos, salarios y demás remuneraciones que constituyen materia gravada del iess_Gasto</t>
  </si>
  <si>
    <t>GASTOS POR BENEFICIOS A LOS EMPLEADOS Y HONORARIOS_Beneficios sociales, indemnizaciones y otras remuneraciones que no constituyen materia gravada del IESS_Gasto</t>
  </si>
  <si>
    <t>GASTOS POR BENEFICIOS A LOS EMPLEADOS Y HONORARIOS_Aporte a la seguridad social (incluye fondo de reserva)_Gasto</t>
  </si>
  <si>
    <t>GASTOS POR BENEFICIOS A LOS EMPLEADOS Y HONORARIOS_Honorarios profesionales y dietas_Gasto</t>
  </si>
  <si>
    <t>GASTOS POR BENEFICIOS A LOS EMPLEADOS Y HONORARIOS_Honorarios y otros pagos a no residentes por servicios ocasionales_Gasto</t>
  </si>
  <si>
    <t>GASTOS POR BENEFICIOS A LOS EMPLEADOS Y HONORARIOS_Jubilación patronal_Gasto</t>
  </si>
  <si>
    <t>GASTOS POR BENEFICIOS A LOS EMPLEADOS Y HONORARIOS_Desahucio_Gasto</t>
  </si>
  <si>
    <t>GASTOS POR BENEFICIOS A LOS EMPLEADOS Y HONORARIOS_Otros_Gasto</t>
  </si>
  <si>
    <t>GASTOS POR DEPRECIACIONES__Gasto</t>
  </si>
  <si>
    <t>GASTOS POR DEPRECIACIONES_DEL COSTO HISTÓRICO DE PROPIEDADES, PLANTA Y EQUIPO_Gasto</t>
  </si>
  <si>
    <t>DEL COSTO HISTÓRICO DE PROPIEDADES, PLANTA Y EQUIPO_Acelerada___Gasto</t>
  </si>
  <si>
    <t>DEL COSTO HISTÓRICO DE PROPIEDADES, PLANTA Y EQUIPO_No acelerada___Gasto</t>
  </si>
  <si>
    <t>GASTOS POR DEPRECIACIONES_Del costo histórico de propiedades de inversión_Gasto</t>
  </si>
  <si>
    <t>GASTOS POR DEPRECIACIONES_Del costo histórico de activos para exploración, evaluación y explotación de recursos minerales_Gasto</t>
  </si>
  <si>
    <t>GASTOS POR DEPRECIACIONES_DEL AJUSTE ACUMULADO POR REEXPRESIONES O REVALUACIONES_Gasto</t>
  </si>
  <si>
    <t>DEL AJUSTE ACUMULADO POR REEXPRESIONES O REVALUACIONES_Propiedades, planta y equipo___Gasto</t>
  </si>
  <si>
    <t>DEL AJUSTE ACUMULADO POR REEXPRESIONES O REVALUACIONES_Propiedades de inversión___Gasto</t>
  </si>
  <si>
    <t>DEL AJUSTE ACUMULADO POR REEXPRESIONES O REVALUACIONES_Activos para exploración, evaluación y explotación de recursos minerales___Gasto</t>
  </si>
  <si>
    <t>DEL AJUSTE ACUMULADO POR REEXPRESIONES O REVALUACIONES_Otros___Gasto</t>
  </si>
  <si>
    <t>GASTOS POR DEPRECIACIONES_De Activos Biológicos_Gasto</t>
  </si>
  <si>
    <t>GASTOS POR DEPRECIACIONES_Otras depreciaciones_Gasto</t>
  </si>
  <si>
    <t>GASTOS POR AMORTIZACIONES__Gasto</t>
  </si>
  <si>
    <t>GASTOS POR AMORTIZACIONES_Del costo histórico de Activos Intangibles_Gasto</t>
  </si>
  <si>
    <t>GASTOS POR AMORTIZACIONES_Del costo histórico de activos para la exploración evaluación y explotación de recursos minerales_Gasto</t>
  </si>
  <si>
    <t>GASTOS POR AMORTIZACIONES_DEL AJUSTE ACUMULADO POR REEXPRESIONES O REVALUACIONES_Gasto</t>
  </si>
  <si>
    <t>DEL AJUSTE ACUMULADO POR REEXPRESIONES O REVALUACIONES_Activos intangibles___Gasto</t>
  </si>
  <si>
    <t>DEL AJUSTE ACUMULADO POR REEXPRESIONES O REVALUACIONES_Activos para la exploración. Evaluación y explotación de recursos minerales___Gasto</t>
  </si>
  <si>
    <t>GASTOS POR AMORTIZACIONES_Otras amortizaciones_Gasto</t>
  </si>
  <si>
    <t>PÉRDIDAS NETAS POR DETERIORO EN EL VALOR__Gasto</t>
  </si>
  <si>
    <t>PÉRDIDAS NETAS POR DETERIORO EN EL VALOR_De activos financieros (de provisiones para créditos incobrables)_Gasto</t>
  </si>
  <si>
    <t>PÉRDIDAS NETAS POR DETERIORO EN EL VALOR_De inventarios_Gasto</t>
  </si>
  <si>
    <t>PÉRDIDAS NETAS POR DETERIORO EN EL VALOR_De activos no corrientes mantenidos para la venta_Gasto</t>
  </si>
  <si>
    <t>PÉRDIDAS NETAS POR DETERIORO EN EL VALOR_De activos biológicos_Gasto</t>
  </si>
  <si>
    <t>PÉRDIDAS NETAS POR DETERIORO EN EL VALOR_De propiedades, planta y equipo_Gasto</t>
  </si>
  <si>
    <t>PÉRDIDAS NETAS POR DETERIORO EN EL VALOR_De activos intangibles_Gasto</t>
  </si>
  <si>
    <t>PÉRDIDAS NETAS POR DETERIORO EN EL VALOR_De propiedades de inversión_Gasto</t>
  </si>
  <si>
    <t>PÉRDIDAS NETAS POR DETERIORO EN EL VALOR_De activos de exploración, evaluación y explotación de recursos minerales_Gasto</t>
  </si>
  <si>
    <t>PÉRDIDAS NETAS POR DETERIORO EN EL VALOR_De inversiones no corrientes_Gasto</t>
  </si>
  <si>
    <t>PÉRDIDAS NETAS POR DETERIORO EN EL VALOR_Otras_Gasto</t>
  </si>
  <si>
    <t>GASTOS DE PROVISIONES__Gasto</t>
  </si>
  <si>
    <t>GASTOS DE PROVISIONES_Por garantías_Gasto</t>
  </si>
  <si>
    <t>GASTOS DE PROVISIONES_Por desmantelamientos_Gasto</t>
  </si>
  <si>
    <t>GASTOS DE PROVISIONES_Por contratos onerosos_Gasto</t>
  </si>
  <si>
    <t>GASTOS DE PROVISIONES_Por reestructuraciones de negocios_Gasto</t>
  </si>
  <si>
    <t>GASTOS DE PROVISIONES_Por reembolsos a clientes_Gasto</t>
  </si>
  <si>
    <t>GASTOS DE PROVISIONES_Por litigios_Gasto</t>
  </si>
  <si>
    <t>GASTOS DE PROVISIONES_Por pasivos contingentes asumidos en una combinación de negocios_Gasto</t>
  </si>
  <si>
    <t>GASTOS DE PROVISIONES_Otros_Gasto</t>
  </si>
  <si>
    <t>PÉRDIDA EN VENTA DE ACTIVOS FIJOS__Gasto</t>
  </si>
  <si>
    <t>PÉRDIDA EN VENTA DE ACTIVOS FIJOS_Relacionadas_Gasto</t>
  </si>
  <si>
    <t>PÉRDIDA EN VENTA DE ACTIVOS FIJOS_No relacionadas_Gasto</t>
  </si>
  <si>
    <t>OTROS GASTOS__Gasto</t>
  </si>
  <si>
    <t>OTROS GASTOS_Promoción y publicidad_Gasto</t>
  </si>
  <si>
    <t>OTROS GASTOS_Transporte_Gasto</t>
  </si>
  <si>
    <t>OTROS GASTOS_Consumo de combustibles y lubricantes_Gasto</t>
  </si>
  <si>
    <t>OTROS GASTOS_Gastos de viaje_Gasto</t>
  </si>
  <si>
    <t>OTROS GASTOS_Gastos de gestión_Gasto</t>
  </si>
  <si>
    <t>OTROS GASTOS_Arrendamientos operativos_Gasto</t>
  </si>
  <si>
    <t>OTROS GASTOS_Suministros, herramientas, materiales y repuestos_Gasto</t>
  </si>
  <si>
    <t>OTROS GASTOS_Pérdida en la enajenación de derechos representativos de capital_Gasto</t>
  </si>
  <si>
    <t>OTROS GASTOS_Mantenimiento y reparaciones_Gasto</t>
  </si>
  <si>
    <t>OTROS GASTOS_Mermas_Gasto</t>
  </si>
  <si>
    <t>OTROS GASTOS_Seguros y reaseguros (primas y cesiones) _Gasto</t>
  </si>
  <si>
    <t>OTROS GASTOS_Gastos indirectos asignados desde el exterior por partes relacionadas_Gasto</t>
  </si>
  <si>
    <t>OTROS GASTOS_Impuestos, contribuciones y otros_Gasto</t>
  </si>
  <si>
    <t>OTROS GASTOS_COMISIONES Y SIMILARES (DIFERENTES DE LAS COMISIONES POR OPERACIONES FINANCIERAS)_Gasto</t>
  </si>
  <si>
    <t>COMISIONES Y SIMILARES (DIFERENTES DE LAS COMISIONES POR OPERACIONES FINANCIERAS)_RELACIONADAS___Gasto</t>
  </si>
  <si>
    <t>COMISIONES Y SIMILARES (DIFERENTES DE LAS COMISIONES POR OPERACIONES FINANCIERAS)_RELACIONADAS_Local__Gasto</t>
  </si>
  <si>
    <t>COMISIONES Y SIMILARES (DIFERENTES DE LAS COMISIONES POR OPERACIONES FINANCIERAS)_RELACIONADAS_Del exterior__Gasto</t>
  </si>
  <si>
    <t>COMISIONES Y SIMILARES (DIFERENTES DE LAS COMISIONES POR OPERACIONES FINANCIERAS)_NO RELACIONADAS___Gasto</t>
  </si>
  <si>
    <t>COMISIONES Y SIMILARES (DIFERENTES DE LAS COMISIONES POR OPERACIONES FINANCIERAS)_NO RELACIONADAS_Local__Gasto</t>
  </si>
  <si>
    <t>COMISIONES Y SIMILARES (DIFERENTES DE LAS COMISIONES POR OPERACIONES FINANCIERAS)_NO RELACIONADAS_Del exterior__Gasto</t>
  </si>
  <si>
    <t>OTROS GASTOS_OPERACIONES DE REGALÍAS, SERVICIOS TÉCNICOS. ADMINISTRATIVOS, DE CONSULTARÍA Y SIMILARES_Gasto</t>
  </si>
  <si>
    <t>OPERACIONES DE REGALÍAS, SERVICIOS TÉCNICOS. ADMINISTRATIVOS, DE CONSULTARÍA Y SIMILARES_RELACIONADAS___Gasto</t>
  </si>
  <si>
    <t>OPERACIONES DE REGALÍAS, SERVICIOS TÉCNICOS. ADMINISTRATIVOS, DE CONSULTARÍA Y SIMILARES_RELACIONADAS_Local__Gasto</t>
  </si>
  <si>
    <t>OPERACIONES DE REGALÍAS, SERVICIOS TÉCNICOS. ADMINISTRATIVOS, DE CONSULTARÍA Y SIMILARES_RELACIONADAS_Del exterior__Gasto</t>
  </si>
  <si>
    <t>OPERACIONES DE REGALÍAS, SERVICIOS TÉCNICOS. ADMINISTRATIVOS, DE CONSULTARÍA Y SIMILARES_NO RELACIONADAS___Gasto</t>
  </si>
  <si>
    <t>OPERACIONES DE REGALÍAS, SERVICIOS TÉCNICOS. ADMINISTRATIVOS, DE CONSULTARÍA Y SIMILARES_NO RELACIONADAS_Local__Gasto</t>
  </si>
  <si>
    <t>OPERACIONES DE REGALÍAS, SERVICIOS TÉCNICOS. ADMINISTRATIVOS, DE CONSULTARÍA Y SIMILARES_NO RELACIONADAS_Del exterior__Gasto</t>
  </si>
  <si>
    <t>OTROS GASTOS_Instalación, organización y similares_Gasto</t>
  </si>
  <si>
    <t>OTROS GASTOS_IVA que se carga al costo o gasto_Gasto</t>
  </si>
  <si>
    <t>OTROS GASTOS_Servicios públicos_Gasto</t>
  </si>
  <si>
    <t>OTROS GASTOS_Pérdidas por siniestros_Gasto</t>
  </si>
  <si>
    <t>OTROS GASTOS_Otros_Gasto</t>
  </si>
  <si>
    <t>CÁLCULO DE BASE PARTICIPACIÓN A TRABAJADORES_Ingresos por mediciones de activos biológicos al valor razonable menos costos de venta_Generación</t>
  </si>
  <si>
    <t>CÁLCULO DE BASE PARTICIPACIÓN A TRABAJADORES_Pérdidas, costos y gastos por mediciones de activos biológicos al valor razonable menos costos de venta_Generación</t>
  </si>
  <si>
    <t>CÁLCULO DE BASE PARTICIPACIÓN A TRABAJADORES_Ingresos por mediciones de activos biológicos al valor razonable menos costos de venta_Reversión</t>
  </si>
  <si>
    <t>CÁLCULO DE BASE PARTICIPACIÓN A TRABAJADORES_Pérdidas, costos y gastos por mediciones de activos biológicos al valor razonable menos costos de venta_Reversión</t>
  </si>
  <si>
    <t>__Gasto</t>
  </si>
  <si>
    <t>GENERACIÓN / REVERSIÓN DE DIFERENCIAS TEMPORARIAS (IMPUESTOS DIFERIDOS)_Por otras diferencias temporarias_Generación</t>
  </si>
  <si>
    <t>POR MEDICIONES DE ACTIVOS BIOLÓGICOS AL VALOR RAZONABLE MENOS COSTO DE VENTA_Pérdidas, costos y gastos ___Generación</t>
  </si>
  <si>
    <t>POR MEDICIONES DE ACTIVOS BIOLÓGICOS AL VALOR RAZONABLE MENOS COSTO DE VENTA_Ingresos ___Generación</t>
  </si>
  <si>
    <t>GENERACIÓN / REVERSIÓN DE DIFERENCIAS TEMPORARIAS (IMPUESTOS DIFERIDOS)_Por mediciones de activos no corrientes mantenidos para la venta_Generación</t>
  </si>
  <si>
    <t>GENERACIÓN / REVERSIÓN DE DIFERENCIAS TEMPORARIAS (IMPUESTOS DIFERIDOS)_Por contratos de construcción_Generación</t>
  </si>
  <si>
    <t>GENERACIÓN / REVERSIÓN DE DIFERENCIAS TEMPORARIAS (IMPUESTOS DIFERIDOS)_Por provisiones (diferentes de cuentas incobrables, desmantelamiento, desahucio y jubilación patronal)_Generación</t>
  </si>
  <si>
    <t>GENERACIÓN / REVERSIÓN DE DIFERENCIAS TEMPORARIAS (IMPUESTOS DIFERIDOS)_Por deterioros del valor de propiedades, planta y equipo_Generación</t>
  </si>
  <si>
    <t>GENERACIÓN / REVERSIÓN DE DIFERENCIAS TEMPORARIAS (IMPUESTOS DIFERIDOS)_Por costos estimados de desmantelamiento_Generación</t>
  </si>
  <si>
    <t>GENERACIÓN / REVERSIÓN DE DIFERENCIAS TEMPORARIAS (IMPUESTOS DIFERIDOS)_Por provisiones para desahucio pensiones jubilares patronales _Generación</t>
  </si>
  <si>
    <t>GENERACIÓN / REVERSIÓN DE DIFERENCIAS TEMPORARIAS (IMPUESTOS DIFERIDOS)_Por valor neto realizable de inventarios_Generación</t>
  </si>
  <si>
    <t>GENERACIÓN / REVERSIÓN DE DIFERENCIAS TEMPORARIAS (IMPUESTOS DIFERIDOS)_Por valor neto realizable de inventarios_Reversión</t>
  </si>
  <si>
    <t>GENERACIÓN / REVERSIÓN DE DIFERENCIAS TEMPORARIAS (IMPUESTOS DIFERIDOS)_Por provisiones para desahucio pensiones jubilares patronales _Reversión</t>
  </si>
  <si>
    <t>GENERACIÓN / REVERSIÓN DE DIFERENCIAS TEMPORARIAS (IMPUESTOS DIFERIDOS)_Por costos estimados de desmantelamiento_Reversión</t>
  </si>
  <si>
    <t>GENERACIÓN / REVERSIÓN DE DIFERENCIAS TEMPORARIAS (IMPUESTOS DIFERIDOS)_Por deterioros del valor de propiedades, planta y equipo_Reversión</t>
  </si>
  <si>
    <t>GENERACIÓN / REVERSIÓN DE DIFERENCIAS TEMPORARIAS (IMPUESTOS DIFERIDOS)_Por provisiones (diferentes de cuentas incobrables, desmantelamiento, desahucio y jubilación patronal)_Reversión</t>
  </si>
  <si>
    <t>GENERACIÓN / REVERSIÓN DE DIFERENCIAS TEMPORARIAS (IMPUESTOS DIFERIDOS)_Por contratos de construcción_Reversión</t>
  </si>
  <si>
    <t>GENERACIÓN / REVERSIÓN DE DIFERENCIAS TEMPORARIAS (IMPUESTOS DIFERIDOS)_Por mediciones de activos no corrientes mantenidos para la venta_Reversión</t>
  </si>
  <si>
    <t>GENERACIÓN / REVERSIÓN DE DIFERENCIAS TEMPORARIAS (IMPUESTOS DIFERIDOS)_POR MEDICIONES DE ACTIVOS BIOLÓGICOS AL VALOR RAZONABLE MENOS COSTO DE VENTA_Reversión</t>
  </si>
  <si>
    <t>POR MEDICIONES DE ACTIVOS BIOLÓGICOS AL VALOR RAZONABLE MENOS COSTO DE VENTA_Ingresos ___Reversión</t>
  </si>
  <si>
    <t>POR MEDICIONES DE ACTIVOS BIOLÓGICOS AL VALOR RAZONABLE MENOS COSTO DE VENTA_Pérdidas, costos y gastos ___Reversión</t>
  </si>
  <si>
    <t>GENERACIÓN / REVERSIÓN DE DIFERENCIAS TEMPORARIAS (IMPUESTOS DIFERIDOS)_Amortización pérdidas tributarias de años anteriores _Reversión</t>
  </si>
  <si>
    <t>GENERACIÓN / REVERSIÓN DE DIFERENCIAS TEMPORARIAS (IMPUESTOS DIFERIDOS)_Por otras diferencias temporarias_Reversión</t>
  </si>
  <si>
    <t>INFORMACIÓN RELACIONADA POR RESULTADOS OBTENIDOS DENTRO Y FUERA DE ZEDES_Utilidad gravable___Aplicable a territorio ZEDE</t>
  </si>
  <si>
    <t>INFORMACIÓN RELACIONADA POR RESULTADOS OBTENIDOS DENTRO Y FUERA DE ZEDES_Pérdida sujeta a amortización en períodos siguientes___Aplicable a territorio ZEDE</t>
  </si>
  <si>
    <t>INFORMACIÓN RELACIONADA POR RESULTADOS OBTENIDOS DENTRO Y FUERA DE ZEDESs_Utilidad a reinvertir y capitalizar (sujeta legalmente a reducción de la tarifa)_Aplicable a territorio ZEDE</t>
  </si>
  <si>
    <t>INFORMACIÓN RELACIONADA POR RESULTADOS OBTENIDOS DENTRO Y FUERA DE ZEDESs_Saldo utilidad gravable _Aplicable a territorio ZEDE</t>
  </si>
  <si>
    <t>INFORMACIÓN RELACIONADA POR RESULTADOS OBTENIDOS DENTRO Y FUERA DE ZEDES_Utilidad gravable___Aplicable a territorio fuera de ZEDE</t>
  </si>
  <si>
    <t>INFORMACIÓN RELACIONADA POR RESULTADOS OBTENIDOS DENTRO Y FUERA DE ZEDES_Pérdida sujeta a amortización en períodos siguientes___Aplicable a territorio fuera de ZEDE</t>
  </si>
  <si>
    <t>INFORMACIÓN RELACIONADA POR RESULTADOS OBTENIDOS DENTRO Y FUERA DE ZEDESs_Utilidad a reinvertir y capitalizar (sujeta legalmente a reducción de la tarifa)_Aplicable a territorio fuera de ZEDE</t>
  </si>
  <si>
    <t>INFORMACIÓN RELACIONADA POR RESULTADOS OBTENIDOS DENTRO Y FUERA DE ZEDESs_Saldo utilidad gravable _Aplicable a territorio fuera de ZEDE</t>
  </si>
  <si>
    <t>POR REGALÍAS Y OTRAS CESIONES DE DERECHOS_Relacionadas__</t>
  </si>
  <si>
    <t>POR REGALÍAS Y OTRAS CESIONES DE DERECHOS_No Relacionadas__</t>
  </si>
  <si>
    <t>POR DIVIDENDOS_Procedentes de sociedades residentes o establecidas en Ecuador __</t>
  </si>
  <si>
    <t>POR DIVIDENDOS_Procedentes de sociedades no residentes ni establecidas en Ecuador __</t>
  </si>
  <si>
    <t>GANANCIAS NETAS POR REVERSIONES DE DETERIORO EN EL VALOR_De activos financieros (reversión de provisiones para créditos incobrables)__</t>
  </si>
  <si>
    <t>GANANCIAS NETAS POR REVERSIONES DE DETERIORO EN EL VALOR_De inventarios__</t>
  </si>
  <si>
    <t>GANANCIAS NETAS POR REVERSIONES DE DETERIORO EN EL VALOR_De activos no corrientes mantenidos para la venta__</t>
  </si>
  <si>
    <t>GANANCIAS NETAS POR REVERSIONES DE DETERIORO EN EL VALOR_De activos biológicos__</t>
  </si>
  <si>
    <t>GANANCIAS NETAS POR REVERSIONES DE DETERIORO EN EL VALOR_De propiedades, planta y equipo__</t>
  </si>
  <si>
    <t>GANANCIAS NETAS POR REVERSIONES DE DETERIORO EN EL VALOR_De activos intangibles__</t>
  </si>
  <si>
    <t>GANANCIAS NETAS POR REVERSIONES DE DETERIORO EN EL VALOR_De propiedades de inversión__</t>
  </si>
  <si>
    <t>GANANCIAS NETAS POR REVERSIONES DE DETERIORO EN EL VALOR_De activos de exploración, evaluación y explotación de recursos minerales__</t>
  </si>
  <si>
    <t>GANANCIAS NETAS POR REVERSIONES DE DETERIORO EN EL VALOR_De inversiones no corrientes__</t>
  </si>
  <si>
    <t>GANANCIAS NETAS POR REVERSIONES DE DETERIORO EN EL VALOR_Otras__</t>
  </si>
  <si>
    <t>GANANCIAS NETAS POR REVERSIONES DE PROVISIONES_Por garantías__</t>
  </si>
  <si>
    <t>GANANCIAS NETAS POR REVERSIONES DE PROVISIONES_Por desmantelamientos__</t>
  </si>
  <si>
    <t>GANANCIAS NETAS POR REVERSIONES DE PROVISIONES_Por contratos onerosos__</t>
  </si>
  <si>
    <t>GANANCIAS NETAS POR REVERSIONES DE PROVISIONES_Por reestructuraciones de negocios__</t>
  </si>
  <si>
    <t>GANANCIAS NETAS POR REVERSIONES DE PROVISIONES_Por reembolsos a clientes__</t>
  </si>
  <si>
    <t>GANANCIAS NETAS POR REVERSIONES DE PROVISIONES_Por litigios__</t>
  </si>
  <si>
    <t>GANANCIAS NETAS POR REVERSIONES DE PROVISIONES_Por pasivos contingentes asumidos en una combinación de negocios__</t>
  </si>
  <si>
    <t>GANANCIAS NETAS POR REVERSIONES DE PROVISIONES_Otras__</t>
  </si>
  <si>
    <t>GANANCIAS NETAS POR REVERSIONES DE PASIVOS POR BENEFICIOS A LOS EMPLEADOS_Jubilación patronal y desahucio__</t>
  </si>
  <si>
    <t>GANANCIAS NETAS POR REVERSIONES DE PASIVOS POR BENEFICIOS A LOS EMPLEADOS_Otros__</t>
  </si>
  <si>
    <t>RENTAS NETAS PROVENIENTES DE DONACIONES Y APORTACIONES (PARA USO DE INSTITUCIONES DE CARÁCTER PRIVADOS SIN FINES DE LUCRO)_De recursos públicos__</t>
  </si>
  <si>
    <t>RENTAS NETAS PROVENIENTES DE DONACIONES Y APORTACIONES (PARA USO DE INSTITUCIONES DE CARÁCTER PRIVADOS SIN FINES DE LUCRO)_De otras locales__</t>
  </si>
  <si>
    <t>RENTAS NETAS PROVENIENTES DE DONACIONES Y APORTACIONES (PARA USO DE INSTITUCIONES DE CARÁCTER PRIVADOS SIN FINES DE LUCRO)_Del exterior__</t>
  </si>
  <si>
    <t>POR REEMBOLSOS DE SEGUROS_Por lucro cesante__</t>
  </si>
  <si>
    <t>POR REEMBOLSOS DE SEGUROS_Otros__</t>
  </si>
  <si>
    <t>INGRESOS FINANCIEROS_ARRENDAMIENTO MERCANTIL_RELACIONADAS_Local</t>
  </si>
  <si>
    <t>INGRESOS FINANCIEROS_ARRENDAMIENTO MERCANTIL_RELACIONADAS_Del exterior</t>
  </si>
  <si>
    <t>INGRESOS FINANCIEROS_ARRENDAMIENTO MERCANTIL_NO RELACIONADAS_</t>
  </si>
  <si>
    <t>INGRESOS FINANCIEROS_ARRENDAMIENTO MERCANTIL_NO RELACIONADAS_Local</t>
  </si>
  <si>
    <t>INGRESOS FINANCIEROS_ARRENDAMIENTO MERCANTIL_NO RELACIONADAS_Del exterior</t>
  </si>
  <si>
    <t>INGRESOS FINANCIEROS_COSTOS DE TRANSACCIÓN (COMISIONES BANCRIAS, HONORARIOS, TASAS, ENTRE OTROS)__</t>
  </si>
  <si>
    <t>INGRESOS FINANCIEROS_COSTOS DE TRANSACCIÓN (COMISIONES BANCRIAS, HONORARIOS, TASAS, ENTRE OTROS)_RELACIONADAS_</t>
  </si>
  <si>
    <t>INGRESOS FINANCIEROS_COSTOS DE TRANSACCIÓN (COMISIONES BANCRIAS, HONORARIOS, TASAS, ENTRE OTROS)_RELACIONADAS_Local</t>
  </si>
  <si>
    <t>INGRESOS FINANCIEROS_COSTOS DE TRANSACCIÓN (COMISIONES BANCRIAS, HONORARIOS, TASAS, ENTRE OTROS)_RELACIONADAS_Del exterior</t>
  </si>
  <si>
    <t>INGRESOS FINANCIEROS_COSTOS DE TRANSACCIÓN (COMISIONES BANCRIAS, HONORARIOS, TASAS, ENTRE OTROS)_NO RELACIONADAS_</t>
  </si>
  <si>
    <t>INGRESOS FINANCIEROS_COSTOS DE TRANSACCIÓN (COMISIONES BANCRIAS, HONORARIOS, TASAS, ENTRE OTROS)_NO RELACIONADAS_Local</t>
  </si>
  <si>
    <t>INGRESOS FINANCIEROS_COSTOS DE TRANSACCIÓN (COMISIONES BANCRIAS, HONORARIOS, TASAS, ENTRE OTROS)_NO RELACIONADAS_Del exterior</t>
  </si>
  <si>
    <t>INGRESOS FINANCIEROS_INTERESES CON INSTITUCIONES FINANCIERAS__</t>
  </si>
  <si>
    <t>INGRESOS FINANCIEROS_INTERESES CON INSTITUCIONES FINANCIERAS_RELACIONADAS_</t>
  </si>
  <si>
    <t>INGRESOS FINANCIEROS_INTERESES CON INSTITUCIONES FINANCIERAS_RELACIONADAS_Local</t>
  </si>
  <si>
    <t>INGRESOS FINANCIEROS_INTERESES CON INSTITUCIONES FINANCIERAS_RELACIONADAS_Del exterior</t>
  </si>
  <si>
    <t>INGRESOS FINANCIEROS_INTERESES CON INSTITUCIONES FINANCIERAS_NO RELACIONADAS_</t>
  </si>
  <si>
    <t>INGRESOS FINANCIEROS_INTERESES CON INSTITUCIONES FINANCIERAS_NO RELACIONADAS_Local</t>
  </si>
  <si>
    <t>INGRESOS FINANCIEROS_INTERESES CON INSTITUCIONES FINANCIERAS_NO RELACIONADAS_Del exterior</t>
  </si>
  <si>
    <t>INGRESOS FINANCIEROS_INTERESES DEVENGADOS CON TERCEROS__</t>
  </si>
  <si>
    <t>INGRESOS FINANCIEROS_INTERESES DEVENGADOS CON TERCEROS_RELACIONADAS_</t>
  </si>
  <si>
    <t>INGRESOS FINANCIEROS_INTERESES DEVENGADOS CON TERCEROS_RELACIONADAS_Local</t>
  </si>
  <si>
    <t>INGRESOS FINANCIEROS_INTERESES DEVENGADOS CON TERCEROS_RELACIONADAS_Del exterior</t>
  </si>
  <si>
    <t>INGRESOS FINANCIEROS_INTERESES DEVENGADOS CON TERCEROS_NO RELACIONADAS_</t>
  </si>
  <si>
    <t>INGRESOS FINANCIEROS_INTERESES DEVENGADOS CON TERCEROS_NO RELACIONADAS_Local</t>
  </si>
  <si>
    <t>INGRESOS FINANCIEROS_INTERESES DEVENGADOS CON TERCEROS_NO RELACIONADAS_Del exterior</t>
  </si>
  <si>
    <t>INGRESOS FINANCIEROS_.__</t>
  </si>
  <si>
    <t>INGRESOS FINANCIEROS_Intereses implícitos devengados por acuerdos que constituyen efectivamente una transacción financiera o cobro diferido__</t>
  </si>
  <si>
    <t>INGRESOS FINANCIEROS_Otros__</t>
  </si>
  <si>
    <t>COSTO DE VENTAS_Inventario inicial de bienes no producidos por el sujeto pasivo_Costo</t>
  </si>
  <si>
    <t>COSTO DE VENTAS_Compras netas locales de bienes no producidos por el sujeto pasivo_Costo</t>
  </si>
  <si>
    <t>COSTO DE VENTAS_Importaciones de bienes no producidos por el sujeto pasivo_Costo</t>
  </si>
  <si>
    <t>COSTO DE VENTAS_(-) Inventario final de bienes no producidos por el sujeto pasivo_Costo</t>
  </si>
  <si>
    <t>COSTO DE VENTAS_Inventario inicial de materia prima_Costo</t>
  </si>
  <si>
    <t>COSTO DE VENTAS_Compras netas locales de materia prima_Costo</t>
  </si>
  <si>
    <t>COSTO DE VENTAS_Importaciones de materia prima_Costo</t>
  </si>
  <si>
    <t>COSTO DE VENTAS_(-) Inventario final de materia prima_Costo</t>
  </si>
  <si>
    <t>COSTO DE VENTAS_Inventario inicial de productos en proceso_Costo</t>
  </si>
  <si>
    <t>COSTO DE VENTAS_(-) Inventario final de productos en proceso_Costo</t>
  </si>
  <si>
    <t>COSTO DE VENTAS_Inventario inicial productos terminados_Costo</t>
  </si>
  <si>
    <t>COSTO DE VENTAS_(-) Inventario final de productos terminados_Costo</t>
  </si>
  <si>
    <t>COSTO DE VENTAS_(+ / -) Ajustes_Costo</t>
  </si>
  <si>
    <t>GASTOS POR BENEFICIOS A LOS EMPLEADOS Y HONORARIOS_Sueldos, salarios y demás remuneraciones que constituyen materia gravada del iess_Costo</t>
  </si>
  <si>
    <t>GASTOS POR BENEFICIOS A LOS EMPLEADOS Y HONORARIOS_Beneficios sociales, indemnizaciones y otras remuneraciones que no constituyen materia gravada del IESS_Costo</t>
  </si>
  <si>
    <t>GASTOS POR BENEFICIOS A LOS EMPLEADOS Y HONORARIOS_Aporte a la seguridad social (incluye fondo de reserva)_Costo</t>
  </si>
  <si>
    <t>GASTOS POR BENEFICIOS A LOS EMPLEADOS Y HONORARIOS_Honorarios profesionales y dietas_Costo</t>
  </si>
  <si>
    <t>GASTOS POR BENEFICIOS A LOS EMPLEADOS Y HONORARIOS_Honorarios y otros pagos a no residentes por servicios ocasionales_Costo</t>
  </si>
  <si>
    <t>GASTOS POR BENEFICIOS A LOS EMPLEADOS Y HONORARIOS_Jubilación patronal_Costo</t>
  </si>
  <si>
    <t>GASTOS POR BENEFICIOS A LOS EMPLEADOS Y HONORARIOS_Desahucio_Costo</t>
  </si>
  <si>
    <t>GASTOS POR BENEFICIOS A LOS EMPLEADOS Y HONORARIOS_Otros_Costo</t>
  </si>
  <si>
    <t>DEL COSTO HISTÓRICO DE PROPIEDADES, PLANTA Y EQUIPO_Acelerada___Costo</t>
  </si>
  <si>
    <t>DEL COSTO HISTÓRICO DE PROPIEDADES, PLANTA Y EQUIPO_No acelerada___Costo</t>
  </si>
  <si>
    <t>GASTOS POR DEPRECIACIONES_Del costo histórico de propiedades de inversión_Costo</t>
  </si>
  <si>
    <t>GASTOS POR DEPRECIACIONES_Del costo histórico de activos para exploración, evaluación y explotación de recursos minerales_Costo</t>
  </si>
  <si>
    <t>DEL AJUSTE ACUMULADO POR REEXPRESIONES O REVALUACIONES_Propiedades, planta y equipo___Costo</t>
  </si>
  <si>
    <t>DEL AJUSTE ACUMULADO POR REEXPRESIONES O REVALUACIONES_Propiedades de inversión___Costo</t>
  </si>
  <si>
    <t>DEL AJUSTE ACUMULADO POR REEXPRESIONES O REVALUACIONES_Activos para exploración, evaluación y explotación de recursos minerales___Costo</t>
  </si>
  <si>
    <t>DEL AJUSTE ACUMULADO POR REEXPRESIONES O REVALUACIONES_Otros___Costo</t>
  </si>
  <si>
    <t>GASTOS POR DEPRECIACIONES_De Activos Biológicos_Costo</t>
  </si>
  <si>
    <t>GASTOS POR DEPRECIACIONES_Otras depreciaciones_Costo</t>
  </si>
  <si>
    <t>GASTOS POR AMORTIZACIONES_Del costo histórico de Activos Intangibles_Costo</t>
  </si>
  <si>
    <t>GASTOS POR AMORTIZACIONES_Del costo histórico de activos para la exploración evaluación y explotación de recursos minerales_Costo</t>
  </si>
  <si>
    <t>DEL AJUSTE ACUMULADO POR REEXPRESIONES O REVALUACIONES_Activos intangibles___Costo</t>
  </si>
  <si>
    <t>DEL AJUSTE ACUMULADO POR REEXPRESIONES O REVALUACIONES_Activos para la exploración. Evaluación y explotación de recursos minerales___Costo</t>
  </si>
  <si>
    <t>GASTOS POR AMORTIZACIONES_Otras amortizaciones_Costo</t>
  </si>
  <si>
    <t>PÉRDIDAS NETAS POR DETERIORO EN EL VALOR_De inventarios_Costo</t>
  </si>
  <si>
    <t>PÉRDIDAS NETAS POR DETERIORO EN EL VALOR_De propiedades, planta y equipo_Costo</t>
  </si>
  <si>
    <t>PÉRDIDAS NETAS POR DETERIORO EN EL VALOR_De activos intangibles_Costo</t>
  </si>
  <si>
    <t>PÉRDIDAS NETAS POR DETERIORO EN EL VALOR_Otras_Costo</t>
  </si>
  <si>
    <t>GASTOS DE PROVISIONES_Por garantías_Costo</t>
  </si>
  <si>
    <t>GASTOS DE PROVISIONES_Por desmantelamientos_Costo</t>
  </si>
  <si>
    <t>GASTOS DE PROVISIONES_Por pasivos contingentes asumidos en una combinación de negocios_Costo</t>
  </si>
  <si>
    <t>GASTOS DE PROVISIONES_Otros_Costo</t>
  </si>
  <si>
    <t>PÉRDIDA EN VENTA DE ACTIVOS FIJOS_Relacionadas_Costo</t>
  </si>
  <si>
    <t>PÉRDIDA EN VENTA DE ACTIVOS FIJOS_No relacionadas_Costo</t>
  </si>
  <si>
    <t>OTROS GASTOS_Consumo de combustibles y lubricantes_Costo</t>
  </si>
  <si>
    <t>OTROS GASTOS_Suministros, herramientas, materiales y repuestos_Costo</t>
  </si>
  <si>
    <t>OTROS GASTOS_Mantenimiento y reparaciones_Costo</t>
  </si>
  <si>
    <t>OTROS GASTOS_Mermas_Costo</t>
  </si>
  <si>
    <t>OTROS GASTOS_Seguros y reaseguros (primas y cesiones) _Costo</t>
  </si>
  <si>
    <t>OTROS GASTOS_Gastos indirectos asignados desde el exterior por partes relacionadas_Costo</t>
  </si>
  <si>
    <t>OTROS GASTOS_Impuestos, contribuciones y otros_Costo</t>
  </si>
  <si>
    <t>COMISIONES Y SIMILARES (DIFERENTES DE LAS COMISIONES POR OPERACIONES FINANCIERAS)_RELACIONADAS_Local__Costo</t>
  </si>
  <si>
    <t>COMISIONES Y SIMILARES (DIFERENTES DE LAS COMISIONES POR OPERACIONES FINANCIERAS)_RELACIONADAS_Del exterior__Costo</t>
  </si>
  <si>
    <t>COMISIONES Y SIMILARES (DIFERENTES DE LAS COMISIONES POR OPERACIONES FINANCIERAS)_NO RELACIONADAS_Local__Costo</t>
  </si>
  <si>
    <t>COMISIONES Y SIMILARES (DIFERENTES DE LAS COMISIONES POR OPERACIONES FINANCIERAS)_NO RELACIONADAS_Del exterior__Costo</t>
  </si>
  <si>
    <t>OPERACIONES DE REGALÍAS, SERVICIOS TÉCNICOS. ADMINISTRATIVOS, DE CONSULTARÍA Y SIMILARES_RELACIONADAS_Local__Costo</t>
  </si>
  <si>
    <t>OPERACIONES DE REGALÍAS, SERVICIOS TÉCNICOS. ADMINISTRATIVOS, DE CONSULTARÍA Y SIMILARES_RELACIONADAS_Del exterior__Costo</t>
  </si>
  <si>
    <t>OPERACIONES DE REGALÍAS, SERVICIOS TÉCNICOS. ADMINISTRATIVOS, DE CONSULTARÍA Y SIMILARES_NO RELACIONADAS_Local__Costo</t>
  </si>
  <si>
    <t>OPERACIONES DE REGALÍAS, SERVICIOS TÉCNICOS. ADMINISTRATIVOS, DE CONSULTARÍA Y SIMILARES_NO RELACIONADAS_Del exterior__Costo</t>
  </si>
  <si>
    <t>OTROS GASTOS_Instalación, organización y similares_Costo</t>
  </si>
  <si>
    <t>OTROS GASTOS_IVA que se carga al costo o gasto_Costo</t>
  </si>
  <si>
    <t>OTROS GASTOS_Servicios públicos_Costo</t>
  </si>
  <si>
    <t>OTROS GASTOS_Otros_Costo</t>
  </si>
  <si>
    <t>GASTOS FINANCIEROS_ARRENDAMIENTO MERCANTIL_RELACIONADAS_Local_Gasto</t>
  </si>
  <si>
    <t>GASTOS FINANCIEROS_ARRENDAMIENTO MERCANTIL_RELACIONADAS_Del exterior_Gasto</t>
  </si>
  <si>
    <t>GASTOS FINANCIEROS_ARRENDAMIENTO MERCANTIL_NO RELACIONADAS_Local_Gasto</t>
  </si>
  <si>
    <t>GASTOS FINANCIEROS_ARRENDAMIENTO MERCANTIL_NO RELACIONADAS_Del exterior_Gasto</t>
  </si>
  <si>
    <t>GASTOS FINANCIEROS_COSTOS DE TRANSACCIÓN (COMISIONES BANCARIAS, HONORARIOS, TASAS, ENTRE OTROS)_RELACIONADAS_Local_Gasto</t>
  </si>
  <si>
    <t>GASTOS FINANCIEROS_COSTOS DE TRANSACCIÓN (COMISIONES BANCARIAS, HONORARIOS, TASAS, ENTRE OTROS)_RELACIONADAS_Del exterior_Gasto</t>
  </si>
  <si>
    <t>GASTOS FINANCIEROS_COSTOS DE TRANSACCIÓN (COMISIONES BANCARIAS, HONORARIOS, TASAS, ENTRE OTROS)_NO RELACIONADAS_Local_Gasto</t>
  </si>
  <si>
    <t>GASTOS FINANCIEROS_COSTOS DE TRANSACCIÓN (COMISIONES BANCARIAS, HONORARIOS, TASAS, ENTRE OTROS)_NO RELACIONADAS_Del exterior_Gasto</t>
  </si>
  <si>
    <t>GASTOS FINANCIEROS_INTERESES CON INSTITUCIONES FINANCIERAS_RELACIONADAS_Local_Gasto</t>
  </si>
  <si>
    <t>GASTOS FINANCIEROS_INTERESES CON INSTITUCIONES FINANCIERAS_RELACIONADAS_Del exterior_Gasto</t>
  </si>
  <si>
    <t>GASTOS FINANCIEROS_INTERESES CON INSTITUCIONES FINANCIERAS_NO RELACIONADAS_Local_Gasto</t>
  </si>
  <si>
    <t>GASTOS FINANCIEROS_INTERESES CON INSTITUCIONES FINANCIERAS_NO RELACIONADAS_Del exterior_Gasto</t>
  </si>
  <si>
    <t>GASTOS FINANCIEROS_INTERESES PAGADOS A TERCEROS_RELACIONADAS_Local_Gasto</t>
  </si>
  <si>
    <t>GASTOS FINANCIEROS_INTERESES PAGADOS A TERCEROS_RELACIONADAS_Del exterior_Gasto</t>
  </si>
  <si>
    <t>GASTOS FINANCIEROS_INTERESES PAGADOS A TERCEROS_NO RELACIONADAS_Local_Gasto</t>
  </si>
  <si>
    <t>GASTOS FINANCIEROS_INTERESES PAGADOS A TERCEROS_NO RELACIONADAS_Del exterior_Gasto</t>
  </si>
  <si>
    <t>GASTOS FINANCIEROS_Reversiones del descuento de provisiones que fueron reconocidas a su valor presente___Gasto</t>
  </si>
  <si>
    <t>GASTOS FINANCIEROS_Intereses implícitos devengados por acuerdos que constituyen efectivamente una transacción financiera o pago diferido___Gasto</t>
  </si>
  <si>
    <t>GASTOS FINANCIEROS_Otros___Gasto</t>
  </si>
  <si>
    <t>GASTOS FINANCIEROS Y OTROS  NO OPERACIONALES_Pérdidas por medición de inversiones en asociadas y negocios conjuntos al método de la participación (valor patrimonial proporcional)_Gasto</t>
  </si>
  <si>
    <t>GASTOS FINANCIEROS Y OTROS  NO OPERACIONALES_Otros_Gasto</t>
  </si>
  <si>
    <t>Perdidas netas procedentes de actividades disconitnuadas__Gasto</t>
  </si>
  <si>
    <t>CON PARTES RELACIONADAS LOCALES_Operaciones de activo_</t>
  </si>
  <si>
    <t>CON PARTES RELACIONADAS LOCALES_Operaciones de pasivo_</t>
  </si>
  <si>
    <t>CON PARTES RELACIONADAS LOCALES_Operaciones de ingreso_</t>
  </si>
  <si>
    <t>CON PARTES RELACIONADAS LOCALES_Operaciones de egreso_</t>
  </si>
  <si>
    <t>CON PARTES RELACIONADAS LOCALES_Operaciones de regalías, servicios técnicos, administrativos, de consultoría y similares_</t>
  </si>
  <si>
    <t>CON PARTES RELACIONADAS EN PARAÍSOS FISCALES, JURISDICCIONES DE MENOR IMPOSICIÓN Y RÉGIMENES FISCALES PREFERENTES_Operaciones de activo_</t>
  </si>
  <si>
    <t>CON PARTES RELACIONADAS EN PARAÍSOS FISCALES, JURISDICCIONES DE MENOR IMPOSICIÓN Y RÉGIMENES FISCALES PREFERENTES_Operaciones de pasivo_</t>
  </si>
  <si>
    <t>CON PARTES RELACIONADAS EN PARAÍSOS FISCALES, JURISDICCIONES DE MENOR IMPOSICIÓN Y RÉGIMENES FISCALES PREFERENTES_Operaciones de ingreso_</t>
  </si>
  <si>
    <t>CON PARTES RELACIONADAS EN PARAÍSOS FISCALES, JURISDICCIONES DE MENOR IMPOSICIÓN Y RÉGIMENES FISCALES PREFERENTES_Operaciones de egreso_</t>
  </si>
  <si>
    <t>CON PARTES RELACIONADAS EN PARAÍSOS FISCALES, JURISDICCIONES DE MENOR IMPOSICIÓN Y RÉGIMENES FISCALES PREFERENTES_Operaciones de regalías, servicios técnicos, administrativos, de consultoría y similares_</t>
  </si>
  <si>
    <t>CON PARTES RELACIONADAS EN OTRAS JURISDICCIONES O RÉGIMENES DEL EXTERIOR_Operaciones de activo_</t>
  </si>
  <si>
    <t>CON PARTES RELACIONADAS EN OTRAS JURISDICCIONES O RÉGIMENES DEL EXTERIOR_Operaciones de pasivo_</t>
  </si>
  <si>
    <t>CON PARTES RELACIONADAS EN OTRAS JURISDICCIONES O RÉGIMENES DEL EXTERIOR_Operaciones de ingreso_</t>
  </si>
  <si>
    <t>CON PARTES RELACIONADAS EN OTRAS JURISDICCIONES O RÉGIMENES DEL EXTERIOR_Operaciones de egreso_</t>
  </si>
  <si>
    <t>CON PARTES RELACIONADAS EN OTRAS JURISDICCIONES O RÉGIMENES DEL EXTERIOR_Operaciones de regalías, servicios técnicos, administrativos, de consultoría y similares_</t>
  </si>
  <si>
    <t>TOTAL OPERACIONES CON PARTES RELACIONADAS__</t>
  </si>
  <si>
    <t>¿Sujeto pasivo exento de aplicación del régimen de precios de transferencia?__</t>
  </si>
  <si>
    <t>CUENTAS Y DOCUMENTOS POR COBRAR CORRIENTES_CUENTAS Y DOCUMENTOS POR COBRAR COMERCIALES CORRIENTES_RELACIONADAS_Locales</t>
  </si>
  <si>
    <t>CUENTAS Y DOCUMENTOS POR COBRAR CORRIENTES_CUENTAS Y DOCUMENTOS POR COBRAR COMERCIALES CORRIENTES_RELACIONADAS_Del exterior</t>
  </si>
  <si>
    <t>CUENTAS Y DOCUMENTOS POR COBRAR CORRIENTES_CUENTAS Y DOCUMENTOS POR COBRAR COMERCIALES CORRIENTES_RELACIONADAS_(-) Deterioro acumulado del valor de cuentas y documentos por cobrar comerciales por incobrabilidad (provisiones para créditos incobrables)</t>
  </si>
  <si>
    <t>CUENTAS Y DOCUMENTOS POR COBRAR CORRIENTES_CUENTAS Y DOCUMENTOS POR COBRAR COMERCIALES CORRIENTES_NO RELACIONADAS_Locales</t>
  </si>
  <si>
    <t>CUENTAS Y DOCUMENTOS POR COBRAR CORRIENTES_CUENTAS Y DOCUMENTOS POR COBRAR COMERCIALES CORRIENTES_NO RELACIONADAS_Del exterior</t>
  </si>
  <si>
    <t>CUENTAS Y DOCUMENTOS POR COBRAR CORRIENTES_CUENTAS Y DOCUMENTOS POR COBRAR COMERCIALES CORRIENTES_NO RELACIONADAS_(-) Deterioro acumulado del valor de cuentas y documentos por cobrar comerciales por incobrabilidad (provisiones para créditos incobrables)</t>
  </si>
  <si>
    <t>CUENTAS Y DOCUMENTOS POR COBRAR CORRIENTES_OTRAS CUENTAS Y DOCUMENTOS POR COBRAR CORRIENTES_A ACCIONISTAS, SOCIOS, PARTICIPES, BENEFICIARIOS U OTROS TITULARES DE DERECHOS REPRESENTATIVOS DE CAPITAL_Locales</t>
  </si>
  <si>
    <t>CUENTAS Y DOCUMENTOS POR COBRAR CORRIENTES_OTRAS CUENTAS Y DOCUMENTOS POR COBRAR CORRIENTES_A ACCIONISTAS, SOCIOS, PARTICIPES, BENEFICIARIOS U OTROS TITULARES DE DERECHOS REPRESENTATIVOS DE CAPITAL_Del exterior</t>
  </si>
  <si>
    <t>CUENTAS Y DOCUMENTOS POR COBRAR CORRIENTES_OTRAS CUENTAS Y DOCUMENTOS POR COBRAR CORRIENTES_DIVIDENDOS POR COBRAR_En efectivo</t>
  </si>
  <si>
    <t>CUENTAS Y DOCUMENTOS POR COBRAR CORRIENTES_OTRAS CUENTAS Y DOCUMENTOS POR COBRAR CORRIENTES_DIVIDENDOS POR COBRAR_En activos diferentes del efectivo</t>
  </si>
  <si>
    <t>CUENTAS Y DOCUMENTOS POR COBRAR CORRIENTES_OTRAS CUENTAS Y DOCUMENTOS POR COBRAR CORRIENTES_OTRAS RELACIONADAS_Locales</t>
  </si>
  <si>
    <t>CUENTAS Y DOCUMENTOS POR COBRAR CORRIENTES_OTRAS CUENTAS Y DOCUMENTOS POR COBRAR CORRIENTES_OTRAS RELACIONADAS_Del exterior</t>
  </si>
  <si>
    <t>CUENTAS Y DOCUMENTOS POR COBRAR CORRIENTES_OTRAS CUENTAS Y DOCUMENTOS POR COBRAR CORRIENTES_OTRAS RELACIONADAS_(-) Deterioro acumulado del valor de otras cuentas y documentos por cobrar por incobrabilidad (provisiones para créditos incobrables)</t>
  </si>
  <si>
    <t>CUENTAS Y DOCUMENTOS POR COBRAR CORRIENTES_OTRAS CUENTAS Y DOCUMENTOS POR COBRAR CORRIENTES_OTRAS NO RELACIONADAS_Locales</t>
  </si>
  <si>
    <t>CUENTAS Y DOCUMENTOS POR COBRAR CORRIENTES_OTRAS CUENTAS Y DOCUMENTOS POR COBRAR CORRIENTES_OTRAS NO RELACIONADAS_Del exterior</t>
  </si>
  <si>
    <t>CUENTAS Y DOCUMENTOS POR COBRAR CORRIENTES_OTRAS CUENTAS Y DOCUMENTOS POR COBRAR CORRIENTES_OTRAS NO RELACIONADAS_(-) Deterioro acumulado del valor de otras cuentas y documentos por cobrar por incobrabilidad (provisiones para créditos incobrables)</t>
  </si>
  <si>
    <t>OTROS ACTIVOS FINANCIEROS CORRIENTES_A costo amortizado__</t>
  </si>
  <si>
    <t>OTROS ACTIVOS FINANCIEROS CORRIENTES_(-) Deterioro acumulado del valor  de otros activos financieros corrientes medidos a costo amortizado  (provisiones para créditos incobrables)__</t>
  </si>
  <si>
    <t>OTROS ACTIVOS FINANCIEROS CORRIENTES_A valor razonable__</t>
  </si>
  <si>
    <t>PORCIÓN CORRIENTE DE ARRENDAMIENTOS FINANCIEROS POR COBRAR_Relacionadas__</t>
  </si>
  <si>
    <t>PORCIÓN CORRIENTE DE ARRENDAMIENTOS FINANCIEROS POR COBRAR_No relacionadas__</t>
  </si>
  <si>
    <t>IMPORTE BRUTO ADEUDADO POR LOS CLIENTES POR EL TRABAJO EJECUTADO EN CONTRATOS DE CONSTRUCCIÓN_Relacionadas__</t>
  </si>
  <si>
    <t>IMPORTE BRUTO ADEUDADO POR LOS CLIENTES POR EL TRABAJO EJECUTADO EN CONTRATOS DE CONSTRUCCIÓN_No relacionadas__</t>
  </si>
  <si>
    <t>ACTIVOS POR IMPUESTOS CORRIENTES_Crédito tributario a favor del sujeto pasivo (ISD)__</t>
  </si>
  <si>
    <t>ACTIVOS POR IMPUESTOS CORRIENTES_Crédito tributario a favor del sujeto pasivo (IVA)__</t>
  </si>
  <si>
    <t>ACTIVOS POR IMPUESTOS CORRIENTES_Crédito tributario a favor del sujeto pasivo (Impuesto a la Renta) __</t>
  </si>
  <si>
    <t>ACTIVOS POR IMPUESTOS CORRIENTES_Otros__</t>
  </si>
  <si>
    <t>INVENTARIOS_Mercaderías en tránsito__</t>
  </si>
  <si>
    <t>INVENTARIOS_Inventario de materia prima (no para la construcción)__</t>
  </si>
  <si>
    <t>INVENTARIOS_Inventario de productos en proceso (excluyendo obras/inmuebles en construcción para la venta)__</t>
  </si>
  <si>
    <t>INVENTARIOS_Inventario de prod. term. y mercad. en almacén (excluyendo obras/inmuebles  terminados para la venta)__</t>
  </si>
  <si>
    <t>INVENTARIOS_Inventario de suministros, herramientas, repuestos y materiales (no para la construcción)__</t>
  </si>
  <si>
    <t>INVENTARIOS_Inventario de materia prima, suministros y materiales para la construcción__</t>
  </si>
  <si>
    <t>INVENTARIOS_Inventario de obras/inmuebles en construcción para la venta__</t>
  </si>
  <si>
    <t>INVENTARIOS_Inventario de obras/inmuebles terminados para la venta__</t>
  </si>
  <si>
    <t>INVENTARIOS_(-) Deterioro acumulado del valor de inventarios por ajuste al valor neto realizable__</t>
  </si>
  <si>
    <t>ACTIVOS NO CORRIENTES MANTENIDOS PARA LA VENTA_Costo__</t>
  </si>
  <si>
    <t>ACTIVOS NO CORRIENTES MANTENIDOS PARA LA VENTA_(-) Deterioro acumulado del valor de activos no corrientes mantenidos para la venta__</t>
  </si>
  <si>
    <t>ACTIVOS BIOLÓGICOS_PLANTAS VIVAS Y FRUTOS EN CRECIMIENTO_A costo_</t>
  </si>
  <si>
    <t>ACTIVOS BIOLÓGICOS_PLANTAS VIVAS Y FRUTOS EN CRECIMIENTO_(-) Deterioro acumulado del valor de activos biológicos medidos a costo_</t>
  </si>
  <si>
    <t>ACTIVOS BIOLÓGICOS_PLANTAS VIVAS Y FRUTOS EN CRECIMIENTO_A valor razonable menos los costos de venta_</t>
  </si>
  <si>
    <t>ACTIVOS BIOLÓGICOS_ANIMALES VIVOS_A costo_</t>
  </si>
  <si>
    <t>ACTIVOS BIOLÓGICOS_ANIMALES VIVOS_(-) Deterioro acumulado del valor de activos biológicos medidos a costo_</t>
  </si>
  <si>
    <t>ACTIVOS BIOLÓGICOS_ANIMALES VIVOS_A valor razonable menos los costos de venta_</t>
  </si>
  <si>
    <t>GASTOS PAGADOS POR ANTICIPADO (PREPAGADOS)_Propaganda y publicidad prepagada__</t>
  </si>
  <si>
    <t>GASTOS PAGADOS POR ANTICIPADO (PREPAGADOS)_Arrendamientos operativos pagados por anticipado__</t>
  </si>
  <si>
    <t>GASTOS PAGADOS POR ANTICIPADO (PREPAGADOS)_Primas de seguro pagadas por anticipado__</t>
  </si>
  <si>
    <t>GASTOS PAGADOS POR ANTICIPADO (PREPAGADOS)_Otros__</t>
  </si>
  <si>
    <t>ACTIVO_TOTAL ACTIVOS CORRIENTES_</t>
  </si>
  <si>
    <t>PROPIEDADES, PLANTA Y EQUIPO_TERRENOS_Costo histórico antes de reexpresiones o revaluaciones_</t>
  </si>
  <si>
    <t>PROPIEDADES, PLANTA Y EQUIPO_TERRENOS_Ajuste acumulado por reexpresiones o revaluaciones_</t>
  </si>
  <si>
    <t>PROPIEDADES, PLANTA Y EQUIPO_EDIFICIOS Y OTROS INMUEBLES (EXCEPTO TERRENOS)_Costo histórico antes de reexpresiones o revaluaciones _</t>
  </si>
  <si>
    <t>PROPIEDADES, PLANTA Y EQUIPO_EDIFICIOS Y OTROS INMUEBLES (EXCEPTO TERRENOS)_Ajuste acumulado por reexpresiones o revaluaciones_</t>
  </si>
  <si>
    <t>PROPIEDADES, PLANTA Y EQUIPO_NAVES, AERONAVES, BARCAZAS Y SIMILARES_Costo histórico antes de reexpresiones o revaluaciones_</t>
  </si>
  <si>
    <t>PROPIEDADES, PLANTA Y EQUIPO_NAVES, AERONAVES, BARCAZAS Y SIMILARES_Ajuste acumulado por reexpresiones o revaluaciones_</t>
  </si>
  <si>
    <t>PROPIEDADES, PLANTA Y EQUIPO_MAQUINARIA, EQUIPO, INSTALACIONES Y ADECUACIONES_Costo histórico antes de reexpresiones o revaluaciones _</t>
  </si>
  <si>
    <t>PROPIEDADES, PLANTA Y EQUIPO_MAQUINARIA, EQUIPO, INSTALACIONES Y ADECUACIONES_Ajuste acumulado por reexpresiones o revaluaciones_</t>
  </si>
  <si>
    <t>PROPIEDADES, PLANTA Y EQUIPO_PLANTAS PRODUCTORAS (AGRICULTURA)_Costo histórico antes de reexpresiones o revaluaciones_</t>
  </si>
  <si>
    <t>PROPIEDADES, PLANTA Y EQUIPO_PLANTAS PRODUCTORAS (AGRICULTURA)_Ajuste acumulado por reexpresiones o revaluaciones_</t>
  </si>
  <si>
    <t>PROPIEDADES, PLANTA Y EQUIPO_Construcciones en Curso y Otros Activos en Tránsito__</t>
  </si>
  <si>
    <t>PROPIEDADES, PLANTA Y EQUIPO_Muebles y enseres__</t>
  </si>
  <si>
    <t>PROPIEDADES, PLANTA Y EQUIPO_Equipo de Computación__equipo de computación</t>
  </si>
  <si>
    <t>PROPIEDADES, PLANTA Y EQUIPO_Vehículos, Equipo de Transporte y Caminero Móvil__equipo de computación</t>
  </si>
  <si>
    <t>PROPIEDADES, PLANTA Y EQUIPO_PROPIEDADES, PLANTA Y EQUIPO POR CONTRATOS DE ARRENDAMIENTO FINANCIERO_Terrenos_</t>
  </si>
  <si>
    <t>PROPIEDADES, PLANTA Y EQUIPO_PROPIEDADES, PLANTA Y EQUIPO POR CONTRATOS DE ARRENDAMIENTO FINANCIERO_Edificios y otros inmuebles (excepto terrenos)_</t>
  </si>
  <si>
    <t>PROPIEDADES, PLANTA Y EQUIPO_PROPIEDADES, PLANTA Y EQUIPO POR CONTRATOS DE ARRENDAMIENTO FINANCIERO_Naves, aeronaves, barcazas y similares_</t>
  </si>
  <si>
    <t>PROPIEDADES, PLANTA Y EQUIPO_PROPIEDADES, PLANTA Y EQUIPO POR CONTRATOS DE ARRENDAMIENTO FINANCIERO_Maquinaria, equipo, instalaciones y adecuaciones_</t>
  </si>
  <si>
    <t>PROPIEDADES, PLANTA Y EQUIPO_PROPIEDADES, PLANTA Y EQUIPO POR CONTRATOS DE ARRENDAMIENTO FINANCIERO_Equipo de computación_</t>
  </si>
  <si>
    <t>PROPIEDADES, PLANTA Y EQUIPO_PROPIEDADES, PLANTA Y EQUIPO POR CONTRATOS DE ARRENDAMIENTO FINANCIERO_Vehículos, equipo de transporte y caminero móvil_</t>
  </si>
  <si>
    <t>PROPIEDADES, PLANTA Y EQUIPO_PROPIEDADES, PLANTA Y EQUIPO POR CONTRATOS DE ARRENDAMIENTO FINANCIERO_Otros_</t>
  </si>
  <si>
    <t>PROPIEDADES, PLANTA Y EQUIPO_Otras Propiedades, Planta y Equipo__</t>
  </si>
  <si>
    <t>PROPIEDADES, PLANTA Y EQUIPO_(-) DEPRECIACIÒN ACUMULADA DE PROPIEDADES, PLANTA Y EQUIPO_Del costo histórico antes de reexpresiones o revaluaciones_</t>
  </si>
  <si>
    <t>PROPIEDADES, PLANTA Y EQUIPO_(-) DEPRECIACIÒN ACUMULADA DE PROPIEDADES, PLANTA Y EQUIPO_Del ajuste acumulado por reexpresiones o revaluaciones_</t>
  </si>
  <si>
    <t>PROPIEDADES, PLANTA Y EQUIPO_(-) Deterioro acumulado del valor de propiedades, planta y equipo__</t>
  </si>
  <si>
    <t>ACTIVOS INTANGIBLES_Plusvalía o goodwill (derecho de llave)__</t>
  </si>
  <si>
    <t>ACTIVOS INTANGIBLES_Marcas, patentes, licencias y otros similares__</t>
  </si>
  <si>
    <t>ACTIVOS INTANGIBLES_Adecuaciones y mejoras en bienes arrendados mediante arrendamiento operativo__</t>
  </si>
  <si>
    <t>ACTIVOS INTANGIBLES_Derechos en acuerdos de concesión__</t>
  </si>
  <si>
    <t>ACTIVOS INTANGIBLES_Otros__</t>
  </si>
  <si>
    <t>ACTIVOS INTANGIBLES_(-) Amortización acumulada de activos intangibles__</t>
  </si>
  <si>
    <t>ACTIVOS INTANGIBLES_(-) Deterioro acumulado de activos intangibles__</t>
  </si>
  <si>
    <t>PROPIEDADES DE INVERSIÓN_TERRENOS_A costo_</t>
  </si>
  <si>
    <t>PROPIEDADES DE INVERSIÓN_TERRENOS_A valor razonable_</t>
  </si>
  <si>
    <t>PROPIEDADES DE INVERSIÓN_EDIFICIOS_A costo_</t>
  </si>
  <si>
    <t>PROPIEDADES DE INVERSIÓN_EDIFICIOS_A valor razonable_</t>
  </si>
  <si>
    <t>PROPIEDADES DE INVERSIÓN_(-) Depreciación Acumulada de Propiedades de Inversión__</t>
  </si>
  <si>
    <t>PROPIEDADES DE INVERSIÓN_(-) Deterioro Acumulado del Valor de Propiedades de Inversión__</t>
  </si>
  <si>
    <t>ACTIVOS BIOLÓGICOS_PLANTAS VIVAS Y FRUTOS EN CRECIMIENTO_(-) Depreciación acumulada de activos biológicos medidos a costo_</t>
  </si>
  <si>
    <t>ACTIVOS BIOLÓGICOS_ANIMALES VIVOS_(-) Depreciación acumulada de activos biológicos medidos a costo_</t>
  </si>
  <si>
    <t>ACTIVOS PARA EXPLORACIÓN, EVALUACIÓN Y EXPLOTACIÓN DE RECURSOS MINERALES_Tangibles__</t>
  </si>
  <si>
    <t>ACTIVOS PARA EXPLORACIÓN, EVALUACIÓN Y EXPLOTACIÓN DE RECURSOS MINERALES_Intangibles__</t>
  </si>
  <si>
    <t>ACTIVOS PARA EXPLORACIÓN, EVALUACIÓN Y EXPLOTACIÓN DE RECURSOS MINERALES_(-) Depreciación / amortización acumulada de activos para exploración, evaluación y explotación __</t>
  </si>
  <si>
    <t>ACTIVOS PARA EXPLORACIÓN, EVALUACIÓN Y EXPLOTACIÓN DE RECURSOS MINERALES_(-) Deterioro acumulado del valor de activos para exploración, evaluación y explotación __</t>
  </si>
  <si>
    <t>INVERSIONES NO CORRIENTES_EN SUBSIDIARIAS_Costo_</t>
  </si>
  <si>
    <t>INVERSIONES NO CORRIENTES_EN SUBSIDIARIAS_Ajuste acumulado por aplicación del método de la participación (valor patrimonial proporcional)_</t>
  </si>
  <si>
    <t>INVERSIONES NO CORRIENTES_EN ASOCIADAS_Costo_</t>
  </si>
  <si>
    <t>INVERSIONES NO CORRIENTES_EN ASOCIADAS_Ajuste acumulado por aplicación del método de la participación (valor patrimonial proporcional)_</t>
  </si>
  <si>
    <t>INVERSIONES NO CORRIENTES_EN NEGOCIOS CONJUNTOS_Costo_</t>
  </si>
  <si>
    <t>INVERSIONES NO CORRIENTES_EN NEGOCIOS CONJUNTOS_Ajuste acumulado por aplicación del método de la participación (valor patrimonial proporcional)_</t>
  </si>
  <si>
    <t>INVERSIONES NO CORRIENTES_Otros Derechos Representativos de Capital en Sociedades que no son Subsidiarias, ni Asociadas, ni Negocios Conjuntos__</t>
  </si>
  <si>
    <t>INVERSIONES NO CORRIENTES_(-) Deterioro Acumulado del Valor de Inversiones no Corrientes__</t>
  </si>
  <si>
    <t>CUENTAS Y DOCUMENTOS POR COBRAR NO CORRIENTES_CUENTAS Y DOCUMENTOS POR COBRAR COMERCIALES NO CORRIENTES_RELACIONADAS_Locales</t>
  </si>
  <si>
    <t>CUENTAS Y DOCUMENTOS POR COBRAR NO CORRIENTES_CUENTAS Y DOCUMENTOS POR COBRAR COMERCIALES NO CORRIENTES_RELACIONADAS_Del exterior</t>
  </si>
  <si>
    <t>CUENTAS Y DOCUMENTOS POR COBRAR NO CORRIENTES_CUENTAS Y DOCUMENTOS POR COBRAR COMERCIALES NO CORRIENTES_RELACIONADAS_(-) Deterioro acumulado del valor de cuentas y documentos por cobrar comerciales por incobrabilidad (provisiones para créditos incobrables)</t>
  </si>
  <si>
    <t>CUENTAS Y DOCUMENTOS POR COBRAR NO CORRIENTES_CUENTAS Y DOCUMENTOS POR COBRAR COMERCIALES NO CORRIENTES_NO RELACIONADAS_Locales</t>
  </si>
  <si>
    <t>CUENTAS Y DOCUMENTOS POR COBRAR NO CORRIENTES_CUENTAS Y DOCUMENTOS POR COBRAR COMERCIALES NO CORRIENTES_NO RELACIONADAS_Del exterior</t>
  </si>
  <si>
    <t>CUENTAS Y DOCUMENTOS POR COBRAR NO CORRIENTES_CUENTAS Y DOCUMENTOS POR COBRAR COMERCIALES NO CORRIENTES_NO RELACIONADAS_(-) Deterioro acumulado del valor de cuentas y documentos por cobrar comerciales por incobrabilidad (provisiones para créditos incobrables)</t>
  </si>
  <si>
    <t>CUENTAS Y DOCUMENTOS POR COBRAR NO CORRIENTES_OTRAS CUENTAS Y DOCUMENTOS POR COBRAR NO CORRIENTES_A ACCIONISTAS. SOCIOS, PARTICIPES. BENEFICIARIOS U OTROS TITULARES DE DERECHOS REPRESENTATIVOS DE CAPITAL_Locales</t>
  </si>
  <si>
    <t>CUENTAS Y DOCUMENTOS POR COBRAR NO CORRIENTES_OTRAS CUENTAS Y DOCUMENTOS POR COBRAR NO CORRIENTES_A ACCIONISTAS. SOCIOS, PARTICIPES. BENEFICIARIOS U OTROS TITULARES DE DERECHOS REPRESENTATIVOS DE CAPITAL_Del exterior</t>
  </si>
  <si>
    <t>CUENTAS Y DOCUMENTOS POR COBRAR NO CORRIENTES_OTRAS CUENTAS Y DOCUMENTOS POR COBRAR NO CORRIENTES_A ACCIONISTAS. SOCIOS, PARTICIPES. BENEFICIARIOS U OTROS TITULARES DE DERECHOS REPRESENTATIVOS DE CAPITAL_(-) Deterioro acumulado del valor de cuentas y documentos por cobrar por incobrabilidad (provisiones para créditos incobrables)</t>
  </si>
  <si>
    <t>CUENTAS Y DOCUMENTOS POR COBRAR NO CORRIENTES_OTRAS CUENTAS Y DOCUMENTOS POR COBRAR NO CORRIENTES_OTRAS RELACIONADAS_Locales</t>
  </si>
  <si>
    <t>CUENTAS Y DOCUMENTOS POR COBRAR NO CORRIENTES_OTRAS CUENTAS Y DOCUMENTOS POR COBRAR NO CORRIENTES_OTRAS RELACIONADAS_Del exterior</t>
  </si>
  <si>
    <t>CUENTAS Y DOCUMENTOS POR COBRAR NO CORRIENTES_OTRAS CUENTAS Y DOCUMENTOS POR COBRAR NO CORRIENTES_OTRAS RELACIONADAS_(-) Deterioro acumulado del valor de cuentas y documentos por cobrar por incobrabilidad (provisiones para créditos incobrables)</t>
  </si>
  <si>
    <t>CUENTAS Y DOCUMENTOS POR COBRAR NO CORRIENTES_OTRAS CUENTAS Y DOCUMENTOS POR COBRAR NO CORRIENTES_OTRAS NO RELACIONADAS_Locales</t>
  </si>
  <si>
    <t>CUENTAS Y DOCUMENTOS POR COBRAR NO CORRIENTES_OTRAS CUENTAS Y DOCUMENTOS POR COBRAR NO CORRIENTES_OTRAS NO RELACIONADAS_Del exterior</t>
  </si>
  <si>
    <t>CUENTAS Y DOCUMENTOS POR COBRAR NO CORRIENTES_OTRAS CUENTAS Y DOCUMENTOS POR COBRAR NO CORRIENTES_OTRAS NO RELACIONADAS_(-) Deterioro acumulado del valor de otras cuentas y documentos por cobrar por incobrabilidad (provisiones para créditos incobrables)</t>
  </si>
  <si>
    <t>OTROS ACTIVOS FINANCIEROS NO CORRIENTES_A costo amortizado__</t>
  </si>
  <si>
    <t>OTROS ACTIVOS FINANCIEROS NO CORRIENTES_(-) Deterioro acumulado del valor  de otros activos financieros no corrientes medidos a costo amortizado (provisiones para créditos incobrables)__</t>
  </si>
  <si>
    <t>OTROS ACTIVOS FINANCIEROS NO CORRIENTES_A valor razonable__</t>
  </si>
  <si>
    <t>PORCIÓN NO CORRIENTE DE ARRENDAMIENTOS FINANCIEROS POR COBRAR_Relacionadas__</t>
  </si>
  <si>
    <t>PORCIÓN NO CORRIENTE DE ARRENDAMIENTOS FINANCIEROS POR COBRAR_No Relacionadas__</t>
  </si>
  <si>
    <t>ACTIVOS POR IMPUESTOS DIFERIDOS_Por diferencias temporarias__</t>
  </si>
  <si>
    <t>ACTIVOS POR IMPUESTOS DIFERIDOS_Por pérdidas tributarias sujetas a amortización en periodos siguientes__</t>
  </si>
  <si>
    <t>ACTIVOS POR IMPUESTOS DIFERIDOS_POR CRÉDITOS FISCALES NO UTILIZADOS_Crédito tributario a favor del sujeto pasivo (ISD)_</t>
  </si>
  <si>
    <t>ACTIVOS POR IMPUESTOS DIFERIDOS_POR CRÉDITOS FISCALES NO UTILIZADOS_Crédito tributario a favor del sujeto pasivo (Impuesto a la Renta) _</t>
  </si>
  <si>
    <t>ACTIVOS POR IMPUESTOS DIFERIDOS_POR CRÉDITOS FISCALES NO UTILIZADOS_Otros_</t>
  </si>
  <si>
    <t>ACTIVO_TOTAL ACTIVOS NO CORRIENTES_</t>
  </si>
  <si>
    <t>REVALUACIONES Y REEXPRESIONES DE ACTIVOS (INFORMATIVO) Ajustes acumulados por reexpresiones o revaluaciones de otras partidas de propiedades, planta y equipo (Informativo)</t>
  </si>
  <si>
    <t>REVALUACIONES Y REEXPRESIONES DE ACTIVOS (INFORMATIVO) (-) Depreciación acumulada de los ajustes acumulados por reexpresiones o revaluaciones de otras partidas de propiedades, planta y equipo (Informativo)</t>
  </si>
  <si>
    <t>REVALUACIONES Y REEXPRESIONES DE ACTIVOS (INFORMATIVO) Ajustes acumulados por reexpresiones o revaluaciones de activos intangibles (Informativo)</t>
  </si>
  <si>
    <t>REVALUACIONES Y REEXPRESIONES DE ACTIVOS (INFORMATIVO) (-) Amortización acumulada de los ajustes acumulados por reexpresiones o revaluaciones de activos intangibles (Informativo)</t>
  </si>
  <si>
    <t>REVALUACIONES Y REEXPRESIONES DE ACTIVOS (INFORMATIVO) Ajustes acumulados por reexpresiones o revaluaciones de propiedades de inversión (Informativo)</t>
  </si>
  <si>
    <t>REVALUACIONES Y REEXPRESIONES DE ACTIVOS (INFORMATIVO) (-) Depreciación acumulada de los ajustes acumulados por reexpresiones o revaluaciones de propiedades de inversión (Informativo)</t>
  </si>
  <si>
    <t>REVALUACIONES Y REEXPRESIONES DE ACTIVOS (INFORMATIVO) Ajustes acumulados por reexpresiones o revaluaciones de activos para exploración, evaluación y explotación de recursos minerales (Informativo)</t>
  </si>
  <si>
    <t>REVALUACIONES Y REEXPRESIONES DE ACTIVOS (INFORMATIVO) (-) Depreciación/amortización acumulada del ajustes acumulado por reexpresiones o revaluaciones de activos para exploración, evaluación y explotación de recursos minerales (Informativo)</t>
  </si>
  <si>
    <t>REVALUACIONES Y REEXPRESIONES DE ACTIVOS (INFORMATIVO) Total de las  revaluaciones y otros ajustes positivos producto de valoraciones financieras excluidos del cálculo del anticipo,  para todos los activos (Informativo)</t>
  </si>
  <si>
    <t>REVALUACIONES Y REEXPRESIONES DE ACTIVOS (INFORMATIVO) (-) Total depreciación acumulada del ajuste acumulado por  revaluaciones y otros ajustes negativos producto de valoraciones financieras excluidos del cálculo del anticipo, para todos los activos (Informativo)</t>
  </si>
  <si>
    <t>TERRENOS QUE SE EXCLUYEN DEL CÁLCULO DEL ANTICIPO Total costo de terrenos en los que se desarrollan actividades agropecuarias (excluyendo sus revaluaciones o reexpresiones) (Informativo)</t>
  </si>
  <si>
    <t>TERRENOS QUE SE EXCLUYEN DEL CÁLCULO DEL ANTICIPO Total deterioro acumulado del costo de terrenos en los que se desarrollan actividades agropecuarias (Informativo)</t>
  </si>
  <si>
    <t>TERRENOS QUE SE EXCLUYEN DEL CÁLCULO DEL ANTICIPO Total costo de terrenos en los que se desarrollan proyectos inmobiliarios para la vivienda de interés social (excluyendo sus revaluaciones o reexpresiones) (Informativo)</t>
  </si>
  <si>
    <t>TERRENOS QUE SE EXCLUYEN DEL CÁLCULO DEL ANTICIPO Total deterioro acumulado del costo de terrenos en los que se desarrollan proyectos inmobiliarios para la vivienda de interés  social (Informativo)</t>
  </si>
  <si>
    <t xml:space="preserve">Total de intereses implícitos no devengados (futuros ingresos financieros en el estado de resultados) por acuerdos que constituyen efectivamente una transacción financiera o cobro diferido (Informativo) </t>
  </si>
  <si>
    <t xml:space="preserve">Activos (fideicomitidos y generados) en fideicomisos mercantiles o encargos fiduciarios donde el contribuyente es constituyente  o aportante (Informativo) </t>
  </si>
  <si>
    <t xml:space="preserve">Activos adquiridos por el valor de las utilidades reinvertidas generadas en el período anterior al declarado (Informativo) </t>
  </si>
  <si>
    <t>TOTAL DEL ACTIVO__</t>
  </si>
  <si>
    <t>CUENTAS Y DOCUMENTOS POR PAGAR CORRIENTES_CUENTAS Y DOCUMENTOS POR PAGAR COMERCIALES CORRIENTES_RELACIONADAS_Locales</t>
  </si>
  <si>
    <t>CUENTAS Y DOCUMENTOS POR PAGAR CORRIENTES_CUENTAS Y DOCUMENTOS POR PAGAR COMERCIALES CORRIENTES_RELACIONADAS_Del exterior</t>
  </si>
  <si>
    <t>CUENTAS Y DOCUMENTOS POR PAGAR CORRIENTES_CUENTAS Y DOCUMENTOS POR PAGAR COMERCIALES CORRIENTES_NO RELACIONADAS_Locales</t>
  </si>
  <si>
    <t>CUENTAS Y DOCUMENTOS POR PAGAR CORRIENTES_CUENTAS Y DOCUMENTOS POR PAGAR COMERCIALES CORRIENTES_NO RELACIONADAS_Del exterior</t>
  </si>
  <si>
    <t>CUENTAS Y DOCUMENTOS POR PAGAR CORRIENTES_OTRAS CUENTAS Y DOCUMENTOS POR PAGAR CORRIENTES_A ACCIONISTAS. SOCIOS, PARTÍCIPES. BENEFICIARIOS U OTROS TITULARES DE DERECHOS REPRESENTATIVOS DE CAPITAL_Locales</t>
  </si>
  <si>
    <t>CUENTAS Y DOCUMENTOS POR PAGAR CORRIENTES_OTRAS CUENTAS Y DOCUMENTOS POR PAGAR CORRIENTES_A ACCIONISTAS. SOCIOS, PARTÍCIPES. BENEFICIARIOS U OTROS TITULARES DE DERECHOS REPRESENTATIVOS DE CAPITAL_Del exterior</t>
  </si>
  <si>
    <t>CUENTAS Y DOCUMENTOS POR PAGAR CORRIENTES_OTRAS CUENTAS Y DOCUMENTOS POR PAGAR CORRIENTES_DIVIDENDOS POR PAGAR_En efectivo</t>
  </si>
  <si>
    <t>CUENTAS Y DOCUMENTOS POR PAGAR CORRIENTES_OTRAS CUENTAS Y DOCUMENTOS POR PAGAR CORRIENTES_DIVIDENDOS POR PAGAR_En activos diferentes del efectivo</t>
  </si>
  <si>
    <t>CUENTAS Y DOCUMENTOS POR PAGAR CORRIENTES_OTRAS CUENTAS Y DOCUMENTOS POR PAGAR CORRIENTES_OTRAS RELACIONADAS_Locales</t>
  </si>
  <si>
    <t>CUENTAS Y DOCUMENTOS POR PAGAR CORRIENTES_OTRAS CUENTAS Y DOCUMENTOS POR PAGAR CORRIENTES_OTRAS RELACIONADAS_Del exterior</t>
  </si>
  <si>
    <t>CUENTAS Y DOCUMENTOS POR PAGAR CORRIENTES_OTRAS CUENTAS Y DOCUMENTOS POR PAGAR CORRIENTES_OTRAS NO RELACIONADAS_Locales</t>
  </si>
  <si>
    <t>CUENTAS Y DOCUMENTOS POR PAGAR CORRIENTES_OTRAS CUENTAS Y DOCUMENTOS POR PAGAR CORRIENTES_OTRAS NO RELACIONADAS_Del exterior</t>
  </si>
  <si>
    <t>OBLIGACIONES CON INSTITUCIONES FINANCIERAS - CORRIENTES_RELACIONADAS_Locales_</t>
  </si>
  <si>
    <t>OBLIGACIONES CON INSTITUCIONES FINANCIERAS - CORRIENTES_RELACIONADAS_Del exterior_</t>
  </si>
  <si>
    <t>OBLIGACIONES CON INSTITUCIONES FINANCIERAS - CORRIENTES_NO RELACIONADAS_Locales_</t>
  </si>
  <si>
    <t>OBLIGACIONES CON INSTITUCIONES FINANCIERAS - CORRIENTES_NO RELACIONADAS_Del exterior_</t>
  </si>
  <si>
    <t>OTROS PASIVOS FINANCIEROS_A costo amortizado__</t>
  </si>
  <si>
    <t>OTROS PASIVOS FINANCIEROS_A valor razonable__</t>
  </si>
  <si>
    <t>PASIVOS CORRIENTES POR BENEFICIOS A LOS EMPLEADOS_Participación trabajadores por pagar del ejercicio__</t>
  </si>
  <si>
    <t>PASIVOS CORRIENTES POR BENEFICIOS A LOS EMPLEADOS_Obligaciones con el IESS__</t>
  </si>
  <si>
    <t>PASIVOS CORRIENTES POR BENEFICIOS A LOS EMPLEADOS_Jubilación Patronal__</t>
  </si>
  <si>
    <t>PASIVOS CORRIENTES POR BENEFICIOS A LOS EMPLEADOS_Otros Pasivos Corrientes Por Beneficios a Empleados__</t>
  </si>
  <si>
    <t>PROVISIONES CORRIENTES _Por garantías__</t>
  </si>
  <si>
    <t>PROVISIONES CORRIENTES _Por desmantelamiento__</t>
  </si>
  <si>
    <t>PROVISIONES CORRIENTES _Por contratos onerosos__</t>
  </si>
  <si>
    <t>PROVISIONES CORRIENTES _Por reestructuraciones de negocios__</t>
  </si>
  <si>
    <t>PROVISIONES CORRIENTES _Por reembolsos a clientes__</t>
  </si>
  <si>
    <t>PROVISIONES CORRIENTES _Por litigios__</t>
  </si>
  <si>
    <t>PROVISIONES CORRIENTES _Por pasivos contingentes asumidos en una combinación de negocios__</t>
  </si>
  <si>
    <t>PROVISIONES CORRIENTES _Otras__</t>
  </si>
  <si>
    <t>PASIVOS POR INGRESOS DIFERIDOS_Anticipos de clientes__</t>
  </si>
  <si>
    <t>PASIVOS POR INGRESOS DIFERIDOS_Subvenciones del Gobierno__</t>
  </si>
  <si>
    <t>PASIVOS POR INGRESOS DIFERIDOS_Otros__</t>
  </si>
  <si>
    <t>OTROS PASIVOS CORRIENTES_Transferencias casa matriz y sucursales (del exterior) __</t>
  </si>
  <si>
    <t>OTROS PASIVOS CORRIENTES_Otros__</t>
  </si>
  <si>
    <t>PASIVO_TOTAL PASIVOS CORRIENTES_</t>
  </si>
  <si>
    <t>CUENTAS Y DOCUMENTOS POR PAGAR NO CORRIENTES_CUENTAS Y DOCUMENTOS POR PAGAR COMERCIALES NO CORRIENTES_RELACIONADAS_Locales</t>
  </si>
  <si>
    <t>CUENTAS Y DOCUMENTOS POR PAGAR NO CORRIENTES_CUENTAS Y DOCUMENTOS POR PAGAR COMERCIALES NO CORRIENTES_RELACIONADAS_Del exterior</t>
  </si>
  <si>
    <t>CUENTAS Y DOCUMENTOS POR PAGAR NO CORRIENTES_CUENTAS Y DOCUMENTOS POR PAGAR COMERCIALES NO CORRIENTES_NO RELACIONADAS_Locales</t>
  </si>
  <si>
    <t>CUENTAS Y DOCUMENTOS POR PAGAR NO CORRIENTES_CUENTAS Y DOCUMENTOS POR PAGAR COMERCIALES NO CORRIENTES_NO RELACIONADAS_Del exterior</t>
  </si>
  <si>
    <t>CUENTAS Y DOCUMENTOS POR PAGAR NO CORRIENTES_OTRAS CUENTAS Y DOCUMENTOS POR PAGAR NO CORRIENTES_A ACCIONISTAS, SOCIOS, PARTÍCIPES. BENEFICIARIOS U OTROS TITULARES DE DERECHOS REPRESENTATIVOS DE CAPITAL_Locales</t>
  </si>
  <si>
    <t>CUENTAS Y DOCUMENTOS POR PAGAR NO CORRIENTES_OTRAS CUENTAS Y DOCUMENTOS POR PAGAR NO CORRIENTES_A ACCIONISTAS, SOCIOS, PARTÍCIPES. BENEFICIARIOS U OTROS TITULARES DE DERECHOS REPRESENTATIVOS DE CAPITAL_Del exterior</t>
  </si>
  <si>
    <t>CUENTAS Y DOCUMENTOS POR PAGAR NO CORRIENTES_OTRAS CUENTAS Y DOCUMENTOS POR PAGAR NO CORRIENTES_OTRAS RELACIONADAS_Locales</t>
  </si>
  <si>
    <t>CUENTAS Y DOCUMENTOS POR PAGAR NO CORRIENTES_OTRAS CUENTAS Y DOCUMENTOS POR PAGAR NO CORRIENTES_OTRAS RELACIONADAS_Del exterior</t>
  </si>
  <si>
    <t>CUENTAS Y DOCUMENTOS POR PAGAR NO CORRIENTES_OTRAS CUENTAS Y DOCUMENTOS POR PAGAR NO CORRIENTES_OTRAS NO RELACIONADAS_Locales</t>
  </si>
  <si>
    <t>CUENTAS Y DOCUMENTOS POR PAGAR NO CORRIENTES_OTRAS CUENTAS Y DOCUMENTOS POR PAGAR NO CORRIENTES_OTRAS NO RELACIONADAS_Del exterior</t>
  </si>
  <si>
    <t>OBLIGACIONES CON INSTITUCIONES FINANCIERAS - NO CORRIENTES_RELACIONADAS_Locales_</t>
  </si>
  <si>
    <t>OBLIGACIONES CON INSTITUCIONES FINANCIERAS - NO CORRIENTES_RELACIONADAS_Del exterior_</t>
  </si>
  <si>
    <t>OBLIGACIONES CON INSTITUCIONES FINANCIERAS - NO CORRIENTES_NO RELACIONADAS_Locales_</t>
  </si>
  <si>
    <t>OBLIGACIONES CON INSTITUCIONES FINANCIERAS - NO CORRIENTES_NO RELACIONADAS_Del exterior_</t>
  </si>
  <si>
    <t>OTROS PASIVOS FINANCIEROS NO CORRIENTES_A costo amortizado__</t>
  </si>
  <si>
    <t>OTROS PASIVOS FINANCIEROS NO CORRIENTES_A valor razonable__</t>
  </si>
  <si>
    <t>PASIVOS NO CORRIENTES POR BENEFICIOS A LOS EMPLEADOS_Jubilación Patronal__</t>
  </si>
  <si>
    <t>PASIVOS NO CORRIENTES POR BENEFICIOS A LOS EMPLEADOS_Desahucio__</t>
  </si>
  <si>
    <t>PASIVOS NO CORRIENTES POR BENEFICIOS A LOS EMPLEADOS_Otros Pasivos No Corrientes Por Beneficios A Empleados__</t>
  </si>
  <si>
    <t>PROVISIONES NO CORRIENTES_Por garantías__</t>
  </si>
  <si>
    <t>PROVISIONES NO CORRIENTES_Por desmantelamiento__</t>
  </si>
  <si>
    <t>PROVISIONES NO CORRIENTES_Por contratos onerosos__</t>
  </si>
  <si>
    <t>PROVISIONES NO CORRIENTES_Por reestructuraciones de negocios__</t>
  </si>
  <si>
    <t>PROVISIONES NO CORRIENTES_Por reembolsos a clientes__</t>
  </si>
  <si>
    <t>PROVISIONES NO CORRIENTES_Por litigios__</t>
  </si>
  <si>
    <t>PROVISIONES NO CORRIENTES_Por pasivos contingentes asumidos en una combinación de negocios__</t>
  </si>
  <si>
    <t>PROVISIONES NO CORRIENTES_Otras__</t>
  </si>
  <si>
    <t>PASIVOS POR INGRESOS DIFERIDOS_Subvenciones del gobierno__</t>
  </si>
  <si>
    <t>OTROS PASIVOS NO CORRIENTES_Transferencias casa matriz y sucursales (del exterior) __</t>
  </si>
  <si>
    <t>OTROS PASIVOS NO CORRIENTES_Otros__</t>
  </si>
  <si>
    <t xml:space="preserve">TOTAL PASIVOS NO CORRIENTES </t>
  </si>
  <si>
    <t xml:space="preserve">Total de Intereses Implícitos No Debvengados (Futuros Gastos Financieros En El Estado De Resultados) Por Acuerdos Que Constituyen Efectivamente Una Transacción Financiera O Pago Diferido (Informativo) </t>
  </si>
  <si>
    <t xml:space="preserve">Pasivos incurridos en fideicomisos mercantiles o encargos fiduciarios donde el contribuyente es constituyente  o aportante (Informativo) </t>
  </si>
  <si>
    <t>TOTAL DEL PASIVO__</t>
  </si>
  <si>
    <t xml:space="preserve">Capital Suscrito y/o Asignado </t>
  </si>
  <si>
    <t xml:space="preserve">(-) Capital Suscrito No Pagado, Acciones en Tesorería </t>
  </si>
  <si>
    <t xml:space="preserve">Aportes de Socios, Accionistas, Partícipes, Fundadores, Constituyentes, Beneficiarios U Otros Titulares De Derechos Representativos De Capital Para Futura Capitalización </t>
  </si>
  <si>
    <t>RESERVAS Reserva legal</t>
  </si>
  <si>
    <t>RESERVAS Reserva facultativa</t>
  </si>
  <si>
    <t>RESERVAS Otras</t>
  </si>
  <si>
    <t>RESULTADOS ACUMULADOS Reserva de capital</t>
  </si>
  <si>
    <t>RESULTADOS ACUMULADOS Reserva por donaciones</t>
  </si>
  <si>
    <t>RESULTADOS ACUMULADOS Reserva por valuación (procedente de la aplicación de normas ecuatorianas de contabilidad - NEC)</t>
  </si>
  <si>
    <t>RESULTADOS ACUMULADOS Superávit por revaluación de inversiones (procedente de la aplicación de normas ecuatorianas de contabilidad - NEC)</t>
  </si>
  <si>
    <t>RESULTADOS ACUMULADOS Utilidades acumuladas de ejercicios anteriores</t>
  </si>
  <si>
    <t>RESULTADOS ACUMULADOS (-) Pérdidas acumuladas de ejercicios anteriores</t>
  </si>
  <si>
    <t>RESULTADOS ACUMULADOS Excedente / pérdida del ejercicio anterior (con socios)</t>
  </si>
  <si>
    <t>RESULTADOS ACUMULADOS Resultados acumulados por adopción por primera vez de las NIIF</t>
  </si>
  <si>
    <t>RESULTADOS ACUMULADOS Utilidad del ejercicio</t>
  </si>
  <si>
    <t>RESULTADOS ACUMULADOS Pérdida del ejercicio</t>
  </si>
  <si>
    <t>RESULTADOS ACUMULADOS Excedente / pérdida del ejercicio económico (con socios)</t>
  </si>
  <si>
    <t>SUPERÁVIT DE REVALUACIÓN ACUMULADO_Propiedades, Planta y Equipo__</t>
  </si>
  <si>
    <t>SUPERÁVIT DE REVALUACIÓN ACUMULADO_Activos intangibles__</t>
  </si>
  <si>
    <t>SUPERÁVIT DE REVALUACIÓN ACUMULADO_Otros__</t>
  </si>
  <si>
    <t>OTROS RESULTADOS INTEGRALES ACUMULADOS Ganancias y pérdidas acumuladas por inversiones en instrumentos de patrimonio medidos a valor razonable con cambios en otro resultado integral</t>
  </si>
  <si>
    <t>OTROS RESULTADOS INTEGRALES ACUMULADOS Ganancias y pérdidas acumuladas por la conversión de estados financieros de un negocio en el extranjero</t>
  </si>
  <si>
    <t>OTROS RESULTADOS INTEGRALES ACUMULADOS Ganancias y pérdidas actuariales acumuladas</t>
  </si>
  <si>
    <t>OTROS RESULTADOS INTEGRALES ACUMULADOS La parte efectiva de las ganancias y pérdidas de los instrumentos de cobertura en una cobertura de flujos de efectivo</t>
  </si>
  <si>
    <t>OTROS RESULTADOS INTEGRALES ACUMULADOS Otros</t>
  </si>
  <si>
    <t xml:space="preserve">Dividendos declarados (distribuidos) a favor de titulares de derechos representativos de capital en el ejercicio fiscal  (Informativo)  </t>
  </si>
  <si>
    <t xml:space="preserve">Dividendos pagados (liquidados)  a titulares de derechos representativos de capital en el ejercicio fiscal  (Informativo)  </t>
  </si>
  <si>
    <t>VENTAS LOCALES DE BIENES_Gravadas con tarifa diferente de 0% de IVA__</t>
  </si>
  <si>
    <t>VENTAS LOCALES DE BIENES_Gravadas con tarifa 0% de iva o exentas de IVA__</t>
  </si>
  <si>
    <t>PRESTACIONES LOCALES DE SERVICIOS_Gravadas con tarifa diferente de 0% de IVA__</t>
  </si>
  <si>
    <t>PRESTACIONES LOCALES DE SERVICIOS_Gravadas con tarifa 0% de iva o exentas de IVA__</t>
  </si>
  <si>
    <t>EXPORTACIONES NETAS (6009 - 6012)_De bienes__</t>
  </si>
  <si>
    <t>EXPORTACIONES NETAS (6009 - 6012)_De servicios__</t>
  </si>
  <si>
    <t>CÁLCULO DE BASE PARTICIPACIÓN A TRABAJADORES_Base de cálculo de participación a trabajadores_Generación</t>
  </si>
  <si>
    <t>DIFERENCIAS PERMANENTES_(-) Participación a trabajadores</t>
  </si>
  <si>
    <t>DIFERENCIAS PERMANENTES_(-) Dividendos exentos  y efectos por método de participación (valor patrimonial proporcional) campos (6024+6026+6132)</t>
  </si>
  <si>
    <t>DIFERENCIAS PERMANENTES_(-) Otras rentas exentas e ingresos no objeto de Impuesto a la Renta</t>
  </si>
  <si>
    <t>DIFERENCIAS PERMANENTES_(+) Gastos no deducibles locales</t>
  </si>
  <si>
    <t>DIFERENCIAS PERMANENTES_(+) Gastos no deducibles del exterior</t>
  </si>
  <si>
    <t>DIFERENCIAS PERMANENTES_(+) Gastos incurridos para generar ingresos exentos y gastos atribuidos a ingresos no objeto de Impuesto a la Renta</t>
  </si>
  <si>
    <t>DIFERENCIAS PERMANENTES_(+) Participación trabajadores atribuible a ingresos exentos y no objeto de impuesto a la renta -Fórmula {(804*15%) +  [ (805-808)*15% ]}</t>
  </si>
  <si>
    <t>DIFERENCIAS PERMANENTES_(-) Deducciones adicionales</t>
  </si>
  <si>
    <t xml:space="preserve">DIFERENCIAS PERMANENTES_(+) Ajuste por precios de transferencia </t>
  </si>
  <si>
    <t>DIFERENCIAS PERMANENTES_(-) Ingresos sujetos a Impuesto a la Renta Unico</t>
  </si>
  <si>
    <t>DIFERENCIAS PERMANENTES_(+) Costos y gastos deducibles incurridos para generar ingresos sujetos a impuesto a la renta único</t>
  </si>
  <si>
    <t>INFORMACIÓN RELACIONADA CON EL DEBER DE INFORMAR LA COMPOSICIÒN SOCIETARIA A LA ADMINISTRACIÓN TRIBUTARIA (ANEXO DE ACCIONISTAS - APS)_¿Cumple el deber de informar sobre la composición societaria dentro de los plazos establecidos?</t>
  </si>
  <si>
    <t>INFORMACIÓN RELACIONADA CON EL DEBER DE INFORMAR LA COMPOSICIÒN SOCIETARIA A LA ADMINISTRACIÓN TRIBUTARIA (ANEXO DE ACCIONISTAS - APS)_Porcentaje de la composición societaria no informada (dentro de los plazos establecidos)</t>
  </si>
  <si>
    <t>INFORMACIÓN RELACIONADA CON EL DEBER DE INFORMAR LA COMPOSICIÒN SOCIETARIA A LA ADMINISTRACIÓN TRIBUTARIA (ANEXO DE ACCIONISTAS - APS)_Porcentaje de la composición societaria correspondiente a paraísos fiscales al 31 de diciembre del ejercicio declarado que sí ha sido informada</t>
  </si>
  <si>
    <t>INFORMACIÓN RELACIONADA POR RESULTADOS OBTENIDOS DENTRO Y FUERA DE ZEDESs_ ¿Contribuyente declarante es administrador u operador de ZEDE?</t>
  </si>
  <si>
    <t>Para el período fiscal seleccionado, ¿se constituye en una sociedad que cumple la condición para el beneficio de rebaja en la tarifa por reinversión de utilidades (detalle tipo)?_</t>
  </si>
  <si>
    <t>Para el período fiscal seleccionado, ¿se constituye en una sociedad exportadora habitual (octavo artículo innumerado a continuación del art. 7 del RLRTI), que cumple las condiciones para el beneficio de rebaja en la tarifa de impuesto a la renta (segundo artículo innumerado a continuación del art. 37.1 de la LRTI)? Nota: El beneficio tributario no aplica para las actividades petroleras ni de recursos no renovables._</t>
  </si>
  <si>
    <t>¿Tiene derecho a la reducción de tarifa por reinversión de utilidades en proyectos deportivos, culturales, investigación científica responsable o desarrollo tecnológico acreditados por la SENESCYT?_</t>
  </si>
  <si>
    <t>Porcentaje de reducción porcentual de tarifa aplicable en proyectos deportivos, culturales, investigación científica responsable o desarrollo tecnológico acreditados por la SENESCYT_</t>
  </si>
  <si>
    <t>¿Es una empresa existente con nuevas inversiones productivas que genera empleo neto y debe aplicar la proporcionalidad del Impuesto a la Renta? _</t>
  </si>
  <si>
    <t>Porcentaje de reducción de tarifa aplicable en el caso de empresas existentes con nuevas inversiones productivas  que genera empleo neto _</t>
  </si>
  <si>
    <t>¿Es una empresa existente con nuevas inversiones productivas que genera empleo neto con autorización del CEPAI para una reducción de tarifa de Impuesto a la Renta superior a 10%?_</t>
  </si>
  <si>
    <t>Número de Resolución de autorización del CEPAI para una reducción de tarifa superior a 10 puntos porcentuales_</t>
  </si>
  <si>
    <t>Porcentaje de reducción de tarifa superior a 10 puntos porcentuales aplicable en el caso de empresas existentes con nuevas inversiones productivas que genera empleo neto con autorización del CEPAI_</t>
  </si>
  <si>
    <t>Total impuesto causado _</t>
  </si>
  <si>
    <t>¿Tiene derecho a la exoneración del impuesto a la renta para entidades del sector financiero popular y solidario resultantes de procesos de fusión de los segmentos distintos a los dos últimos? _</t>
  </si>
  <si>
    <t>Porcentaje de la relación entre el activo total de la entidad de menor tamaño respecto al activo total de la entidad absorbente_</t>
  </si>
  <si>
    <t>(-) Exoneración del impuesto a la renta para las entidades del sector financiero popular y solidario resultantes de procesos de fusión de los segmentos distintos a los dos últimos_</t>
  </si>
  <si>
    <t>Saldo del anticipo pendiente de pago (traslade campo 876 declaración período anterior) _</t>
  </si>
  <si>
    <t xml:space="preserve"> anticipo determinado correspondiente al ejercicio fiscal declarado (traslade campo 879 declaración período  anterior) _</t>
  </si>
  <si>
    <t>(=) Rebaja del saldo del anticipo - decreto ejecutivo no. 210 (aplica para únicamente para el ejercicio 2017)_</t>
  </si>
  <si>
    <t>(=) Anticipo reducido correspondiente al ejercicio fiscal declarado (aplica para únicamente para el ejercicio 2017)                                                   (851-852)_</t>
  </si>
  <si>
    <t>(=) Impuesto a la renta causado mayor al anticipo reducido                                                                                                                                                            _</t>
  </si>
  <si>
    <t>(=) Crédito tributario generado por anticipo_</t>
  </si>
  <si>
    <t>(+) Saldo del anticipo pendiente de pago_</t>
  </si>
  <si>
    <t>(-) Retenciones en la fuente que le realizaron en el ejercicio fiscal_</t>
  </si>
  <si>
    <t>(-) Retenciones por dividendos anticipados_</t>
  </si>
  <si>
    <t>(-) Retenciones por ingresos provenientes del exterior con derecho a crédito tributario_</t>
  </si>
  <si>
    <t>(-) Anticipo de impuesto a la renta pagado por espectáculos públicos_</t>
  </si>
  <si>
    <t>(-) Crédito tributario de años anteriores_</t>
  </si>
  <si>
    <t>(-) CRÉDITO TRIBUTARIO GENERADO POR IMPUESTO A LA SALIDA DE DIVISAS_Generado en el ejercicio fiscal declarado</t>
  </si>
  <si>
    <t>(-) CRÉDITO TRIBUTARIO GENERADO POR IMPUESTO A LA SALIDA DE DIVISAS_Generado en ejercicios fiscales anteriores</t>
  </si>
  <si>
    <t>¿Tiene derecho a la exoneración del pago del saldo del Impuesto a la Renta del ejercicio fiscal 2015 dispuesta en la Ley Orgánica de Solidaridad y de Corresponsabilidad Ciudadana para la Reconstrucción y Reactivación de las Zonas Afectadas?_</t>
  </si>
  <si>
    <t>(-) Exoneración del pago del saldo del impuesto a la renta del ejercicio fiscal 2015 dispuesta en la Ley Orgánica de Solidaridad y de Corresponsabilidad Ciudadana para la Reconstrucción y Reactivación de las Zonas Afectadas._</t>
  </si>
  <si>
    <t>¿Tiene derecho a la reducción de 10% del Impuesto a la Renta a pagar del ejercicio fiscal 2019 para contribuyentes domiciliados a septiembre de 2019 cuya actividad económica principal sea la agrícola, ganadera, agroindustrial y/o turismo en provincias afectadas por la paralización?_</t>
  </si>
  <si>
    <t>(-) Reducción de 10% del Impuesto a la Renta del ejercicio fiscal 2019 para contribuyentes domiciliados a septiembre de 2019 cuya actividad económica principal sea la agrícola, ganadera, agroindustrial y/o turismo en las provincias afectadas por la paralización_</t>
  </si>
  <si>
    <t>(-) Valor del beneficio en impuesto de una sociedad que dispone de un contrato de inversión con estabilidad en la tarifa de Impuesto a la Renta, de acuerdo a lo señalado en el COPCI_</t>
  </si>
  <si>
    <t>(+) Impuesto a la renta único (a partir del ejercicio 2015 registre la sumatoria de los valores pagados mensualmente por concepto de impuesto único)_</t>
  </si>
  <si>
    <t>(-) Crédito tributario para la liquidación del impuesto a la renta único (a partir del ejercicio 2015) _</t>
  </si>
  <si>
    <t xml:space="preserve">RESUMEN FINANCIERO (INFORMATIVO)_Ingresos Operacionales </t>
  </si>
  <si>
    <t>RESUMEN FINANCIERO (INFORMATIVO)_(-) Costos Operacionales</t>
  </si>
  <si>
    <t xml:space="preserve">RESUMEN FINANCIERO (INFORMATIVO)_(=) Utilidad Bruta </t>
  </si>
  <si>
    <t xml:space="preserve">RESUMEN FINANCIERO (INFORMATIVO)_(-) Gastos Operacionales </t>
  </si>
  <si>
    <t xml:space="preserve">RESUMEN FINANCIERO (INFORMATIVO)_(=) Utilidad Operacional </t>
  </si>
  <si>
    <t>RESUMEN FINANCIERO (INFORMATIVO)_(+) Ingresos No Operacionales</t>
  </si>
  <si>
    <t>RESUMEN FINANCIERO (INFORMATIVO)_(-) Gastos Financieros y Otros gastos no operacionales</t>
  </si>
  <si>
    <t xml:space="preserve">RESUMEN FINANCIERO (INFORMATIVO)_(=) Utilidad antes de Participación a trabajadores </t>
  </si>
  <si>
    <t>RESUMEN FINANCIERO (INFORMATIVO)_(-) Participación a trabajadores</t>
  </si>
  <si>
    <t>RESUMEN FINANCIERO (INFORMATIVO)_(=) Utilidad antes de Impuesto a la Renta (1065 - 803)</t>
  </si>
  <si>
    <t>RESUMEN FINANCIERO (INFORMATIVO)_(-) Impuesto a la Renta Causado</t>
  </si>
  <si>
    <t>RESUMEN FINANCIERO (INFORMATIVO)_(=) Utilidad después de Impuesto a la Renta (1075 - 850)</t>
  </si>
  <si>
    <t>Anticipo calculado próximo año (Informativo a partir del ejercicio fiscal 2019)</t>
  </si>
  <si>
    <t>ANTICIPO DE IMPUESTO A LA RENTA PRÓXIMO AÑO_Anticipo calculado próximo año (Informativo a partir del ejercicio fiscal 2019)</t>
  </si>
  <si>
    <t>ANTICIPO DE IMPUESTO A LA RENTA PRÓXIMO AÑO_(-) Exoneraciones y rebajas al anticipo</t>
  </si>
  <si>
    <t>ANTICIPO DE IMPUESTO A LA RENTA PRÓXIMO AÑO_(+) Otros conceptos</t>
  </si>
  <si>
    <t>ANTICIPO DE IMPUESTO A LA RENTA PRÓXIMO AÑO_Anticipo determinado próximo año</t>
  </si>
  <si>
    <t>OTRO RESULTADO INTEGRAL DEL PERIODO (INFORMATIVO)_GANANCIAS Y PERDIDAS POR REVALUACIONES_Propiedades, planta y equipo</t>
  </si>
  <si>
    <t>OTRO RESULTADO INTEGRAL DEL PERIODO (INFORMATIVO)_GANANCIAS Y PERDIDAS POR REVALUACIONES_Activos intangibles</t>
  </si>
  <si>
    <t>OTRO RESULTADO INTEGRAL DEL PERIODO (INFORMATIVO)_GANANCIAS Y PERDIDAS POR REVALUACIONES_Otros</t>
  </si>
  <si>
    <t>OTRO RESULTADO INTEGRAL DEL PERIODO (INFORMATIVO)_Ganancias y pérdidas por inversiones en instrumentos de patrimonio medidos a valor razonable con cambios en otro resultado integral_</t>
  </si>
  <si>
    <t>OTRO RESULTADO INTEGRAL DEL PERIODO (INFORMATIVO)_Ganancias y pérdidas por la conversión de estados financieros de un negocio en el extranjero_</t>
  </si>
  <si>
    <t>OTRO RESULTADO INTEGRAL DEL PERIODO (INFORMATIVO)_Ganancias y pérdidas actuariales_</t>
  </si>
  <si>
    <t>OTRO RESULTADO INTEGRAL DEL PERIODO (INFORMATIVO)_La parte efectiva de las ganancias y pérdidas de los instrumentos de cobertura en una cobertura de flujos de efectivo_</t>
  </si>
  <si>
    <t>OTRO RESULTADO INTEGRAL DEL PERIODO (INFORMATIVO)_Otros_</t>
  </si>
  <si>
    <t>GASTO (INGRESO) POR IMPUESTO A LA RENTA DEL PERIODO (INFORMATIVO) _Gasto (ingreso) por impuesto a la renta corriente_</t>
  </si>
  <si>
    <t>GASTO (INGRESO) POR IMPUESTO A LA RENTA DEL PERIODO (INFORMATIVO) _Gasto (ingreso) por impuesto a la renta diferido_</t>
  </si>
  <si>
    <t>Pago previo (Informativo)_</t>
  </si>
  <si>
    <t>DETALLE DE IMPUTACIÓN AL PAGO (PARA DECLARACIONES SUSTITUTIVAS)_Interés</t>
  </si>
  <si>
    <t>DETALLE DE IMPUTACIÓN AL PAGO (PARA DECLARACIONES SUSTITUTIVAS)_Impuesto</t>
  </si>
  <si>
    <t>DETALLE DE IMPUTACIÓN AL PAGO (PARA DECLARACIONES SUSTITUTIVAS)_Multa</t>
  </si>
  <si>
    <t>VALORES A PAGAR Y FORMAS DE PAGO (LUEGO DE IMPUTACIÓN AL PAGO EN DECLARACIONES SUSTITUTIVAS)_TOTAL IMPUESTO A PAGAR</t>
  </si>
  <si>
    <t xml:space="preserve">VALORES A PAGAR Y FORMAS DE PAGO (LUEGO DE IMPUTACIÓN AL PAGO EN DECLARACIONES SUSTITUTIVAS)_Interés por mora </t>
  </si>
  <si>
    <t xml:space="preserve">VALORES A PAGAR Y FORMAS DE PAGO (LUEGO DE IMPUTACIÓN AL PAGO EN DECLARACIONES SUSTITUTIVAS)_Multa </t>
  </si>
  <si>
    <t>VALORES A PAGAR Y FORMAS DE PAGO (LUEGO DE IMPUTACIÓN AL PAGO EN DECLARACIONES SUSTITUTIVAS)_TOTAL PAGADO</t>
  </si>
  <si>
    <t>IE/No Objeto_POR REGALÍAS Y OTRAS CESIONES DE DERECHOS_Relacionadas__</t>
  </si>
  <si>
    <t>IE/No Objeto_POR REGALÍAS Y OTRAS CESIONES DE DERECHOS_No Relacionadas__</t>
  </si>
  <si>
    <t>IE/No Objeto_POR DIVIDENDOS_Procedentes de sociedades residentes o establecidas en Ecuador __</t>
  </si>
  <si>
    <t>IE/No Objeto_POR DIVIDENDOS_Procedentes de sociedades no residentes ni establecidas en Ecuador __</t>
  </si>
  <si>
    <t>IE/No Objeto_Ganancias netas por mediciones de activos biológicos a valor razonable menos costos de venta</t>
  </si>
  <si>
    <t>IE/No Objeto_Ganancias netas por medición de propiedades de inversión a valor razonable</t>
  </si>
  <si>
    <t>IE/No Objeto_Ganancias netas por medición de instrumentos financieros a valor razonable</t>
  </si>
  <si>
    <t>IE/No Objeto_Ganancias netas por diferencias de cambios</t>
  </si>
  <si>
    <t>IE/No Objeto_Utilidad en venta de propiedades, planta y equipo</t>
  </si>
  <si>
    <t>IE/No Objeto_Utilidad en la enajenación de derechos representativos de capital</t>
  </si>
  <si>
    <t>IE/No Objeto_Ingresos devengados por subvenciones del gobierno y otras ayudas gubernamentales</t>
  </si>
  <si>
    <t>IE/No Objeto_GANANCIAS NETAS POR REVERSIONES DE DETERIORO EN EL VALOR_De activos financieros (reversión de provisiones para créditos incobrables)__</t>
  </si>
  <si>
    <t>IE/No Objeto_GANANCIAS NETAS POR REVERSIONES DE DETERIORO EN EL VALOR_De inventarios__</t>
  </si>
  <si>
    <t>IE/No Objeto_GANANCIAS NETAS POR REVERSIONES DE DETERIORO EN EL VALOR_De activos no corrientes mantenidos para la venta__</t>
  </si>
  <si>
    <t>IE/No Objeto_GANANCIAS NETAS POR REVERSIONES DE DETERIORO EN EL VALOR_De activos biológicos__</t>
  </si>
  <si>
    <t>IE/No Objeto_GANANCIAS NETAS POR REVERSIONES DE DETERIORO EN EL VALOR_De propiedades, planta y equipo__</t>
  </si>
  <si>
    <t>IE/No Objeto_GANANCIAS NETAS POR REVERSIONES DE DETERIORO EN EL VALOR_De activos intangibles__</t>
  </si>
  <si>
    <t>IE/No Objeto_GANANCIAS NETAS POR REVERSIONES DE DETERIORO EN EL VALOR_De propiedades de inversión__</t>
  </si>
  <si>
    <t>IE/No Objeto_GANANCIAS NETAS POR REVERSIONES DE DETERIORO EN EL VALOR_De activos de exploración, evaluación y explotación de recursos minerales__</t>
  </si>
  <si>
    <t>IE/No Objeto_GANANCIAS NETAS POR REVERSIONES DE DETERIORO EN EL VALOR_De inversiones no corrientes__</t>
  </si>
  <si>
    <t>IE/No Objeto_GANANCIAS NETAS POR REVERSIONES DE DETERIORO EN EL VALOR_Otras__</t>
  </si>
  <si>
    <t>IE/No Objeto_GANANCIAS NETAS POR REVERSIONES DE PROVISIONES_Por garantías__</t>
  </si>
  <si>
    <t>IE/No Objeto_GANANCIAS NETAS POR REVERSIONES DE PROVISIONES_Por desmantelamientos__</t>
  </si>
  <si>
    <t>IE/No Objeto_GANANCIAS NETAS POR REVERSIONES DE PROVISIONES_Por contratos onerosos__</t>
  </si>
  <si>
    <t>IE/No Objeto_GANANCIAS NETAS POR REVERSIONES DE PROVISIONES_Por reestructuraciones de negocios__</t>
  </si>
  <si>
    <t>IE/No Objeto_GANANCIAS NETAS POR REVERSIONES DE PROVISIONES_Por reembolsos a clientes__</t>
  </si>
  <si>
    <t>IE/No Objeto_GANANCIAS NETAS POR REVERSIONES DE PROVISIONES_Por litigios__</t>
  </si>
  <si>
    <t>IE/No Objeto_GANANCIAS NETAS POR REVERSIONES DE PROVISIONES_Por pasivos contingentes asumidos en una combinación de negocios__</t>
  </si>
  <si>
    <t>IE/No Objeto_GANANCIAS NETAS POR REVERSIONES DE PROVISIONES_Otras__</t>
  </si>
  <si>
    <t>IE/No Objeto_GANANCIAS NETAS POR REVERSIONES DE PASIVOS POR BENEFICIOS A LOS EMPLEADOS_Jubilación patronal y desahucio__</t>
  </si>
  <si>
    <t>IE/No Objeto_GANANCIAS NETAS POR REVERSIONES DE PASIVOS POR BENEFICIOS A LOS EMPLEADOS_Otros__</t>
  </si>
  <si>
    <t>IE/No Objeto_RENTAS NETAS PROVENIENTES DE DONACIONES Y APORTACIONES (PARA USO DE INSTITUCIONES DE CARÁCTER PRIVADOS SIN FINES DE LUCRO)_De recursos públicos__</t>
  </si>
  <si>
    <t>IE/No Objeto_RENTAS NETAS PROVENIENTES DE DONACIONES Y APORTACIONES (PARA USO DE INSTITUCIONES DE CARÁCTER PRIVADOS SIN FINES DE LUCRO)_De otras locales__</t>
  </si>
  <si>
    <t>IE/No Objeto_RENTAS NETAS PROVENIENTES DE DONACIONES Y APORTACIONES (PARA USO DE INSTITUCIONES DE CARÁCTER PRIVADOS SIN FINES DE LUCRO)_Del exterior__</t>
  </si>
  <si>
    <t>IE/No Objeto_POR REEMBOLSOS DE SEGUROS_Por lucro cesante__</t>
  </si>
  <si>
    <t>IE/No Objeto_POR REEMBOLSOS DE SEGUROS_Otros__</t>
  </si>
  <si>
    <t>IE/No Objeto_Provenientes del exterior</t>
  </si>
  <si>
    <t>IE/No Objeto_Otros</t>
  </si>
  <si>
    <t>IE/No Objeto_INGRESOS FINANCIEROS_ARRENDAMIENTO MERCANTIL_RELACIONADAS_Local</t>
  </si>
  <si>
    <t>IE/No Objeto_INGRESOS FINANCIEROS_ARRENDAMIENTO MERCANTIL_RELACIONADAS_Del exterior</t>
  </si>
  <si>
    <t>IE/No Objeto_INGRESOS FINANCIEROS_ARRENDAMIENTO MERCANTIL_NO RELACIONADAS_Local</t>
  </si>
  <si>
    <t>IE/No Objeto_INGRESOS FINANCIEROS_ARRENDAMIENTO MERCANTIL_NO RELACIONADAS_Del exterior</t>
  </si>
  <si>
    <t>IE/No Objeto_INGRESOS FINANCIEROS_COSTOS DE TRANSACCIÓN (COMISIONES BANCRIAS, HONORARIOS, TASAS, ENTRE OTROS)_RELACIONADAS_Local</t>
  </si>
  <si>
    <t>IE/No Objeto_INGRESOS FINANCIEROS_COSTOS DE TRANSACCIÓN (COMISIONES BANCRIAS, HONORARIOS, TASAS, ENTRE OTROS)_RELACIONADAS_Del exterior</t>
  </si>
  <si>
    <t>IE/No Objeto_INGRESOS FINANCIEROS_COSTOS DE TRANSACCIÓN (COMISIONES BANCRIAS, HONORARIOS, TASAS, ENTRE OTROS)_NO RELACIONADAS_Local</t>
  </si>
  <si>
    <t>IE/No Objeto_INGRESOS FINANCIEROS_COSTOS DE TRANSACCIÓN (COMISIONES BANCRIAS, HONORARIOS, TASAS, ENTRE OTROS)_NO RELACIONADAS_Del exterior</t>
  </si>
  <si>
    <t>IE/No Objeto_INGRESOS FINANCIEROS_INTERESES CON INSTITUCIONES FINANCIERAS_RELACIONADAS_Local</t>
  </si>
  <si>
    <t>IE/No Objeto_INGRESOS FINANCIEROS_INTERESES CON INSTITUCIONES FINANCIERAS_RELACIONADAS_Del exterior</t>
  </si>
  <si>
    <t>IE/No Objeto_INGRESOS FINANCIEROS_INTERESES CON INSTITUCIONES FINANCIERAS_NO RELACIONADAS_Local</t>
  </si>
  <si>
    <t>IE/No Objeto_INGRESOS FINANCIEROS_INTERESES CON INSTITUCIONES FINANCIERAS_NO RELACIONADAS_Del exterior</t>
  </si>
  <si>
    <t>IE/No Objeto_INGRESOS FINANCIEROS_INTERESES DEVENGADOS CON TERCEROS_RELACIONADAS_Local</t>
  </si>
  <si>
    <t>IE/No Objeto_INGRESOS FINANCIEROS_INTERESES DEVENGADOS CON TERCEROS_RELACIONADAS_Del exterior</t>
  </si>
  <si>
    <t>IE/No Objeto_INGRESOS FINANCIEROS_INTERESES DEVENGADOS CON TERCEROS_NO RELACIONADAS_Local</t>
  </si>
  <si>
    <t>IE/No Objeto_INGRESOS FINANCIEROS_INTERESES DEVENGADOS CON TERCEROS_NO RELACIONADAS_Del exterior</t>
  </si>
  <si>
    <t>IE/No Objeto_INGRESOS FINANCIEROS_Intereses implícitos devengados por acuerdos que constituyen efectivamente una transacción financiera o cobro diferido__</t>
  </si>
  <si>
    <t>IE/No Objeto_INGRESOS FINANCIEROS_Otros__</t>
  </si>
  <si>
    <t>IE/No Objeto_Ganancias por medición de inversiones en asociadas y negocios conjuntos al método de la participación (valor patrimonial proporcional)</t>
  </si>
  <si>
    <t>IE/No Objeto_Ganancias netas procedentes de actividades discontinuadas</t>
  </si>
  <si>
    <t>GND_COSTO DE VENTAS_Inventario inicial de bienes no producidos por el sujeto pasivo_Costo&amp;Gasto</t>
  </si>
  <si>
    <t>GND_COSTO DE VENTAS_Compras netas locales de bienes no producidos por el sujeto pasivo_Costo&amp;Gasto</t>
  </si>
  <si>
    <t>GND_COSTO DE VENTAS_Importaciones de bienes no producidos por el sujeto pasivo_Costo&amp;Gasto</t>
  </si>
  <si>
    <t>GND_COSTO DE VENTAS_(-) Inventario final de bienes no producidos por el sujeto pasivo_Costo&amp;Gasto</t>
  </si>
  <si>
    <t>GND_COSTO DE VENTAS_Inventario inicial de materia prima_Costo&amp;Gasto</t>
  </si>
  <si>
    <t>GND_COSTO DE VENTAS_Compras netas locales de materia prima_Costo&amp;Gasto</t>
  </si>
  <si>
    <t>GND_COSTO DE VENTAS_Importaciones de materia prima_Costo&amp;Gasto</t>
  </si>
  <si>
    <t>GND_COSTO DE VENTAS_(-) Inventario final de materia prima_Costo&amp;Gasto</t>
  </si>
  <si>
    <t>GND_COSTO DE VENTAS_Inventario inicial de productos en proceso_Costo&amp;Gasto</t>
  </si>
  <si>
    <t>GND_COSTO DE VENTAS_(-) Inventario final de productos en proceso_Costo&amp;Gasto</t>
  </si>
  <si>
    <t>GND_COSTO DE VENTAS_Inventario inicial productos terminados_Costo&amp;Gasto</t>
  </si>
  <si>
    <t>GND_COSTO DE VENTAS_(-) Inventario final de productos terminados_Costo&amp;Gasto</t>
  </si>
  <si>
    <t>GND_COSTO DE VENTAS_(+ / -) Ajustes_Costo&amp;Gasto</t>
  </si>
  <si>
    <t>GND_GASTOS POR BENEFICIOS A LOS EMPLEADOS Y HONORARIOS__Costo&amp;Gasto</t>
  </si>
  <si>
    <t>GND_GASTOS POR BENEFICIOS A LOS EMPLEADOS Y HONORARIOS_Sueldos, salarios y demás remuneraciones que constituyen materia gravada del iess_Costo&amp;Gasto</t>
  </si>
  <si>
    <t>GND_GASTOS POR BENEFICIOS A LOS EMPLEADOS Y HONORARIOS_Beneficios sociales, indemnizaciones y otras remuneraciones que no constituyen materia gravada del IESS_Costo&amp;Gasto</t>
  </si>
  <si>
    <t>GND_GASTOS POR BENEFICIOS A LOS EMPLEADOS Y HONORARIOS_Aporte a la seguridad social (incluye fondo de reserva)_Costo&amp;Gasto</t>
  </si>
  <si>
    <t>GND_GASTOS POR BENEFICIOS A LOS EMPLEADOS Y HONORARIOS_Honorarios profesionales y dietas_Costo&amp;Gasto</t>
  </si>
  <si>
    <t>GND_GASTOS POR BENEFICIOS A LOS EMPLEADOS Y HONORARIOS_Honorarios y otros pagos a no residentes por servicios ocasionales_Costo&amp;Gasto</t>
  </si>
  <si>
    <t>GND_GASTOS POR BENEFICIOS A LOS EMPLEADOS Y HONORARIOS_Jubilación patronal_Costo&amp;Gasto</t>
  </si>
  <si>
    <t>GND_GASTOS POR BENEFICIOS A LOS EMPLEADOS Y HONORARIOS_Desahucio_Costo&amp;Gasto</t>
  </si>
  <si>
    <t>GND_GASTOS POR BENEFICIOS A LOS EMPLEADOS Y HONORARIOS_Otros_Costo&amp;Gasto</t>
  </si>
  <si>
    <t>GND_GASTOS POR DEPRECIACIONES__Costo&amp;Gasto</t>
  </si>
  <si>
    <t>GND_GASTOS POR DEPRECIACIONES_DEL COSTO HISTÓRICO DE PROPIEDADES, PLANTA Y EQUIPO_Costo&amp;Gasto</t>
  </si>
  <si>
    <t>GND_DEL COSTO HISTÓRICO DE PROPIEDADES, PLANTA Y EQUIPO_Acelerada___Costo&amp;Gasto</t>
  </si>
  <si>
    <t>GND_DEL COSTO HISTÓRICO DE PROPIEDADES, PLANTA Y EQUIPO_No acelerada___Costo&amp;Gasto</t>
  </si>
  <si>
    <t>GND_GASTOS POR DEPRECIACIONES_Del costo histórico de propiedades de inversión_Costo&amp;Gasto</t>
  </si>
  <si>
    <t>GND_GASTOS POR DEPRECIACIONES_Del costo histórico de activos para exploración, evaluación y explotación de recursos minerales_Costo&amp;Gasto</t>
  </si>
  <si>
    <t>GND_GASTOS POR DEPRECIACIONES_DEL AJUSTE ACUMULADO POR REEXPRESIONES O REVALUACIONES_Costo&amp;Gasto</t>
  </si>
  <si>
    <t>GND_DEL AJUSTE ACUMULADO POR REEXPRESIONES O REVALUACIONES_Propiedades, planta y equipo___Costo&amp;Gasto</t>
  </si>
  <si>
    <t>GND_DEL AJUSTE ACUMULADO POR REEXPRESIONES O REVALUACIONES_Propiedades de inversión___Costo&amp;Gasto</t>
  </si>
  <si>
    <t>GND_DEL AJUSTE ACUMULADO POR REEXPRESIONES O REVALUACIONES_Activos para exploración, evaluación y explotación de recursos minerales___Costo&amp;Gasto</t>
  </si>
  <si>
    <t>GND_DEL AJUSTE ACUMULADO POR REEXPRESIONES O REVALUACIONES_Otros___Costo&amp;Gasto</t>
  </si>
  <si>
    <t>GND_GASTOS POR DEPRECIACIONES_De Activos Biológicos_Costo&amp;Gasto</t>
  </si>
  <si>
    <t>GND_GASTOS POR DEPRECIACIONES_Otras depreciaciones_Costo&amp;Gasto</t>
  </si>
  <si>
    <t>GND_GASTOS POR AMORTIZACIONES__Costo&amp;Gasto</t>
  </si>
  <si>
    <t>GND_GASTOS POR AMORTIZACIONES_Del costo histórico de Activos Intangibles_Costo&amp;Gasto</t>
  </si>
  <si>
    <t>GND_GASTOS POR AMORTIZACIONES_Del costo histórico de activos para la exploración evaluación y explotación de recursos minerales_Costo&amp;Gasto</t>
  </si>
  <si>
    <t>GND_GASTOS POR AMORTIZACIONES_DEL AJUSTE ACUMULADO POR REEXPRESIONES O REVALUACIONES_Costo&amp;Gasto</t>
  </si>
  <si>
    <t>GND_DEL AJUSTE ACUMULADO POR REEXPRESIONES O REVALUACIONES_Activos intangibles___Costo&amp;Gasto</t>
  </si>
  <si>
    <t>GND_DEL AJUSTE ACUMULADO POR REEXPRESIONES O REVALUACIONES_Activos para la exploración. Evaluación y explotación de recursos minerales___Costo&amp;Gasto</t>
  </si>
  <si>
    <t>GND_GASTOS POR AMORTIZACIONES_Otras amortizaciones_Costo&amp;Gasto</t>
  </si>
  <si>
    <t>GND_PÉRDIDAS NETAS POR DETERIORO EN EL VALOR__Costo&amp;Gasto</t>
  </si>
  <si>
    <t>GND_PÉRDIDAS NETAS POR DETERIORO EN EL VALOR_De activos financieros (de provisiones para créditos incobrables)_Costo&amp;Gasto</t>
  </si>
  <si>
    <t>GND_PÉRDIDAS NETAS POR DETERIORO EN EL VALOR_De inventarios_Costo&amp;Gasto</t>
  </si>
  <si>
    <t>GND_PÉRDIDAS NETAS POR DETERIORO EN EL VALOR_De activos no corrientes mantenidos para la venta_Costo&amp;Gasto</t>
  </si>
  <si>
    <t>GND_PÉRDIDAS NETAS POR DETERIORO EN EL VALOR_De activos biológicos_Costo&amp;Gasto</t>
  </si>
  <si>
    <t>GND_PÉRDIDAS NETAS POR DETERIORO EN EL VALOR_De propiedades, planta y equipo_Costo&amp;Gasto</t>
  </si>
  <si>
    <t>GND_PÉRDIDAS NETAS POR DETERIORO EN EL VALOR_De activos intangibles_Costo&amp;Gasto</t>
  </si>
  <si>
    <t>GND_PÉRDIDAS NETAS POR DETERIORO EN EL VALOR_De propiedades de inversión_Costo&amp;Gasto</t>
  </si>
  <si>
    <t>GND_PÉRDIDAS NETAS POR DETERIORO EN EL VALOR_De activos de exploración, evaluación y explotación de recursos minerales_Costo&amp;Gasto</t>
  </si>
  <si>
    <t>GND_PÉRDIDAS NETAS POR DETERIORO EN EL VALOR_De inversiones no corrientes_Costo&amp;Gasto</t>
  </si>
  <si>
    <t>GND_PÉRDIDAS NETAS POR DETERIORO EN EL VALOR_Otras_Costo&amp;Gasto</t>
  </si>
  <si>
    <t>GND_GASTOS DE PROVISIONES__Costo&amp;Gasto</t>
  </si>
  <si>
    <t>GND_GASTOS DE PROVISIONES_Por garantías_Costo&amp;Gasto</t>
  </si>
  <si>
    <t>GND_GASTOS DE PROVISIONES_Por desmantelamientos_Costo&amp;Gasto</t>
  </si>
  <si>
    <t>GND_GASTOS DE PROVISIONES_Por contratos onerosos_Costo&amp;Gasto</t>
  </si>
  <si>
    <t>GND_GASTOS DE PROVISIONES_Por reestructuraciones de negocios_Costo&amp;Gasto</t>
  </si>
  <si>
    <t>GND_GASTOS DE PROVISIONES_Por reembolsos a clientes_Costo&amp;Gasto</t>
  </si>
  <si>
    <t>GND_GASTOS DE PROVISIONES_Por litigios_Costo&amp;Gasto</t>
  </si>
  <si>
    <t>GND_GASTOS DE PROVISIONES_Por pasivos contingentes asumidos en una combinación de negocios_Costo&amp;Gasto</t>
  </si>
  <si>
    <t>GND_GASTOS DE PROVISIONES_Otros_Costo&amp;Gasto</t>
  </si>
  <si>
    <t>GND_PÉRDIDA EN VENTA DE ACTIVOS FIJOS__Costo&amp;Gasto</t>
  </si>
  <si>
    <t>GND_PÉRDIDA EN VENTA DE ACTIVOS FIJOS_Relacionadas_Costo&amp;Gasto</t>
  </si>
  <si>
    <t>GND_PÉRDIDA EN VENTA DE ACTIVOS FIJOS_No relacionadas_Costo&amp;Gasto</t>
  </si>
  <si>
    <t>GND_OTROS GASTOS__Costo&amp;Gasto</t>
  </si>
  <si>
    <t>GND_OTROS GASTOS_Promoción y publicidad_Costo&amp;Gasto</t>
  </si>
  <si>
    <t>GND_OTROS GASTOS_Transporte_Costo&amp;Gasto</t>
  </si>
  <si>
    <t>GND_OTROS GASTOS_Consumo de combustibles y lubricantes_Costo&amp;Gasto</t>
  </si>
  <si>
    <t>GND_OTROS GASTOS_Gastos de viaje_Costo&amp;Gasto</t>
  </si>
  <si>
    <t>GND_OTROS GASTOS_Gastos de gestión_Costo&amp;Gasto</t>
  </si>
  <si>
    <t>GND_OTROS GASTOS_Arrendamientos operativos_Costo&amp;Gasto</t>
  </si>
  <si>
    <t>GND_OTROS GASTOS_Suministros, herramientas, materiales y repuestos_Costo&amp;Gasto</t>
  </si>
  <si>
    <t>GND_OTROS GASTOS_Pérdida en la enajenación de derechos representativos de capital_Costo&amp;Gasto</t>
  </si>
  <si>
    <t>GND_OTROS GASTOS_Mantenimiento y reparaciones_Costo&amp;Gasto</t>
  </si>
  <si>
    <t>GND_OTROS GASTOS_Mermas_Costo&amp;Gasto</t>
  </si>
  <si>
    <t>GND_OTROS GASTOS_Seguros y reaseguros (primas y cesiones) _Costo&amp;Gasto</t>
  </si>
  <si>
    <t>GND_OTROS GASTOS_Gastos indirectos asignados desde el exterior por partes relacionadas_Costo&amp;Gasto</t>
  </si>
  <si>
    <t>GND_OTROS GASTOS_Impuestos, contribuciones y otros_Costo&amp;Gasto</t>
  </si>
  <si>
    <t>GND_OTROS GASTOS_COMISIONES Y SIMILARES (DIFERENTES DE LAS COMISIONES POR OPERACIONES FINANCIERAS)_Costo&amp;Gasto</t>
  </si>
  <si>
    <t>GND_COMISIONES Y SIMILARES (DIFERENTES DE LAS COMISIONES POR OPERACIONES FINANCIERAS)_RELACIONADAS___Costo&amp;Gasto</t>
  </si>
  <si>
    <t>GND_COMISIONES Y SIMILARES (DIFERENTES DE LAS COMISIONES POR OPERACIONES FINANCIERAS)_RELACIONADAS_Local__Costo&amp;Gasto</t>
  </si>
  <si>
    <t>GND_COMISIONES Y SIMILARES (DIFERENTES DE LAS COMISIONES POR OPERACIONES FINANCIERAS)_RELACIONADAS_Del exterior__Costo&amp;Gasto</t>
  </si>
  <si>
    <t>GND_COMISIONES Y SIMILARES (DIFERENTES DE LAS COMISIONES POR OPERACIONES FINANCIERAS)_NO RELACIONADAS___Costo&amp;Gasto</t>
  </si>
  <si>
    <t>GND_COMISIONES Y SIMILARES (DIFERENTES DE LAS COMISIONES POR OPERACIONES FINANCIERAS)_NO RELACIONADAS_Local__Costo&amp;Gasto</t>
  </si>
  <si>
    <t>GND_COMISIONES Y SIMILARES (DIFERENTES DE LAS COMISIONES POR OPERACIONES FINANCIERAS)_NO RELACIONADAS_Del exterior__Costo&amp;Gasto</t>
  </si>
  <si>
    <t>GND_OTROS GASTOS_OPERACIONES DE REGALÍAS, SERVICIOS TÉCNICOS. ADMINISTRATIVOS, DE CONSULTARÍA Y SIMILARES_Costo&amp;Gasto</t>
  </si>
  <si>
    <t>GND_OPERACIONES DE REGALÍAS, SERVICIOS TÉCNICOS. ADMINISTRATIVOS, DE CONSULTARÍA Y SIMILARES_RELACIONADAS___Costo&amp;Gasto</t>
  </si>
  <si>
    <t>GND_OPERACIONES DE REGALÍAS, SERVICIOS TÉCNICOS. ADMINISTRATIVOS, DE CONSULTARÍA Y SIMILARES_RELACIONADAS_Local__Costo&amp;Gasto</t>
  </si>
  <si>
    <t>GND_OPERACIONES DE REGALÍAS, SERVICIOS TÉCNICOS. ADMINISTRATIVOS, DE CONSULTARÍA Y SIMILARES_RELACIONADAS_Del exterior__Costo&amp;Gasto</t>
  </si>
  <si>
    <t>GND_OPERACIONES DE REGALÍAS, SERVICIOS TÉCNICOS. ADMINISTRATIVOS, DE CONSULTARÍA Y SIMILARES_NO RELACIONADAS___Costo&amp;Gasto</t>
  </si>
  <si>
    <t>GND_OPERACIONES DE REGALÍAS, SERVICIOS TÉCNICOS. ADMINISTRATIVOS, DE CONSULTARÍA Y SIMILARES_NO RELACIONADAS_Local__Costo&amp;Gasto</t>
  </si>
  <si>
    <t>GND_OPERACIONES DE REGALÍAS, SERVICIOS TÉCNICOS. ADMINISTRATIVOS, DE CONSULTARÍA Y SIMILARES_NO RELACIONADAS_Del exterior__Costo&amp;Gasto</t>
  </si>
  <si>
    <t>GND_OTROS GASTOS_Instalación, organización y similares_Costo&amp;Gasto</t>
  </si>
  <si>
    <t>GND_OTROS GASTOS_IVA que se carga al costo o gasto_Costo&amp;Gasto</t>
  </si>
  <si>
    <t>GND_OTROS GASTOS_Servicios públicos_Costo&amp;Gasto</t>
  </si>
  <si>
    <t>GND_OTROS GASTOS_Pérdidas por siniestros_Costo&amp;Gasto</t>
  </si>
  <si>
    <t>GND_OTROS GASTOS_Otros_Costo&amp;Gasto</t>
  </si>
  <si>
    <t>GND_GASTOS FINANCIEROS Y OTROS  NO OPERACIONALES__Gasto</t>
  </si>
  <si>
    <t>GND_GASTOS FINANCIEROS Y OTROS  NO OPERACIONALES_GASTOS FINANCIEROS_Gasto</t>
  </si>
  <si>
    <t>GND_GASTOS FINANCIEROS_ARRENDAMIENTO MERCANTIL___Gasto</t>
  </si>
  <si>
    <t>GND_GASTOS FINANCIEROS_ARRENDAMIENTO MERCANTIL_RELACIONADAS__Gasto</t>
  </si>
  <si>
    <t>GND_GASTOS FINANCIEROS_ARRENDAMIENTO MERCANTIL_RELACIONADAS_Local_Gasto</t>
  </si>
  <si>
    <t>GND_GASTOS FINANCIEROS_ARRENDAMIENTO MERCANTIL_RELACIONADAS_Del exterior_Gasto</t>
  </si>
  <si>
    <t>GND_GASTOS FINANCIEROS_ARRENDAMIENTO MERCANTIL_NO RELACIONADAS__Gasto</t>
  </si>
  <si>
    <t>GND_GASTOS FINANCIEROS_ARRENDAMIENTO MERCANTIL_NO RELACIONADAS_Local_Gasto</t>
  </si>
  <si>
    <t>GND_GASTOS FINANCIEROS_ARRENDAMIENTO MERCANTIL_NO RELACIONADAS_Del exterior_Gasto</t>
  </si>
  <si>
    <t>GND_GASTOS FINANCIEROS_COSTOS DE TRANSACCIÓN (COMISIONES BANCARIAS, HONORARIOS, TASAS, ENTRE OTROS)___Gasto</t>
  </si>
  <si>
    <t>GND_GASTOS FINANCIEROS_COSTOS DE TRANSACCIÓN (COMISIONES BANCARIAS, HONORARIOS, TASAS, ENTRE OTROS)_RELACIONADAS__Gasto</t>
  </si>
  <si>
    <t>GND_GASTOS FINANCIEROS_COSTOS DE TRANSACCIÓN (COMISIONES BANCARIAS, HONORARIOS, TASAS, ENTRE OTROS)_RELACIONADAS_Local_Gasto</t>
  </si>
  <si>
    <t>GND_GASTOS FINANCIEROS_COSTOS DE TRANSACCIÓN (COMISIONES BANCARIAS, HONORARIOS, TASAS, ENTRE OTROS)_RELACIONADAS_Del exterior_Gasto</t>
  </si>
  <si>
    <t>GND_GASTOS FINANCIEROS_COSTOS DE TRANSACCIÓN (COMISIONES BANCARIAS, HONORARIOS, TASAS, ENTRE OTROS)_NO RELACIONADAS__Gasto</t>
  </si>
  <si>
    <t>GND_GASTOS FINANCIEROS_COSTOS DE TRANSACCIÓN (COMISIONES BANCARIAS, HONORARIOS, TASAS, ENTRE OTROS)_NO RELACIONADAS_Local_Gasto</t>
  </si>
  <si>
    <t>GND_GASTOS FINANCIEROS_COSTOS DE TRANSACCIÓN (COMISIONES BANCARIAS, HONORARIOS, TASAS, ENTRE OTROS)_NO RELACIONADAS_Del exterior_Gasto</t>
  </si>
  <si>
    <t>GND_GASTOS FINANCIEROS_INTERESES CON INSTITUCIONES FINANCIERAS___Gasto</t>
  </si>
  <si>
    <t>GND_GASTOS FINANCIEROS_INTERESES CON INSTITUCIONES FINANCIERAS_RELACIONADAS__Gasto</t>
  </si>
  <si>
    <t>GND_GASTOS FINANCIEROS_INTERESES CON INSTITUCIONES FINANCIERAS_RELACIONADAS_Local_Gasto</t>
  </si>
  <si>
    <t>GND_GASTOS FINANCIEROS_INTERESES CON INSTITUCIONES FINANCIERAS_RELACIONADAS_Del exterior_Gasto</t>
  </si>
  <si>
    <t>GND_GASTOS FINANCIEROS_INTERESES CON INSTITUCIONES FINANCIERAS_NO RELACIONADAS__Gasto</t>
  </si>
  <si>
    <t>GND_GASTOS FINANCIEROS_INTERESES CON INSTITUCIONES FINANCIERAS_NO RELACIONADAS_Local_Gasto</t>
  </si>
  <si>
    <t>GND_GASTOS FINANCIEROS_INTERESES CON INSTITUCIONES FINANCIERAS_NO RELACIONADAS_Del exterior_Gasto</t>
  </si>
  <si>
    <t>GND_GASTOS FINANCIEROS_INTERESES PAGADOS A TERCEROS___Gasto</t>
  </si>
  <si>
    <t>GND_GASTOS FINANCIEROS_INTERESES PAGADOS A TERCEROS_RELACIONADAS__Gasto</t>
  </si>
  <si>
    <t>GND_GASTOS FINANCIEROS_INTERESES PAGADOS A TERCEROS_RELACIONADAS_Local_Gasto</t>
  </si>
  <si>
    <t>GND_GASTOS FINANCIEROS_INTERESES PAGADOS A TERCEROS_RELACIONADAS_Del exterior_Gasto</t>
  </si>
  <si>
    <t>GND_GASTOS FINANCIEROS_INTERESES PAGADOS A TERCEROS_NO RELACIONADAS__Gasto</t>
  </si>
  <si>
    <t>GND_GASTOS FINANCIEROS_INTERESES PAGADOS A TERCEROS_NO RELACIONADAS_Local_Gasto</t>
  </si>
  <si>
    <t>GND_GASTOS FINANCIEROS_INTERESES PAGADOS A TERCEROS_NO RELACIONADAS_Del exterior_Gasto</t>
  </si>
  <si>
    <t>GND_GASTOS FINANCIEROS_Reversiones del descuento de provisiones que fueron reconocidas a su valor presente___Gasto</t>
  </si>
  <si>
    <t>GND_GASTOS FINANCIEROS_Intereses implícitos devengados por acuerdos que constituyen efectivamente una transacción financiera o pago diferido___Gasto</t>
  </si>
  <si>
    <t>GND_GASTOS FINANCIEROS_Otros___Gasto</t>
  </si>
  <si>
    <t>GND_GASTOS FINANCIEROS Y OTROS  NO OPERACIONALES_Pérdidas por medición de inversiones en asociadas y negocios conjuntos al método de la participación (valor patrimonial proporcional)_Gasto</t>
  </si>
  <si>
    <t>GND_GASTOS FINANCIEROS Y OTROS  NO OPERACIONALES_Otros_Gasto</t>
  </si>
  <si>
    <t>GND_Perdidas netas procedentes de actividades disconitnuadas__Gasto</t>
  </si>
  <si>
    <t>Descripción1</t>
  </si>
  <si>
    <t>Descripción2</t>
  </si>
  <si>
    <t>Descripción3</t>
  </si>
  <si>
    <t>Descripción4</t>
  </si>
  <si>
    <t>Descripción5</t>
  </si>
  <si>
    <t>Descripción6</t>
  </si>
  <si>
    <t>Descripción7</t>
  </si>
  <si>
    <t>Descripción_casillero</t>
  </si>
  <si>
    <t>Sin mapear</t>
  </si>
  <si>
    <t>Monto BC</t>
  </si>
  <si>
    <t>Monto IE/No objeto</t>
  </si>
  <si>
    <t>Monto GND</t>
  </si>
  <si>
    <t>Casilleros Informativos</t>
  </si>
  <si>
    <t>IE/No Objeto_VENTAS LOCALES DE BIENES_Gravadas con tarifa diferente de 0% de IVA__</t>
  </si>
  <si>
    <t>IE/No Objeto_VENTAS LOCALES DE BIENES_Gravadas con tarifa 0% de iva o exentas de IVA__</t>
  </si>
  <si>
    <t>IE/No Objeto_PRESTACIONES LOCALES DE SERVICIOS_Gravadas con tarifa diferente de 0% de IVA__</t>
  </si>
  <si>
    <t>IE/No Objeto_PRESTACIONES LOCALES DE SERVICIOS_Gravadas con tarifa 0% de iva o exentas de IVA__</t>
  </si>
  <si>
    <t>IE/No Objeto_EXPORTACIONES NETAS (6009 - 6012)_De bienes__</t>
  </si>
  <si>
    <t>IE/No Objeto_EXPORTACIONES NETAS (6009 - 6012)_De servicios__</t>
  </si>
  <si>
    <t>IE/No Objeto_Por prestación de servicios de construcción</t>
  </si>
  <si>
    <t>IE/No Objeto_Obtenidos bajo la modalidad de comisiones o similares (relaciones de agencia)</t>
  </si>
  <si>
    <t>IE/No Objeto_Obtenidos por arrendamientos operativos</t>
  </si>
  <si>
    <t>Cuentas y documentos por pagar corrientes</t>
  </si>
  <si>
    <t>Cuentas y Documentos por cobrar corrientes</t>
  </si>
  <si>
    <t>Cbligaciones con instituciones
financieras - corrientes</t>
  </si>
  <si>
    <t>Otros activos financieros corrientes</t>
  </si>
  <si>
    <t>Porción corriente de arrendamientos financieros por cobrar</t>
  </si>
  <si>
    <t>Porción corriente de obligaciones emitidas</t>
  </si>
  <si>
    <t xml:space="preserve">Importe bruto adeudado por los clientes por el trabajo ejecutado en contratos de construcción </t>
  </si>
  <si>
    <t>Otros pasivos financieros</t>
  </si>
  <si>
    <t>Activos por impuestos corrientes</t>
  </si>
  <si>
    <t>Porción corriente de arrendamientos financieros por pagar</t>
  </si>
  <si>
    <t>Inventarios</t>
  </si>
  <si>
    <t>Activos no corrientes mantenidos para la venta</t>
  </si>
  <si>
    <t>Impuesto a la renta por pagar del ejercicio</t>
  </si>
  <si>
    <t>Activos biológicos</t>
  </si>
  <si>
    <t>Pasivos corrientes por beneficios a los empleados</t>
  </si>
  <si>
    <t>Gastos pagados por anticipado (prepagados)</t>
  </si>
  <si>
    <t xml:space="preserve">Provisiones corrientes </t>
  </si>
  <si>
    <t>Otros activos corrientes</t>
  </si>
  <si>
    <t>Pasivos por ingresos diferidos</t>
  </si>
  <si>
    <t>Otros pasivos corrientes</t>
  </si>
  <si>
    <t>Cuentas y documentos por pagar no corrientes</t>
  </si>
  <si>
    <t>Crédito a mutuo no corriente</t>
  </si>
  <si>
    <t>Activos biológicos no corrientes</t>
  </si>
  <si>
    <t>Activos para exploración y evaluación de recursos minerales</t>
  </si>
  <si>
    <t>Otros pasivos financieros no corrientes</t>
  </si>
  <si>
    <t>Inversiones   no corrientes</t>
  </si>
  <si>
    <t>Cuentas y documentos por cobrar no corrientes</t>
  </si>
  <si>
    <t>Pasivo por impuesto a la renta diferido</t>
  </si>
  <si>
    <t xml:space="preserve">Otros activos financieros no corrientes </t>
  </si>
  <si>
    <t>Pasivos no corrientes por beneficios a los empleados</t>
  </si>
  <si>
    <t>Porción no corriente de arrendamientos financieros por cobrar</t>
  </si>
  <si>
    <t>Provisiones no corrientes</t>
  </si>
  <si>
    <t>Activos por impuestos diferidos</t>
  </si>
  <si>
    <t>Pasivos por ingresos diferidos no corrientes</t>
  </si>
  <si>
    <t>Otros activos no corrientes</t>
  </si>
  <si>
    <t xml:space="preserve">Otros pasivos no corrientes </t>
  </si>
  <si>
    <t>Capital suscrito y/o asignado</t>
  </si>
  <si>
    <t>(-) Cap.susc. no pagado, acciones  en tesorería</t>
  </si>
  <si>
    <t>Aportes  para futura capitalización</t>
  </si>
  <si>
    <t>Reservas</t>
  </si>
  <si>
    <t>Resultados acumulados</t>
  </si>
  <si>
    <t>Otros resultados integrales</t>
  </si>
  <si>
    <t>Ingresos de actividades ordinarias</t>
  </si>
  <si>
    <t>Otros Ingresos</t>
  </si>
  <si>
    <t>Gastos financieros y otros no operacionales</t>
  </si>
  <si>
    <t>Pérdidas netas procedentes de actividades discontinuadas</t>
  </si>
  <si>
    <t>Impuesto a la renta Corriente</t>
  </si>
  <si>
    <t>Impuesto a la renta diferido</t>
  </si>
  <si>
    <t>Débito</t>
  </si>
  <si>
    <t>Crédito</t>
  </si>
  <si>
    <t>COSTOS</t>
  </si>
  <si>
    <t>GASTOS</t>
  </si>
  <si>
    <t>Deducciones adicionales</t>
  </si>
  <si>
    <t>Impuestos diferidos</t>
  </si>
  <si>
    <t>Año 2020</t>
  </si>
  <si>
    <t>Ingresos financieros y otros no operacionales</t>
  </si>
  <si>
    <t>1   Obligación por beneficios definidos (OBD) al inicio del año</t>
  </si>
  <si>
    <t>2   Costo laboral por servicios actuales</t>
  </si>
  <si>
    <t>3   Interés neto (costo financiero)</t>
  </si>
  <si>
    <t>4   Contribuciones de los participes al plan</t>
  </si>
  <si>
    <t xml:space="preserve">5   Pérdida (ganancia) actuarial reconocida por cambios en supuestos financieros </t>
  </si>
  <si>
    <t xml:space="preserve">6   Pérdida (ganancia) actuarial reconocida por ajustes y experiencia </t>
  </si>
  <si>
    <t>7   (Beneficios pagados)</t>
  </si>
  <si>
    <t>8   Costo de servicios pasados</t>
  </si>
  <si>
    <t>9   Transferencia de empleados desde/(hacia) otras empresas del Grupo</t>
  </si>
  <si>
    <t xml:space="preserve">10   Efecto de reducciones y liquidaciones anticipadas </t>
  </si>
  <si>
    <t>11   Obligación por Beneficios Definidos a diciembre 2019</t>
  </si>
  <si>
    <t>JP</t>
  </si>
  <si>
    <t>total</t>
  </si>
  <si>
    <t>Año 2019</t>
  </si>
  <si>
    <t>ESF</t>
  </si>
  <si>
    <t>ERI</t>
  </si>
  <si>
    <t>ORI</t>
  </si>
  <si>
    <t>ID</t>
  </si>
  <si>
    <t>REVERSIÓN</t>
  </si>
  <si>
    <t>DT Año 2020</t>
  </si>
  <si>
    <t>GENERACIÓN</t>
  </si>
  <si>
    <t>Afectación</t>
  </si>
  <si>
    <t>Es diferente el gasto del año y la DT porque los 1ros incluyen el cálculo de personal que salió</t>
  </si>
  <si>
    <t>Mapeo EF</t>
  </si>
  <si>
    <t>Costo de Ventas_Costo</t>
  </si>
  <si>
    <t>Gastos por beneficios a los empleados_Costo</t>
  </si>
  <si>
    <t>Gastos por depreciaciones_Costo</t>
  </si>
  <si>
    <t>Gastos por amortizaciones_Costo</t>
  </si>
  <si>
    <t>Pérdidas netas por deterioro en el valor_Costo</t>
  </si>
  <si>
    <t>Gastos de provisiones_Costo</t>
  </si>
  <si>
    <t>Pérdida en venta de activos_Costo</t>
  </si>
  <si>
    <t>Otros gastos_Costo</t>
  </si>
  <si>
    <t>Costo de Ventas_Gasto</t>
  </si>
  <si>
    <t>Gastos por beneficios a los empleados_Gasto</t>
  </si>
  <si>
    <t>Gastos por depreciaciones_Gasto</t>
  </si>
  <si>
    <t>Gastos por amortizaciones_Gasto</t>
  </si>
  <si>
    <t>Pérdidas netas por deterioro en el valor_Gasto</t>
  </si>
  <si>
    <t>Gastos de provisiones_Gasto</t>
  </si>
  <si>
    <t>Pérdida en venta de activos_Gasto</t>
  </si>
  <si>
    <t>Otros gastos_Gasto</t>
  </si>
  <si>
    <t>Formulario Renta Sociedades</t>
  </si>
  <si>
    <t>Detalle de casilleros F101</t>
  </si>
  <si>
    <t>Movimiento del pasivo según estudio actuarial</t>
  </si>
  <si>
    <t xml:space="preserve">Jubilación </t>
  </si>
  <si>
    <t>Saldo al 31 de diciembre de 2019</t>
  </si>
  <si>
    <t>Costo Laboral por Servicios Actuales (RESULTADOS)</t>
  </si>
  <si>
    <t xml:space="preserve">          Activos</t>
  </si>
  <si>
    <t xml:space="preserve">          Cesantes</t>
  </si>
  <si>
    <t>Interes Neto (Costo Financiero) (RESULTADOS)</t>
  </si>
  <si>
    <t>Costo de Servicios Pasados</t>
  </si>
  <si>
    <t>Pérdida (Ganancia) Actuarial</t>
  </si>
  <si>
    <t xml:space="preserve">         Contabilizado en Resultados de empleados Activos</t>
  </si>
  <si>
    <t xml:space="preserve">         Contabilizado en Resultados de empleados Cesantes</t>
  </si>
  <si>
    <t xml:space="preserve">         Contabilizado en ORI</t>
  </si>
  <si>
    <t>(-) Beneficios Pagados</t>
  </si>
  <si>
    <t xml:space="preserve">        Deducible DP</t>
  </si>
  <si>
    <t xml:space="preserve">        No deducible DP</t>
  </si>
  <si>
    <t xml:space="preserve">        No deducible DT</t>
  </si>
  <si>
    <t xml:space="preserve">        ORI</t>
  </si>
  <si>
    <t>Tranferencias de empleados desde/(hacia) otras empresas de grupo</t>
  </si>
  <si>
    <t>(-)Efecto de reducciones y liquidaciones anticipadas</t>
  </si>
  <si>
    <t>Saldo al 31 de diciembre de 2020</t>
  </si>
  <si>
    <t>Saldos Contables</t>
  </si>
  <si>
    <t>Cuenta Contable</t>
  </si>
  <si>
    <t>Diferencia</t>
  </si>
  <si>
    <t xml:space="preserve">Saldo de Pasivo </t>
  </si>
  <si>
    <t>535 + 573 + 574</t>
  </si>
  <si>
    <r>
      <t xml:space="preserve">Valor registrado en resultados
</t>
    </r>
    <r>
      <rPr>
        <b/>
        <sz val="10"/>
        <rFont val="Calibri"/>
        <family val="2"/>
        <scheme val="minor"/>
      </rPr>
      <t>Gasto</t>
    </r>
  </si>
  <si>
    <t>7055 + 7056 + 7058 + 7059</t>
  </si>
  <si>
    <r>
      <t xml:space="preserve">Valor registrado en resultados
</t>
    </r>
    <r>
      <rPr>
        <b/>
        <sz val="10"/>
        <rFont val="Calibri"/>
        <family val="2"/>
        <scheme val="minor"/>
      </rPr>
      <t>Ingreso</t>
    </r>
  </si>
  <si>
    <t xml:space="preserve">Diferencia </t>
  </si>
  <si>
    <t>Jubilación</t>
  </si>
  <si>
    <t xml:space="preserve">         Cesantes</t>
  </si>
  <si>
    <t xml:space="preserve">Contribuciones de los participes al plan </t>
  </si>
  <si>
    <t xml:space="preserve">        No deducible DT (Por Provisiones desde 2018)</t>
  </si>
  <si>
    <t>Análisis de Provisiones de jubilación patronal y desahucio</t>
  </si>
  <si>
    <t>N. EMPLEADOS</t>
  </si>
  <si>
    <t>LIMITES</t>
  </si>
  <si>
    <t>Desde</t>
  </si>
  <si>
    <t>Hasta</t>
  </si>
  <si>
    <t>MICROEMPRESA</t>
  </si>
  <si>
    <t>PEQUEÑA EMPRESA</t>
  </si>
  <si>
    <t>MEDIANA EMPRESA</t>
  </si>
  <si>
    <t xml:space="preserve">1.01.01.01.01            </t>
  </si>
  <si>
    <t xml:space="preserve">1.01.01.01.02            </t>
  </si>
  <si>
    <t xml:space="preserve">1.01.01.01.08            </t>
  </si>
  <si>
    <t xml:space="preserve">1.01.01.02.02            </t>
  </si>
  <si>
    <t xml:space="preserve">1.01.01.02.03            </t>
  </si>
  <si>
    <t xml:space="preserve">1.01.01.02.04            </t>
  </si>
  <si>
    <t xml:space="preserve">1.01.01.02.06            </t>
  </si>
  <si>
    <t xml:space="preserve">1.01.02.05.01            </t>
  </si>
  <si>
    <t xml:space="preserve">1.01.02.05.99            </t>
  </si>
  <si>
    <t xml:space="preserve">1.01.02.07.01            </t>
  </si>
  <si>
    <t xml:space="preserve">1.01.02.08.01            </t>
  </si>
  <si>
    <t xml:space="preserve">1.01.02.08.02            </t>
  </si>
  <si>
    <t xml:space="preserve">1.01.04.03               </t>
  </si>
  <si>
    <t xml:space="preserve">1.01.05.02               </t>
  </si>
  <si>
    <t xml:space="preserve">(IR) CRÉDITO TRIBUTARIO A FAVOR DE LA EMPRESA ( I. R.)      </t>
  </si>
  <si>
    <t xml:space="preserve">1.02.01.12.01            </t>
  </si>
  <si>
    <t xml:space="preserve">1.02.01.12.02            </t>
  </si>
  <si>
    <t xml:space="preserve">1.02.01.12.03            </t>
  </si>
  <si>
    <t xml:space="preserve">1.02.01.12.04            </t>
  </si>
  <si>
    <t xml:space="preserve">1.02.01.12.05            </t>
  </si>
  <si>
    <t xml:space="preserve">1.02.01.12.06            </t>
  </si>
  <si>
    <t xml:space="preserve">1.02.01.12.09            </t>
  </si>
  <si>
    <t xml:space="preserve">1.02.01.13.01            </t>
  </si>
  <si>
    <t xml:space="preserve">1.02.01.13.02            </t>
  </si>
  <si>
    <t xml:space="preserve">1.02.01.13.03            </t>
  </si>
  <si>
    <t xml:space="preserve">2.01.03.01               </t>
  </si>
  <si>
    <t xml:space="preserve">2.01.03.99               </t>
  </si>
  <si>
    <t xml:space="preserve">2.01.04.04               </t>
  </si>
  <si>
    <t xml:space="preserve">2.01.04.05               </t>
  </si>
  <si>
    <t xml:space="preserve">2.01.04.06               </t>
  </si>
  <si>
    <t xml:space="preserve">2.01.04.07               </t>
  </si>
  <si>
    <t xml:space="preserve">2.01.04.08               </t>
  </si>
  <si>
    <t xml:space="preserve">2.01.07.03.01            </t>
  </si>
  <si>
    <t xml:space="preserve">2.01.07.03.02            </t>
  </si>
  <si>
    <t xml:space="preserve">2.01.07.03.03            </t>
  </si>
  <si>
    <t xml:space="preserve">2.01.07.03.04            </t>
  </si>
  <si>
    <t xml:space="preserve">2.01.07.04.02            </t>
  </si>
  <si>
    <t xml:space="preserve">2.01.07.04.03            </t>
  </si>
  <si>
    <t xml:space="preserve">2.01.13.01               </t>
  </si>
  <si>
    <t xml:space="preserve">2.02.01.03               </t>
  </si>
  <si>
    <t xml:space="preserve">2.02.01.04               </t>
  </si>
  <si>
    <t xml:space="preserve">2.02.02.07               </t>
  </si>
  <si>
    <t xml:space="preserve">2.02.04.02               </t>
  </si>
  <si>
    <t xml:space="preserve">2.02.04.03               </t>
  </si>
  <si>
    <t xml:space="preserve">2.02.07.01               </t>
  </si>
  <si>
    <t xml:space="preserve">2.02.07.03               </t>
  </si>
  <si>
    <t xml:space="preserve">DESAHUCIO                                                   </t>
  </si>
  <si>
    <t xml:space="preserve">2.02.09.02               </t>
  </si>
  <si>
    <t xml:space="preserve">3.01.01.03               </t>
  </si>
  <si>
    <t xml:space="preserve">3.01.01.06               </t>
  </si>
  <si>
    <t xml:space="preserve">3.04.01                  </t>
  </si>
  <si>
    <t xml:space="preserve">3.04.02                  </t>
  </si>
  <si>
    <t xml:space="preserve">3.04.03                  </t>
  </si>
  <si>
    <t xml:space="preserve">3.04.05                  </t>
  </si>
  <si>
    <t xml:space="preserve">3.06.03                  </t>
  </si>
  <si>
    <t xml:space="preserve">3.07.05                  </t>
  </si>
  <si>
    <t xml:space="preserve">3.07.06                  </t>
  </si>
  <si>
    <t xml:space="preserve">3.07.08                  </t>
  </si>
  <si>
    <t xml:space="preserve">3.07.09                  </t>
  </si>
  <si>
    <t xml:space="preserve">3.07.10                  </t>
  </si>
  <si>
    <t xml:space="preserve">4.1.02.01.01             </t>
  </si>
  <si>
    <t xml:space="preserve">4.1.02.01.02             </t>
  </si>
  <si>
    <t xml:space="preserve">4.1.02.01.03             </t>
  </si>
  <si>
    <t xml:space="preserve">4.1.02.02.01             </t>
  </si>
  <si>
    <t xml:space="preserve">4.1.02.03.01             </t>
  </si>
  <si>
    <t xml:space="preserve">4.1.02.03.05             </t>
  </si>
  <si>
    <t xml:space="preserve">4.1.02.03.10             </t>
  </si>
  <si>
    <t xml:space="preserve">4.2.01.01                </t>
  </si>
  <si>
    <t xml:space="preserve">4.2.01.02                </t>
  </si>
  <si>
    <t xml:space="preserve">4.3.05.02                </t>
  </si>
  <si>
    <t xml:space="preserve">5.1.1.01                 </t>
  </si>
  <si>
    <t xml:space="preserve">TRANSPORTE ESCOLAR                                          </t>
  </si>
  <si>
    <t xml:space="preserve">5.2.02.01                </t>
  </si>
  <si>
    <t xml:space="preserve">SUELDOS, SALARIOS Y DEMÁS REMUNERACIONES                    </t>
  </si>
  <si>
    <t xml:space="preserve">5.2.02.02                </t>
  </si>
  <si>
    <t xml:space="preserve">APORTES A LA SEGURIDAD SOCIAL (incluido fondo de reserva)   </t>
  </si>
  <si>
    <t xml:space="preserve">5.2.02.03.01             </t>
  </si>
  <si>
    <t xml:space="preserve">5.2.02.03.02             </t>
  </si>
  <si>
    <t xml:space="preserve">5.2.02.03.03             </t>
  </si>
  <si>
    <t xml:space="preserve">5.2.02.03.04             </t>
  </si>
  <si>
    <t xml:space="preserve">5.2.02.03.05             </t>
  </si>
  <si>
    <t xml:space="preserve">5.2.02.03.06             </t>
  </si>
  <si>
    <t xml:space="preserve">5.2.02.03.09             </t>
  </si>
  <si>
    <t xml:space="preserve">5.2.02.03.10             </t>
  </si>
  <si>
    <t xml:space="preserve">INDEMNIZACIONES                                             </t>
  </si>
  <si>
    <t xml:space="preserve">5.2.02.03.11             </t>
  </si>
  <si>
    <t xml:space="preserve">5.2.02.03.12             </t>
  </si>
  <si>
    <t xml:space="preserve">5.2.02.05                </t>
  </si>
  <si>
    <t xml:space="preserve">5.2.02.06                </t>
  </si>
  <si>
    <t xml:space="preserve">5.2.02.08.01             </t>
  </si>
  <si>
    <t xml:space="preserve">5.2.02.08.03             </t>
  </si>
  <si>
    <t xml:space="preserve">5.2.02.08.05             </t>
  </si>
  <si>
    <t xml:space="preserve">5.2.02.08.07             </t>
  </si>
  <si>
    <t xml:space="preserve">5.2.02.08.08             </t>
  </si>
  <si>
    <t xml:space="preserve">5.2.02.09                </t>
  </si>
  <si>
    <t xml:space="preserve">5.2.02.11                </t>
  </si>
  <si>
    <t xml:space="preserve">5.2.02.13                </t>
  </si>
  <si>
    <t xml:space="preserve">PUBLICIDAD                                                  </t>
  </si>
  <si>
    <t xml:space="preserve">5.2.02.14                </t>
  </si>
  <si>
    <t xml:space="preserve">SEGUROS Y REASEGUROS (primas y cesiones)                    </t>
  </si>
  <si>
    <t xml:space="preserve">5.2.02.15                </t>
  </si>
  <si>
    <t xml:space="preserve">MOVILIZACION                                                </t>
  </si>
  <si>
    <t xml:space="preserve">5.2.02.16.02             </t>
  </si>
  <si>
    <t xml:space="preserve">5.2.02.16.07             </t>
  </si>
  <si>
    <t xml:space="preserve">5.2.02.16.14             </t>
  </si>
  <si>
    <t xml:space="preserve">5.2.02.16.15             </t>
  </si>
  <si>
    <t xml:space="preserve">5.2.02.16.16             </t>
  </si>
  <si>
    <t xml:space="preserve">5.2.02.16.99             </t>
  </si>
  <si>
    <t xml:space="preserve">5.2.02.17.01             </t>
  </si>
  <si>
    <t xml:space="preserve">5.2.02.17.02             </t>
  </si>
  <si>
    <t xml:space="preserve">5.2.02.17.03             </t>
  </si>
  <si>
    <t xml:space="preserve">5.2.02.17.04             </t>
  </si>
  <si>
    <t xml:space="preserve">5.2.02.17.06             </t>
  </si>
  <si>
    <t xml:space="preserve">5.2.02.17.07             </t>
  </si>
  <si>
    <t xml:space="preserve">5.2.02.17.08             </t>
  </si>
  <si>
    <t xml:space="preserve">5.2.02.17.09             </t>
  </si>
  <si>
    <t xml:space="preserve">SUMINISTROS DE OFICINA                                      </t>
  </si>
  <si>
    <t xml:space="preserve">5.2.02.17.10             </t>
  </si>
  <si>
    <t xml:space="preserve">5.2.02.17.11             </t>
  </si>
  <si>
    <t xml:space="preserve">5.2.02.17.12             </t>
  </si>
  <si>
    <t xml:space="preserve">GASTOS VIAJE ND                                             </t>
  </si>
  <si>
    <t xml:space="preserve">5.2.02.17.13             </t>
  </si>
  <si>
    <t xml:space="preserve">CUOTAS SUSCRIPCIONES Y AFILIACIONES S                       </t>
  </si>
  <si>
    <t xml:space="preserve">5.2.02.18                </t>
  </si>
  <si>
    <t xml:space="preserve">AGUA,ENERGIA,LUZ, Y TELECOMUNICACIONES                      </t>
  </si>
  <si>
    <t xml:space="preserve">5.2.02.19                </t>
  </si>
  <si>
    <t xml:space="preserve">GASTOS LEGALES                                              </t>
  </si>
  <si>
    <t xml:space="preserve">5.2.02.20.01             </t>
  </si>
  <si>
    <t xml:space="preserve">5.2.02.20.02             </t>
  </si>
  <si>
    <t xml:space="preserve">SUMINISTROS LIMPIEZA                                        </t>
  </si>
  <si>
    <t xml:space="preserve">5.2.02.20.03             </t>
  </si>
  <si>
    <t xml:space="preserve">IMPRESION ANILLADO Y COPIAS                                 </t>
  </si>
  <si>
    <t xml:space="preserve">5.2.02.20.06             </t>
  </si>
  <si>
    <t xml:space="preserve">BOTELLONES DE AGUA                                          </t>
  </si>
  <si>
    <t xml:space="preserve">5.2.02.20.07             </t>
  </si>
  <si>
    <t xml:space="preserve">MEDICAMENTOS                                                </t>
  </si>
  <si>
    <t xml:space="preserve">5.2.02.21                </t>
  </si>
  <si>
    <t xml:space="preserve">IMPUESTOS,CONTRIBUCIONES Y OTROS A                          </t>
  </si>
  <si>
    <t xml:space="preserve">5.2.02.23.02             </t>
  </si>
  <si>
    <t xml:space="preserve">5.2.02.23.05             </t>
  </si>
  <si>
    <t xml:space="preserve">5.2.02.23.06             </t>
  </si>
  <si>
    <t xml:space="preserve">5.2.02.23.08             </t>
  </si>
  <si>
    <t xml:space="preserve">5.2.02.23.09             </t>
  </si>
  <si>
    <t xml:space="preserve">5.2.02.23.11             </t>
  </si>
  <si>
    <t xml:space="preserve">5.2.02.27.01             </t>
  </si>
  <si>
    <t xml:space="preserve">IVA AL GASTO                                                </t>
  </si>
  <si>
    <t xml:space="preserve">5.2.02.27.02             </t>
  </si>
  <si>
    <t xml:space="preserve">DIFERENCIA FACTURAS                                         </t>
  </si>
  <si>
    <t xml:space="preserve">5.2.02.27.03             </t>
  </si>
  <si>
    <t xml:space="preserve">MATRICULA, PLACAS Y OTROS (VEHICULOS)                       </t>
  </si>
  <si>
    <t xml:space="preserve">5.2.02.28.03             </t>
  </si>
  <si>
    <t xml:space="preserve">5.2.02.28.05             </t>
  </si>
  <si>
    <t xml:space="preserve">5.2.02.28.07             </t>
  </si>
  <si>
    <t xml:space="preserve">5.2.02.28.12             </t>
  </si>
  <si>
    <t xml:space="preserve">5.2.02.28.13             </t>
  </si>
  <si>
    <t xml:space="preserve">5.2.03.06                </t>
  </si>
  <si>
    <t xml:space="preserve">5.2.03.07                </t>
  </si>
  <si>
    <t xml:space="preserve">5.2.03.08                </t>
  </si>
  <si>
    <t xml:space="preserve">5.2.03.09                </t>
  </si>
  <si>
    <t xml:space="preserve">5.3.1.01                 </t>
  </si>
  <si>
    <t xml:space="preserve">PARTICI.TRABAJADORES                                        </t>
  </si>
  <si>
    <t xml:space="preserve">5.3.1.02                 </t>
  </si>
  <si>
    <t xml:space="preserve">IMPUESTO A LA RENTA                                         </t>
  </si>
  <si>
    <t xml:space="preserve">PENSIONES                                                                                           </t>
  </si>
  <si>
    <t xml:space="preserve">MATRICULAS                                                                                          </t>
  </si>
  <si>
    <t xml:space="preserve">TRANSPORTE                                                                                          </t>
  </si>
  <si>
    <t xml:space="preserve">CERTIF.CARNET                                                                                       </t>
  </si>
  <si>
    <t xml:space="preserve">DESCUENTO EN VENTAS                                                                                 </t>
  </si>
  <si>
    <t xml:space="preserve">INTERESES GANADOS                                                                                   </t>
  </si>
  <si>
    <t xml:space="preserve">AUSPICIOS                                                                                           </t>
  </si>
  <si>
    <t xml:space="preserve">LICENCIA IDUKAY                                                                                     </t>
  </si>
  <si>
    <t xml:space="preserve">OTRAS RENTAS                                                                                        </t>
  </si>
  <si>
    <t xml:space="preserve">DECIMO TERCER SUELDO                                                                                </t>
  </si>
  <si>
    <t xml:space="preserve">DECIMO CUARTO SUELDO                                                                                </t>
  </si>
  <si>
    <t xml:space="preserve">FONDO DE RESERVA                                                                                    </t>
  </si>
  <si>
    <t xml:space="preserve">VACACIONES                                                                                          </t>
  </si>
  <si>
    <t xml:space="preserve">UNIFORMES                                                                                           </t>
  </si>
  <si>
    <t xml:space="preserve">ATENCION AL PERSONAL                                                                                </t>
  </si>
  <si>
    <t xml:space="preserve">BONOS                                                                                               </t>
  </si>
  <si>
    <t xml:space="preserve">CAPACITACION                                                                                        </t>
  </si>
  <si>
    <t xml:space="preserve">DESAHUCIO                                                                                           </t>
  </si>
  <si>
    <t xml:space="preserve">HONORARIOS, COMISIONES Y DIETAS A PERSONAS NATURALES                                                </t>
  </si>
  <si>
    <t xml:space="preserve">MANTENIMIENTO Y REPARACIONES                                                                        </t>
  </si>
  <si>
    <t xml:space="preserve">MANTENIMIENTO EQUIPOS                                                                               </t>
  </si>
  <si>
    <t xml:space="preserve">MANTENIMIENTO JARDINES                                                                              </t>
  </si>
  <si>
    <t xml:space="preserve">EQUIPOS MENORES                                                                                     </t>
  </si>
  <si>
    <t xml:space="preserve">LICENCIAS YSOFPWARE                                                                                 </t>
  </si>
  <si>
    <t xml:space="preserve">ARRENDAMIENTO OPERATIVO                                                                             </t>
  </si>
  <si>
    <t xml:space="preserve">GUARDIANIAS, MONITOREO ALARMAS                                                                      </t>
  </si>
  <si>
    <t xml:space="preserve">SEGUROS Y REASEGUROS (primas y cesiones)                                                            </t>
  </si>
  <si>
    <t xml:space="preserve">GRADUACION                                                                                          </t>
  </si>
  <si>
    <t xml:space="preserve">DEPORTES                                                                                            </t>
  </si>
  <si>
    <t xml:space="preserve">EVENTOS                                                                                             </t>
  </si>
  <si>
    <t xml:space="preserve">GASTRONOMIA                                                                                         </t>
  </si>
  <si>
    <t xml:space="preserve">EXTRACURRICULARES                                                                                   </t>
  </si>
  <si>
    <t xml:space="preserve">OTROS                                                                                               </t>
  </si>
  <si>
    <t xml:space="preserve">GASTOS DE VIAJE                                                                                     </t>
  </si>
  <si>
    <t xml:space="preserve">ALIMENTACION                                                                                        </t>
  </si>
  <si>
    <t xml:space="preserve">SEGURO MEDICO - MEDICAMENTOS                                                                        </t>
  </si>
  <si>
    <t xml:space="preserve">MANTENIMIENTO                                                                                       </t>
  </si>
  <si>
    <t xml:space="preserve">GASTO CLIENTES                                                                                      </t>
  </si>
  <si>
    <t xml:space="preserve">SUMINISTROS DE OFICINA                                                                              </t>
  </si>
  <si>
    <t xml:space="preserve">HONORARIOS                                                                                          </t>
  </si>
  <si>
    <t xml:space="preserve">SERVICIOS PRESTADOS TERCEROS                                                                        </t>
  </si>
  <si>
    <t xml:space="preserve">GASTO DEPRECIACION CANCHA SINTETICA                                                                 </t>
  </si>
  <si>
    <t xml:space="preserve">GASTO DEPRECIACION MUEBLES Y ENSERES                                                                </t>
  </si>
  <si>
    <t xml:space="preserve">GASTOS DEPRECIACION MAQUINARIAS Y EQUIPOS                                                           </t>
  </si>
  <si>
    <t xml:space="preserve">GASTOS DEPRECIACION EQUIP.COMPUTACION                                                               </t>
  </si>
  <si>
    <t xml:space="preserve">GASTOS DEPRECIACION VEHICULOS                                                                       </t>
  </si>
  <si>
    <t xml:space="preserve">GASTOS DEPRECIACION EQUIP.ELECTRONICO                                                               </t>
  </si>
  <si>
    <t xml:space="preserve">GASTOS RETENCIONES                                                                                  </t>
  </si>
  <si>
    <t xml:space="preserve">GASTOS SIN SUSTENTO COMPROBANTES NO DEDUCIBLES                                                      </t>
  </si>
  <si>
    <t xml:space="preserve">GND PROV JUBILACION PATRONAL                                                                        </t>
  </si>
  <si>
    <t xml:space="preserve">GND PROV.BONIFICACION DESAHUCIO                                                                     </t>
  </si>
  <si>
    <t xml:space="preserve">GND CONTRIBUCION UNICA Y TEMPORAL                                                                   </t>
  </si>
  <si>
    <t xml:space="preserve">GASTOS BANCARIOS                                                                                    </t>
  </si>
  <si>
    <t xml:space="preserve">GASTO COMISION TARJETA                                                                              </t>
  </si>
  <si>
    <t xml:space="preserve">GASTOS ISD                                                                                          </t>
  </si>
  <si>
    <t xml:space="preserve">INTERESES BANCARIOS                                                                                 </t>
  </si>
  <si>
    <t xml:space="preserve">CAJA GENERAL                                                                                        </t>
  </si>
  <si>
    <t xml:space="preserve">CAJA CHICA                                                                                          </t>
  </si>
  <si>
    <t xml:space="preserve">CAJA-TARJETA DIFERIDOS #2                                                                           </t>
  </si>
  <si>
    <t xml:space="preserve">PRODUBANCO CTA.CTE.01-04918600-3                                                                    </t>
  </si>
  <si>
    <t xml:space="preserve">BANCO BOLIVARIANO CTA CTE 5025022482                                                                </t>
  </si>
  <si>
    <t xml:space="preserve">BOLIVARIANO INTERNACIONAL PANAMA - 01302005222                                                      </t>
  </si>
  <si>
    <t xml:space="preserve">GUAYAQUIL CTA CTE 49802005                                                                          </t>
  </si>
  <si>
    <t xml:space="preserve">CLIENTES                                                                                            </t>
  </si>
  <si>
    <t xml:space="preserve">DETERIORO CUENTAS PO COBRAR                                                                         </t>
  </si>
  <si>
    <t xml:space="preserve">CHEQUES PROTESTADOS                                                                                 </t>
  </si>
  <si>
    <t xml:space="preserve">OTRAS CUENTAS POR COBRAR A TERCEROS                                                                 </t>
  </si>
  <si>
    <t xml:space="preserve">ANTICIPO EMPLEADOS                                                                                  </t>
  </si>
  <si>
    <t xml:space="preserve">ANTICIPOS A PROVEEDORES                                                                             </t>
  </si>
  <si>
    <t xml:space="preserve">DEPOSITO GARANTIA                                                                                   </t>
  </si>
  <si>
    <t xml:space="preserve">TERRENOS                                                                                            </t>
  </si>
  <si>
    <t xml:space="preserve">CANCHA SINTETICA                                                                                    </t>
  </si>
  <si>
    <t xml:space="preserve">EDIFICIOS                                                                                           </t>
  </si>
  <si>
    <t xml:space="preserve">MUEBLES Y ENSERES                                                                                   </t>
  </si>
  <si>
    <t xml:space="preserve">MAQUINARIA Y EQUIPO                                                                                 </t>
  </si>
  <si>
    <t xml:space="preserve">EQUIPO DE COMPUTACIÓN                                                                               </t>
  </si>
  <si>
    <t xml:space="preserve">VEHÍCULOS, EQUIPOS DE TRANSPORTE Y EQUIPO CAMINERO MÓVIL                                            </t>
  </si>
  <si>
    <t xml:space="preserve">COSTO EQUIPOS                                                                                       </t>
  </si>
  <si>
    <t xml:space="preserve">DEPRECIACION EDIFICIOS                                                                              </t>
  </si>
  <si>
    <t xml:space="preserve">DEPRECIACION MUEBLES Y ENSERES                                                                      </t>
  </si>
  <si>
    <t xml:space="preserve">DEPRECIACION MAQUINARIA Y EQUIPOS                                                                   </t>
  </si>
  <si>
    <t xml:space="preserve">DEPRECIACION  EQUIPOS DE COMPUTACION                                                                </t>
  </si>
  <si>
    <t xml:space="preserve">DEPRECIACION  CANCHA SINTETICA                                                                      </t>
  </si>
  <si>
    <t xml:space="preserve">DEPRECIACION EQUIPOS                                                                                </t>
  </si>
  <si>
    <t xml:space="preserve">DEPRECIACION VEHICULOS                                                                              </t>
  </si>
  <si>
    <t xml:space="preserve">TERRENOS REVALORIZACION                                                                             </t>
  </si>
  <si>
    <t xml:space="preserve">EDIFICIOS REVALORIZACION                                                                            </t>
  </si>
  <si>
    <t xml:space="preserve">DEPRECIACION EDIFICIOS REVALORIZACION                                                               </t>
  </si>
  <si>
    <t xml:space="preserve">LOCALES                                                                                             </t>
  </si>
  <si>
    <t xml:space="preserve">DETERIORO CUENTAS POR PAGAR                                                                         </t>
  </si>
  <si>
    <t xml:space="preserve">CUENTAS POR PAGAR DINERS                                                                            </t>
  </si>
  <si>
    <t xml:space="preserve">TARJETA VISA TITANIUM                                                                               </t>
  </si>
  <si>
    <t xml:space="preserve">VISA BOLIVARIANO                                                                                    </t>
  </si>
  <si>
    <t xml:space="preserve">VISA PRODUBANCO                                                                                     </t>
  </si>
  <si>
    <t xml:space="preserve">VISA GUAYAQUIL                                                                                      </t>
  </si>
  <si>
    <t xml:space="preserve">APORTES AL IESS                                                                                     </t>
  </si>
  <si>
    <t xml:space="preserve">PRESTAMO QUIROGRAFARIO                                                                              </t>
  </si>
  <si>
    <t xml:space="preserve">PRESTAMO HIPOTECARIO                                                                                </t>
  </si>
  <si>
    <t xml:space="preserve">FONDO RESERVA                                                                                       </t>
  </si>
  <si>
    <t xml:space="preserve">DECIMOS TERCER SUELDO                                                                               </t>
  </si>
  <si>
    <t xml:space="preserve">DECIMOS CUARTO SUELDO                                                                               </t>
  </si>
  <si>
    <t xml:space="preserve">DEPOSITO POR IDENTIFICAR                                                                            </t>
  </si>
  <si>
    <t xml:space="preserve">JARAMILLO ARTURO                                                                                    </t>
  </si>
  <si>
    <t xml:space="preserve">JARAMILLO MARITZA                                                                                   </t>
  </si>
  <si>
    <t xml:space="preserve">ANTICIPO CLIENTES                                                                                   </t>
  </si>
  <si>
    <t xml:space="preserve">JUBILACION PATRONAL                                                                                 </t>
  </si>
  <si>
    <t xml:space="preserve">PASIVOS POR IMPUESTOS DIFERIDOS                                                                     </t>
  </si>
  <si>
    <t xml:space="preserve">JARAMILLO ARMIJOS ARTURO JAVIER                                                                     </t>
  </si>
  <si>
    <t xml:space="preserve">JARAMILLO ARMIJOS MARITZA                                                                           </t>
  </si>
  <si>
    <t xml:space="preserve">RESERVA LEGAL                                                                                       </t>
  </si>
  <si>
    <t xml:space="preserve">RESERVAS FACULTATIVA Y ESTATUTARIA                                                                  </t>
  </si>
  <si>
    <t xml:space="preserve">RESERVA DE CAPITAL                                                                                  </t>
  </si>
  <si>
    <t xml:space="preserve">RESERVA POR REVALORIZACION DE ACTIVOS FIIJOS                                                        </t>
  </si>
  <si>
    <t xml:space="preserve">RESULTADOS ACUMULADOS PROVENIENTES DE LA ADOPCION POR PRIME                                         </t>
  </si>
  <si>
    <t xml:space="preserve">RESULTADO DEL EJERCICIO 2015                                                                        </t>
  </si>
  <si>
    <t xml:space="preserve">RESULTADO DEL EJERCICIO 2017                                                                        </t>
  </si>
  <si>
    <t xml:space="preserve">RESULTADO DEL EJERCICIO 2018                                                                        </t>
  </si>
  <si>
    <t xml:space="preserve">RESULTADO DEL EJERCICIO 2019                                                                        </t>
  </si>
  <si>
    <t xml:space="preserve">5.2.02.28.02             </t>
  </si>
  <si>
    <t xml:space="preserve">INTERESES Y ,MULTAS                                                                                 </t>
  </si>
  <si>
    <t xml:space="preserve">2.01.07.06               </t>
  </si>
  <si>
    <t xml:space="preserve">1.02.01.01.01            </t>
  </si>
  <si>
    <t xml:space="preserve">1.02.01.01.02            </t>
  </si>
  <si>
    <t xml:space="preserve">1.02.01.01.03            </t>
  </si>
  <si>
    <t xml:space="preserve">1.02.01.01.05            </t>
  </si>
  <si>
    <t xml:space="preserve">1.02.01.01.06            </t>
  </si>
  <si>
    <t xml:space="preserve">1.02.01.01.08            </t>
  </si>
  <si>
    <t xml:space="preserve">1.02.01.01.09            </t>
  </si>
  <si>
    <t xml:space="preserve">1.02.01.01.11            </t>
  </si>
  <si>
    <t xml:space="preserve">2.01.07.01.99            </t>
  </si>
  <si>
    <t xml:space="preserve">SRI POR PAGAR                                                                                       </t>
  </si>
  <si>
    <t xml:space="preserve">2.01.07.05               </t>
  </si>
  <si>
    <t xml:space="preserve">PARTICIPACIÓN TRABAJADORES POR PAGAR DEL EJERCICIO                                                  </t>
  </si>
  <si>
    <t xml:space="preserve">IMPUESTO A LA RENTA POR PAGAR                                                                       </t>
  </si>
  <si>
    <t xml:space="preserve">RESULTADO DEL EJERCICIO 2014                                                                        </t>
  </si>
  <si>
    <t xml:space="preserve">3.07.11                  </t>
  </si>
  <si>
    <t xml:space="preserve">RESULTADO DEL EJERCICIO 2020                                                                        </t>
  </si>
  <si>
    <t xml:space="preserve">1.01.01.03.01            </t>
  </si>
  <si>
    <t xml:space="preserve">INVERSIONES BCO GUAYAQUIL                                                                           </t>
  </si>
  <si>
    <t xml:space="preserve">1.01.02.08.03            </t>
  </si>
  <si>
    <t xml:space="preserve">ANTICIPO SUELDOS                                                                                    </t>
  </si>
  <si>
    <t xml:space="preserve">2.01.03.02               </t>
  </si>
  <si>
    <t xml:space="preserve">PRESTAMOS BANCARIOS                                                                                 </t>
  </si>
  <si>
    <t xml:space="preserve">2.01.03.03               </t>
  </si>
  <si>
    <t xml:space="preserve">OTRAS CUENTAS POR PAGAR                                                                             </t>
  </si>
  <si>
    <t xml:space="preserve">2.01.07.04.01            </t>
  </si>
  <si>
    <t xml:space="preserve">SUELDOS                                                                                             </t>
  </si>
  <si>
    <t xml:space="preserve">3.07.12                  </t>
  </si>
  <si>
    <t xml:space="preserve">RESULTADO DEL EJERCICIO 2021                                                                        </t>
  </si>
  <si>
    <t xml:space="preserve">4.3.02.01                </t>
  </si>
  <si>
    <t xml:space="preserve">5.2.02.08.06             </t>
  </si>
  <si>
    <t xml:space="preserve">MANTENIMIENTO EDIFICIOS                                                                             </t>
  </si>
  <si>
    <t xml:space="preserve">5.2.02.08.09             </t>
  </si>
  <si>
    <t xml:space="preserve">JUEGOS INFANTILES                                                                                   </t>
  </si>
  <si>
    <t xml:space="preserve">5.2.02.08.10             </t>
  </si>
  <si>
    <t xml:space="preserve">CABLEADO Y ESTRUCTURADO                                                                             </t>
  </si>
  <si>
    <t xml:space="preserve">5.2.02.12                </t>
  </si>
  <si>
    <t xml:space="preserve">COMBUSTIBLES                                                                                        </t>
  </si>
  <si>
    <t xml:space="preserve">5.2.02.16.13             </t>
  </si>
  <si>
    <t xml:space="preserve">CONSEJO ESTUDIANTIL                                                                                 </t>
  </si>
  <si>
    <t xml:space="preserve">5.2.02.16.17             </t>
  </si>
  <si>
    <t xml:space="preserve">MATERIALES DE LABORATORIO                                                                           </t>
  </si>
  <si>
    <t xml:space="preserve">5.2.02.16.20             </t>
  </si>
  <si>
    <t xml:space="preserve">GASTOS RECTORADO                                                                                    </t>
  </si>
  <si>
    <t xml:space="preserve">5.2.02.16.97             </t>
  </si>
  <si>
    <t xml:space="preserve">EXAMENES OCUPACIONALES                                                                              </t>
  </si>
  <si>
    <t xml:space="preserve">5.2.02.26                </t>
  </si>
  <si>
    <t xml:space="preserve">ADMISIONES                                                                                          </t>
  </si>
  <si>
    <t>RESULTADO DEL EJERCICIO 2022</t>
  </si>
  <si>
    <t>3.07.13</t>
  </si>
  <si>
    <t xml:space="preserve">5.2.02.28.01             </t>
  </si>
  <si>
    <t xml:space="preserve">GASTOS NO DEDUCIBLES IESS                                                                           </t>
  </si>
  <si>
    <t xml:space="preserve">1.01.01.03.02            </t>
  </si>
  <si>
    <t xml:space="preserve">INVERSIONES PRODUBANCO                                                                              </t>
  </si>
  <si>
    <t xml:space="preserve">2.01.13.02               </t>
  </si>
  <si>
    <t xml:space="preserve">4.1.02.03.06             </t>
  </si>
  <si>
    <t xml:space="preserve">SERVICIOS EDUCATIVOS                                                                                </t>
  </si>
  <si>
    <t xml:space="preserve">4.2.01.05                </t>
  </si>
  <si>
    <t xml:space="preserve">ARRIENDO                                                                                            </t>
  </si>
  <si>
    <t xml:space="preserve">4.2.01.06                </t>
  </si>
  <si>
    <t xml:space="preserve">VENTA DE ACTIVOS FIJOS 12%                                                                          </t>
  </si>
  <si>
    <t xml:space="preserve">SERVICIOS PRESTADOS POR TERCEROS                                                                    </t>
  </si>
  <si>
    <t xml:space="preserve">5.2.02.08.11             </t>
  </si>
  <si>
    <t xml:space="preserve">MANTENIMIENTO EDIFICIO LEGO                                                                         </t>
  </si>
  <si>
    <t xml:space="preserve">5.2.02.08.12             </t>
  </si>
  <si>
    <t xml:space="preserve">MATERIALES EDIFICIO LEGO                                                                            </t>
  </si>
  <si>
    <t xml:space="preserve">5.2.02.16.09             </t>
  </si>
  <si>
    <t xml:space="preserve">DIA DE FAMILIA / NOCHE DE LUCES                                                                     </t>
  </si>
  <si>
    <t xml:space="preserve">5.2.02.16.19             </t>
  </si>
  <si>
    <t xml:space="preserve">GASTOS COORDINACIONES                                                                               </t>
  </si>
  <si>
    <t xml:space="preserve">5.2.02.16.21             </t>
  </si>
  <si>
    <t xml:space="preserve">GASTOS NAVIDAD                                                                                      </t>
  </si>
  <si>
    <t xml:space="preserve">5.2.02.16.22             </t>
  </si>
  <si>
    <t xml:space="preserve">INTERCAMBIO ESTUDIANTIL                                                                             </t>
  </si>
  <si>
    <t xml:space="preserve">5.2.02.16.24             </t>
  </si>
  <si>
    <t xml:space="preserve">MES DE LIBRO                                                                                        </t>
  </si>
  <si>
    <t xml:space="preserve">5.2.02.16.25             </t>
  </si>
  <si>
    <t xml:space="preserve">COPA GASTRONOMICA                                                                                   </t>
  </si>
  <si>
    <t xml:space="preserve">5.2.02.16.26             </t>
  </si>
  <si>
    <t xml:space="preserve">CURIE TESLA                                                                                         </t>
  </si>
  <si>
    <t xml:space="preserve">5.2.02.16.27             </t>
  </si>
  <si>
    <t xml:space="preserve">FERIA DE EMPRENDIMIENTO                                                                             </t>
  </si>
  <si>
    <t xml:space="preserve">5.2.02.16.28             </t>
  </si>
  <si>
    <t xml:space="preserve">TRANSICION ESTUDIANTIL                                                                              </t>
  </si>
  <si>
    <t xml:space="preserve">5.2.02.16.29             </t>
  </si>
  <si>
    <t xml:space="preserve">GALERIA DE ARTEC                                                                                    </t>
  </si>
  <si>
    <t xml:space="preserve">5.2.02.16.30             </t>
  </si>
  <si>
    <t xml:space="preserve">COPA ANAN DEPORTES                                                                                  </t>
  </si>
  <si>
    <t xml:space="preserve">5.2.02.16.31             </t>
  </si>
  <si>
    <t xml:space="preserve">REUNION DE EX ALUMNOS                                                                               </t>
  </si>
  <si>
    <t xml:space="preserve">5.2.02.16.32             </t>
  </si>
  <si>
    <t xml:space="preserve">PASEO FIN DE AÑO                                                                                    </t>
  </si>
  <si>
    <t xml:space="preserve">5.2.02.16.34             </t>
  </si>
  <si>
    <t xml:space="preserve">ATENCION A CLIENTES                                                                                 </t>
  </si>
  <si>
    <t xml:space="preserve">5.2.02.16.35             </t>
  </si>
  <si>
    <t xml:space="preserve">JURAMENTO BANDERA                                                                                   </t>
  </si>
  <si>
    <t xml:space="preserve">5.2.02.16.36             </t>
  </si>
  <si>
    <t xml:space="preserve">ROUND SQUARE                                                                                        </t>
  </si>
  <si>
    <t xml:space="preserve">5.2.02.16.37             </t>
  </si>
  <si>
    <t xml:space="preserve">COMITE CENTRAL                                                                                      </t>
  </si>
  <si>
    <t xml:space="preserve">5.2.02.16.38             </t>
  </si>
  <si>
    <t xml:space="preserve">CAPACITACION VICERRECTORADO                                                                         </t>
  </si>
  <si>
    <t xml:space="preserve">5.2.02.16.39             </t>
  </si>
  <si>
    <t xml:space="preserve">GASTOS COLADA MORADA                                                                                </t>
  </si>
  <si>
    <t xml:space="preserve">5.2.02.17.15             </t>
  </si>
  <si>
    <t xml:space="preserve">5.2.02.23.01             </t>
  </si>
  <si>
    <t xml:space="preserve">GASTOS DEPRECIACION.EDIFICIOS                                                                       </t>
  </si>
  <si>
    <t>RESULTADO DEL EJERCICIO 2023</t>
  </si>
  <si>
    <t>No. de ruc del profesional que  realizó el cálculo actuarial para el contribuyente (Informativo)  1702725498001 RODRIGO ARROBA PIEDRA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</si>
</sst>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-* #,##0.00_-;\-* #,##0.00_-;_-* &quot;-&quot;??_-;_-@_-"/>
    <numFmt numFmtId="165" formatCode="_-* #,##0.00\ _€_-;\-* #,##0.00\ _€_-;_-* &quot;-&quot;??\ _€_-;_-@_-"/>
    <numFmt numFmtId="168" formatCode="_(* #,##0.00_);_(* \(#,##0.00\);_(* &quot;-&quot;??_);_(@_)"/>
    <numFmt numFmtId="169" formatCode="_-&quot;$&quot;* #,##0.00_-;\-&quot;$&quot;* #,##0.00_-;_-&quot;$&quot;* &quot;-&quot;??_-;_-@_-"/>
    <numFmt numFmtId="170" formatCode="0%_);\(0%\)"/>
    <numFmt numFmtId="171" formatCode="_(* #,##0_);_(* \(#,##0\);_(* &quot;-&quot;??_);_(@_)"/>
    <numFmt numFmtId="175" formatCode="0%;\(0%\)"/>
    <numFmt numFmtId="176" formatCode="0_);\(0\)"/>
    <numFmt numFmtId="183" formatCode="_ * #,##0.00_ ;_ * \-#,##0.00_ ;_ * \-??_ ;_ @_ "/>
    <numFmt numFmtId="185" formatCode="_(* #,##0.0_);_(* \(#,##0.0\);_(* &quot;-&quot;??_);_(@_)"/>
  </numFmts>
  <fonts count="53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Open Sans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10"/>
      <name val="Courier"/>
      <family val="3"/>
    </font>
    <font>
      <sz val="11"/>
      <color theme="0"/>
      <name val="Calibri"/>
      <family val="2"/>
      <scheme val="minor"/>
    </font>
    <font>
      <sz val="10"/>
      <name val="Open Sans"/>
      <family val="2"/>
    </font>
    <font>
      <b/>
      <sz val="12"/>
      <name val="Open Sans"/>
      <family val="2"/>
    </font>
    <font>
      <b/>
      <sz val="12"/>
      <color theme="0"/>
      <name val="Open Sans"/>
      <family val="2"/>
    </font>
    <font>
      <sz val="12"/>
      <name val="Open Sans"/>
      <family val="2"/>
    </font>
    <font>
      <b/>
      <sz val="10"/>
      <name val="Open Sans"/>
      <family val="2"/>
    </font>
    <font>
      <sz val="10"/>
      <color theme="0"/>
      <name val="Open Sans"/>
      <family val="2"/>
    </font>
    <font>
      <sz val="10"/>
      <name val="Times New Roman"/>
      <family val="1"/>
    </font>
    <font>
      <sz val="10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u/>
      <sz val="10"/>
      <color indexed="12"/>
      <name val="Arial"/>
      <family val="2"/>
      <charset val="1"/>
    </font>
    <font>
      <sz val="9"/>
      <name val="Open Sans"/>
      <family val="2"/>
    </font>
    <font>
      <b/>
      <i/>
      <u/>
      <sz val="10"/>
      <color rgb="FF0000FF"/>
      <name val="Open Sans"/>
      <family val="2"/>
    </font>
    <font>
      <sz val="10"/>
      <color rgb="FFFF0000"/>
      <name val="Open Sans"/>
      <family val="2"/>
    </font>
    <font>
      <sz val="9"/>
      <color theme="1"/>
      <name val="Open Sans"/>
      <family val="2"/>
    </font>
    <font>
      <sz val="10"/>
      <color rgb="FF0070C0"/>
      <name val="Open Sans"/>
      <family val="2"/>
    </font>
    <font>
      <b/>
      <i/>
      <sz val="10"/>
      <name val="Open Sans"/>
      <family val="2"/>
    </font>
    <font>
      <b/>
      <sz val="9"/>
      <color theme="0"/>
      <name val="Open Sans"/>
      <family val="2"/>
    </font>
    <font>
      <b/>
      <sz val="9"/>
      <name val="Open Sans"/>
      <family val="2"/>
    </font>
    <font>
      <b/>
      <sz val="9"/>
      <color rgb="FFFFFFFF"/>
      <name val="Open Sans"/>
      <family val="2"/>
    </font>
    <font>
      <sz val="9"/>
      <color rgb="FFFF0000"/>
      <name val="Open Sans"/>
      <family val="2"/>
    </font>
    <font>
      <b/>
      <sz val="18"/>
      <color theme="3"/>
      <name val="Open Sans"/>
      <family val="2"/>
    </font>
    <font>
      <sz val="9"/>
      <color rgb="FF00B050"/>
      <name val="Open Sans"/>
      <family val="2"/>
    </font>
    <font>
      <b/>
      <sz val="9"/>
      <color theme="1"/>
      <name val="Open Sans"/>
      <family val="2"/>
    </font>
    <font>
      <sz val="9"/>
      <color theme="0"/>
      <name val="Open Sans"/>
      <family val="2"/>
    </font>
    <font>
      <sz val="9"/>
      <color rgb="FF0070C0"/>
      <name val="Open Sans"/>
      <family val="2"/>
    </font>
    <font>
      <sz val="9"/>
      <color rgb="FFFFFFFF"/>
      <name val="Open Sans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FF0000"/>
      <name val="Calibri"/>
      <family val="2"/>
      <scheme val="minor"/>
    </font>
    <font>
      <sz val="11"/>
      <color indexed="63"/>
      <name val="Calibri"/>
      <family val="2"/>
      <charset val="1"/>
    </font>
    <font>
      <sz val="10"/>
      <color theme="1"/>
      <name val="Arial Narrow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</font>
    <font>
      <b/>
      <i/>
      <u/>
      <sz val="12"/>
      <name val="Open Sans"/>
      <family val="2"/>
    </font>
  </fonts>
  <fills count="2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27"/>
      </patternFill>
    </fill>
    <fill>
      <patternFill patternType="solid">
        <fgColor theme="0"/>
        <bgColor indexed="26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60">
    <xf numFmtId="0" fontId="0" fillId="0" borderId="0"/>
    <xf numFmtId="14" fontId="11" fillId="2" borderId="1">
      <alignment horizontal="center" vertical="center" wrapText="1"/>
    </xf>
    <xf numFmtId="168" fontId="8" fillId="0" borderId="0" applyFont="0" applyFill="0" applyBorder="0" applyAlignment="0" applyProtection="0"/>
    <xf numFmtId="37" fontId="12" fillId="0" borderId="0"/>
    <xf numFmtId="0" fontId="8" fillId="0" borderId="0"/>
    <xf numFmtId="170" fontId="9" fillId="0" borderId="0" applyFont="0" applyFill="0" applyBorder="0" applyAlignment="0" applyProtection="0"/>
    <xf numFmtId="0" fontId="10" fillId="0" borderId="0" applyFill="0" applyBorder="0" applyProtection="0">
      <alignment horizontal="left" vertical="top"/>
    </xf>
    <xf numFmtId="0" fontId="8" fillId="0" borderId="0"/>
    <xf numFmtId="168" fontId="7" fillId="0" borderId="0" applyFont="0" applyFill="0" applyBorder="0" applyAlignment="0" applyProtection="0"/>
    <xf numFmtId="0" fontId="8" fillId="0" borderId="0"/>
    <xf numFmtId="0" fontId="7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175" fontId="20" fillId="0" borderId="0" applyFont="0" applyFill="0" applyBorder="0" applyAlignment="0" applyProtection="0"/>
    <xf numFmtId="175" fontId="20" fillId="0" borderId="0" applyFont="0" applyFill="0" applyBorder="0" applyAlignment="0" applyProtection="0"/>
    <xf numFmtId="0" fontId="8" fillId="0" borderId="0"/>
    <xf numFmtId="175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7" fillId="0" borderId="0" applyFont="0" applyFill="0" applyBorder="0" applyAlignment="0" applyProtection="0"/>
    <xf numFmtId="0" fontId="13" fillId="1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5" fillId="0" borderId="0" applyBorder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3" fontId="8" fillId="0" borderId="0" applyBorder="0" applyProtection="0"/>
    <xf numFmtId="0" fontId="8" fillId="0" borderId="0"/>
    <xf numFmtId="169" fontId="8" fillId="0" borderId="0" applyFont="0" applyFill="0" applyBorder="0" applyAlignment="0" applyProtection="0"/>
    <xf numFmtId="0" fontId="8" fillId="0" borderId="0"/>
    <xf numFmtId="0" fontId="46" fillId="0" borderId="0" applyNumberFormat="0" applyFill="0" applyBorder="0" applyAlignment="0" applyProtection="0"/>
    <xf numFmtId="0" fontId="48" fillId="0" borderId="0"/>
    <xf numFmtId="0" fontId="49" fillId="0" borderId="0"/>
    <xf numFmtId="164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3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91">
    <xf numFmtId="0" fontId="0" fillId="0" borderId="0" xfId="0"/>
    <xf numFmtId="0" fontId="14" fillId="0" borderId="0" xfId="10" applyFont="1"/>
    <xf numFmtId="0" fontId="14" fillId="0" borderId="0" xfId="10" applyFont="1" applyProtection="1">
      <protection locked="0"/>
    </xf>
    <xf numFmtId="0" fontId="14" fillId="0" borderId="0" xfId="10" applyFont="1" applyAlignment="1">
      <alignment vertical="top"/>
    </xf>
    <xf numFmtId="168" fontId="18" fillId="0" borderId="0" xfId="2" applyFont="1"/>
    <xf numFmtId="168" fontId="14" fillId="0" borderId="0" xfId="2" applyFont="1"/>
    <xf numFmtId="168" fontId="14" fillId="11" borderId="0" xfId="2" applyFont="1" applyFill="1" applyBorder="1" applyProtection="1"/>
    <xf numFmtId="0" fontId="14" fillId="0" borderId="0" xfId="0" applyFont="1"/>
    <xf numFmtId="49" fontId="29" fillId="4" borderId="0" xfId="10" applyNumberFormat="1" applyFont="1" applyFill="1" applyAlignment="1" applyProtection="1">
      <alignment horizontal="center"/>
      <protection locked="0"/>
    </xf>
    <xf numFmtId="49" fontId="29" fillId="13" borderId="2" xfId="10" applyNumberFormat="1" applyFont="1" applyFill="1" applyBorder="1" applyAlignment="1" applyProtection="1">
      <alignment horizontal="center"/>
      <protection locked="0"/>
    </xf>
    <xf numFmtId="0" fontId="6" fillId="0" borderId="0" xfId="10" applyFont="1"/>
    <xf numFmtId="0" fontId="17" fillId="0" borderId="0" xfId="0" applyFont="1"/>
    <xf numFmtId="0" fontId="17" fillId="4" borderId="0" xfId="10" applyFont="1" applyFill="1" applyProtection="1">
      <protection locked="0"/>
    </xf>
    <xf numFmtId="37" fontId="15" fillId="8" borderId="0" xfId="3" applyFont="1" applyFill="1"/>
    <xf numFmtId="0" fontId="14" fillId="4" borderId="0" xfId="0" applyFont="1" applyFill="1"/>
    <xf numFmtId="168" fontId="14" fillId="4" borderId="0" xfId="2" applyFont="1" applyFill="1"/>
    <xf numFmtId="43" fontId="14" fillId="8" borderId="0" xfId="16" applyNumberFormat="1" applyFont="1" applyFill="1"/>
    <xf numFmtId="0" fontId="27" fillId="8" borderId="0" xfId="17" applyFont="1" applyFill="1" applyAlignment="1">
      <alignment horizontal="center"/>
    </xf>
    <xf numFmtId="37" fontId="18" fillId="4" borderId="0" xfId="3" applyFont="1" applyFill="1" applyAlignment="1">
      <alignment horizontal="center" wrapText="1"/>
    </xf>
    <xf numFmtId="168" fontId="18" fillId="4" borderId="0" xfId="2" applyFont="1" applyFill="1" applyAlignment="1">
      <alignment horizontal="center" wrapText="1"/>
    </xf>
    <xf numFmtId="168" fontId="14" fillId="0" borderId="0" xfId="2" applyFont="1" applyFill="1"/>
    <xf numFmtId="37" fontId="18" fillId="11" borderId="0" xfId="3" applyFont="1" applyFill="1" applyAlignment="1">
      <alignment horizontal="center" wrapText="1"/>
    </xf>
    <xf numFmtId="37" fontId="14" fillId="11" borderId="0" xfId="0" applyNumberFormat="1" applyFont="1" applyFill="1" applyAlignment="1">
      <alignment horizontal="left"/>
    </xf>
    <xf numFmtId="49" fontId="14" fillId="0" borderId="0" xfId="2" applyNumberFormat="1" applyFont="1" applyFill="1" applyBorder="1" applyAlignment="1" applyProtection="1">
      <alignment horizontal="center" wrapText="1"/>
    </xf>
    <xf numFmtId="0" fontId="28" fillId="0" borderId="0" xfId="0" applyFont="1"/>
    <xf numFmtId="0" fontId="14" fillId="3" borderId="11" xfId="0" applyFont="1" applyFill="1" applyBorder="1" applyAlignment="1">
      <alignment horizontal="center"/>
    </xf>
    <xf numFmtId="37" fontId="14" fillId="3" borderId="2" xfId="0" applyNumberFormat="1" applyFont="1" applyFill="1" applyBorder="1" applyAlignment="1" applyProtection="1">
      <alignment horizontal="center"/>
      <protection locked="0"/>
    </xf>
    <xf numFmtId="0" fontId="14" fillId="3" borderId="2" xfId="0" applyFont="1" applyFill="1" applyBorder="1" applyAlignment="1" applyProtection="1">
      <alignment horizontal="center"/>
      <protection locked="0"/>
    </xf>
    <xf numFmtId="168" fontId="14" fillId="3" borderId="2" xfId="2" applyFont="1" applyFill="1" applyBorder="1" applyProtection="1">
      <protection locked="0"/>
    </xf>
    <xf numFmtId="37" fontId="14" fillId="3" borderId="2" xfId="0" applyNumberFormat="1" applyFont="1" applyFill="1" applyBorder="1"/>
    <xf numFmtId="37" fontId="14" fillId="3" borderId="2" xfId="0" applyNumberFormat="1" applyFont="1" applyFill="1" applyBorder="1" applyAlignment="1">
      <alignment horizontal="center"/>
    </xf>
    <xf numFmtId="168" fontId="14" fillId="3" borderId="10" xfId="2" applyFont="1" applyFill="1" applyBorder="1" applyProtection="1"/>
    <xf numFmtId="168" fontId="31" fillId="3" borderId="12" xfId="2" applyFont="1" applyFill="1" applyBorder="1" applyAlignment="1">
      <alignment wrapText="1"/>
    </xf>
    <xf numFmtId="168" fontId="31" fillId="3" borderId="9" xfId="2" applyFont="1" applyFill="1" applyBorder="1" applyAlignment="1">
      <alignment horizontal="center"/>
    </xf>
    <xf numFmtId="168" fontId="18" fillId="3" borderId="9" xfId="2" applyFont="1" applyFill="1" applyBorder="1" applyAlignment="1">
      <alignment horizontal="right"/>
    </xf>
    <xf numFmtId="168" fontId="14" fillId="3" borderId="9" xfId="2" applyFont="1" applyFill="1" applyBorder="1"/>
    <xf numFmtId="168" fontId="18" fillId="3" borderId="9" xfId="2" applyFont="1" applyFill="1" applyBorder="1" applyAlignment="1" applyProtection="1">
      <alignment horizontal="right"/>
    </xf>
    <xf numFmtId="0" fontId="14" fillId="4" borderId="0" xfId="0" applyFont="1" applyFill="1" applyAlignment="1">
      <alignment horizontal="left"/>
    </xf>
    <xf numFmtId="168" fontId="14" fillId="4" borderId="0" xfId="2" applyFont="1" applyFill="1" applyBorder="1"/>
    <xf numFmtId="168" fontId="14" fillId="0" borderId="17" xfId="2" applyFont="1" applyBorder="1" applyAlignment="1">
      <alignment horizontal="centerContinuous"/>
    </xf>
    <xf numFmtId="168" fontId="14" fillId="0" borderId="18" xfId="2" applyFont="1" applyBorder="1" applyAlignment="1">
      <alignment horizontal="centerContinuous"/>
    </xf>
    <xf numFmtId="0" fontId="14" fillId="0" borderId="19" xfId="0" applyFont="1" applyBorder="1" applyAlignment="1">
      <alignment horizontal="centerContinuous"/>
    </xf>
    <xf numFmtId="168" fontId="14" fillId="0" borderId="0" xfId="0" applyNumberFormat="1" applyFont="1"/>
    <xf numFmtId="168" fontId="28" fillId="0" borderId="0" xfId="2" applyFont="1"/>
    <xf numFmtId="168" fontId="28" fillId="0" borderId="0" xfId="0" applyNumberFormat="1" applyFont="1"/>
    <xf numFmtId="0" fontId="30" fillId="0" borderId="0" xfId="0" applyFont="1"/>
    <xf numFmtId="168" fontId="14" fillId="0" borderId="3" xfId="2" applyFont="1" applyBorder="1"/>
    <xf numFmtId="168" fontId="28" fillId="0" borderId="3" xfId="2" applyFont="1" applyBorder="1"/>
    <xf numFmtId="0" fontId="18" fillId="0" borderId="0" xfId="0" applyFont="1"/>
    <xf numFmtId="0" fontId="14" fillId="0" borderId="0" xfId="0" applyFont="1" applyAlignment="1">
      <alignment horizontal="right"/>
    </xf>
    <xf numFmtId="164" fontId="14" fillId="0" borderId="0" xfId="0" applyNumberFormat="1" applyFont="1"/>
    <xf numFmtId="0" fontId="14" fillId="0" borderId="0" xfId="0" applyFont="1" applyAlignment="1">
      <alignment horizontal="center"/>
    </xf>
    <xf numFmtId="168" fontId="14" fillId="0" borderId="0" xfId="2" applyFont="1" applyBorder="1"/>
    <xf numFmtId="0" fontId="26" fillId="12" borderId="2" xfId="10" applyFont="1" applyFill="1" applyBorder="1" applyProtection="1">
      <protection locked="0"/>
    </xf>
    <xf numFmtId="0" fontId="29" fillId="12" borderId="2" xfId="10" applyFont="1" applyFill="1" applyBorder="1" applyAlignment="1" applyProtection="1">
      <alignment horizontal="right"/>
      <protection locked="0"/>
    </xf>
    <xf numFmtId="168" fontId="29" fillId="12" borderId="2" xfId="2" applyFont="1" applyFill="1" applyBorder="1" applyAlignment="1" applyProtection="1">
      <alignment horizontal="right"/>
      <protection locked="0"/>
    </xf>
    <xf numFmtId="49" fontId="14" fillId="0" borderId="0" xfId="0" applyNumberFormat="1" applyFont="1"/>
    <xf numFmtId="49" fontId="14" fillId="18" borderId="0" xfId="0" applyNumberFormat="1" applyFont="1" applyFill="1"/>
    <xf numFmtId="0" fontId="14" fillId="18" borderId="0" xfId="0" applyFont="1" applyFill="1"/>
    <xf numFmtId="168" fontId="14" fillId="18" borderId="0" xfId="2" applyFont="1" applyFill="1"/>
    <xf numFmtId="0" fontId="14" fillId="0" borderId="0" xfId="10" applyFont="1" applyAlignment="1">
      <alignment vertical="top" wrapText="1"/>
    </xf>
    <xf numFmtId="49" fontId="29" fillId="4" borderId="0" xfId="10" applyNumberFormat="1" applyFont="1" applyFill="1" applyProtection="1">
      <protection locked="0"/>
    </xf>
    <xf numFmtId="0" fontId="14" fillId="8" borderId="0" xfId="10" applyFont="1" applyFill="1"/>
    <xf numFmtId="0" fontId="26" fillId="4" borderId="0" xfId="10" applyFont="1" applyFill="1" applyProtection="1">
      <protection locked="0"/>
    </xf>
    <xf numFmtId="0" fontId="29" fillId="4" borderId="0" xfId="10" applyFont="1" applyFill="1" applyProtection="1">
      <protection locked="0"/>
    </xf>
    <xf numFmtId="0" fontId="29" fillId="4" borderId="0" xfId="10" applyFont="1" applyFill="1" applyAlignment="1" applyProtection="1">
      <alignment horizontal="right"/>
      <protection locked="0"/>
    </xf>
    <xf numFmtId="168" fontId="29" fillId="4" borderId="0" xfId="2" applyFont="1" applyFill="1" applyAlignment="1" applyProtection="1">
      <alignment horizontal="right"/>
      <protection locked="0"/>
    </xf>
    <xf numFmtId="168" fontId="29" fillId="4" borderId="0" xfId="2" applyFont="1" applyFill="1" applyProtection="1">
      <protection locked="0"/>
    </xf>
    <xf numFmtId="0" fontId="29" fillId="11" borderId="0" xfId="10" applyFont="1" applyFill="1" applyProtection="1">
      <protection locked="0"/>
    </xf>
    <xf numFmtId="0" fontId="37" fillId="4" borderId="0" xfId="10" applyFont="1" applyFill="1" applyProtection="1">
      <protection locked="0"/>
    </xf>
    <xf numFmtId="0" fontId="26" fillId="0" borderId="2" xfId="10" applyFont="1" applyBorder="1" applyProtection="1">
      <protection locked="0"/>
    </xf>
    <xf numFmtId="49" fontId="38" fillId="14" borderId="2" xfId="10" applyNumberFormat="1" applyFont="1" applyFill="1" applyBorder="1" applyAlignment="1" applyProtection="1">
      <alignment horizontal="center"/>
      <protection locked="0"/>
    </xf>
    <xf numFmtId="168" fontId="38" fillId="14" borderId="2" xfId="2" applyFont="1" applyFill="1" applyBorder="1" applyAlignment="1" applyProtection="1">
      <alignment horizontal="right"/>
      <protection locked="0"/>
    </xf>
    <xf numFmtId="0" fontId="39" fillId="4" borderId="2" xfId="10" applyFont="1" applyFill="1" applyBorder="1" applyProtection="1">
      <protection locked="0"/>
    </xf>
    <xf numFmtId="168" fontId="29" fillId="0" borderId="2" xfId="2" applyFont="1" applyFill="1" applyBorder="1" applyAlignment="1" applyProtection="1">
      <alignment horizontal="right"/>
      <protection locked="0"/>
    </xf>
    <xf numFmtId="0" fontId="40" fillId="4" borderId="0" xfId="10" applyFont="1" applyFill="1" applyProtection="1">
      <protection locked="0"/>
    </xf>
    <xf numFmtId="0" fontId="29" fillId="7" borderId="0" xfId="10" applyFont="1" applyFill="1" applyProtection="1">
      <protection locked="0"/>
    </xf>
    <xf numFmtId="0" fontId="26" fillId="12" borderId="2" xfId="10" applyFont="1" applyFill="1" applyBorder="1" applyAlignment="1" applyProtection="1">
      <alignment vertical="center"/>
      <protection locked="0"/>
    </xf>
    <xf numFmtId="49" fontId="33" fillId="14" borderId="2" xfId="10" applyNumberFormat="1" applyFont="1" applyFill="1" applyBorder="1" applyAlignment="1" applyProtection="1">
      <alignment horizontal="center" vertical="center"/>
      <protection locked="0"/>
    </xf>
    <xf numFmtId="168" fontId="26" fillId="14" borderId="2" xfId="10" applyNumberFormat="1" applyFont="1" applyFill="1" applyBorder="1" applyAlignment="1" applyProtection="1">
      <alignment horizontal="right" vertical="center"/>
      <protection locked="0"/>
    </xf>
    <xf numFmtId="0" fontId="29" fillId="4" borderId="0" xfId="10" applyFont="1" applyFill="1" applyAlignment="1" applyProtection="1">
      <alignment vertical="center"/>
      <protection locked="0"/>
    </xf>
    <xf numFmtId="0" fontId="29" fillId="17" borderId="0" xfId="10" applyFont="1" applyFill="1" applyProtection="1">
      <protection locked="0"/>
    </xf>
    <xf numFmtId="49" fontId="29" fillId="7" borderId="0" xfId="10" applyNumberFormat="1" applyFont="1" applyFill="1" applyProtection="1">
      <protection locked="0"/>
    </xf>
    <xf numFmtId="168" fontId="38" fillId="14" borderId="2" xfId="10" applyNumberFormat="1" applyFont="1" applyFill="1" applyBorder="1" applyAlignment="1" applyProtection="1">
      <alignment horizontal="right"/>
      <protection locked="0"/>
    </xf>
    <xf numFmtId="0" fontId="26" fillId="7" borderId="2" xfId="10" applyFont="1" applyFill="1" applyBorder="1" applyProtection="1">
      <protection locked="0"/>
    </xf>
    <xf numFmtId="0" fontId="29" fillId="0" borderId="0" xfId="10" applyFont="1" applyProtection="1">
      <protection locked="0"/>
    </xf>
    <xf numFmtId="0" fontId="26" fillId="4" borderId="2" xfId="10" applyFont="1" applyFill="1" applyBorder="1" applyProtection="1">
      <protection locked="0"/>
    </xf>
    <xf numFmtId="168" fontId="29" fillId="20" borderId="2" xfId="2" applyFont="1" applyFill="1" applyBorder="1" applyAlignment="1" applyProtection="1">
      <alignment horizontal="right"/>
      <protection locked="0"/>
    </xf>
    <xf numFmtId="168" fontId="29" fillId="0" borderId="2" xfId="2" applyFont="1" applyBorder="1" applyAlignment="1" applyProtection="1">
      <alignment horizontal="right"/>
      <protection locked="0"/>
    </xf>
    <xf numFmtId="0" fontId="35" fillId="0" borderId="2" xfId="10" applyFont="1" applyBorder="1" applyProtection="1">
      <protection locked="0"/>
    </xf>
    <xf numFmtId="0" fontId="35" fillId="0" borderId="0" xfId="10" applyFont="1" applyProtection="1">
      <protection locked="0"/>
    </xf>
    <xf numFmtId="0" fontId="33" fillId="0" borderId="2" xfId="10" applyFont="1" applyBorder="1" applyProtection="1">
      <protection locked="0"/>
    </xf>
    <xf numFmtId="0" fontId="38" fillId="0" borderId="0" xfId="10" applyFont="1" applyProtection="1">
      <protection locked="0"/>
    </xf>
    <xf numFmtId="49" fontId="38" fillId="13" borderId="2" xfId="10" applyNumberFormat="1" applyFont="1" applyFill="1" applyBorder="1" applyAlignment="1" applyProtection="1">
      <alignment horizontal="center"/>
      <protection locked="0"/>
    </xf>
    <xf numFmtId="49" fontId="33" fillId="14" borderId="2" xfId="10" applyNumberFormat="1" applyFont="1" applyFill="1" applyBorder="1" applyAlignment="1" applyProtection="1">
      <alignment horizontal="center"/>
      <protection locked="0"/>
    </xf>
    <xf numFmtId="168" fontId="33" fillId="14" borderId="2" xfId="2" applyFont="1" applyFill="1" applyBorder="1" applyAlignment="1" applyProtection="1">
      <alignment horizontal="right"/>
      <protection locked="0"/>
    </xf>
    <xf numFmtId="168" fontId="26" fillId="15" borderId="2" xfId="2" applyFont="1" applyFill="1" applyBorder="1" applyAlignment="1">
      <alignment horizontal="center" vertical="center" wrapText="1"/>
    </xf>
    <xf numFmtId="168" fontId="33" fillId="15" borderId="2" xfId="2" applyFont="1" applyFill="1" applyBorder="1" applyAlignment="1">
      <alignment horizontal="center" vertical="center" wrapText="1"/>
    </xf>
    <xf numFmtId="168" fontId="33" fillId="16" borderId="2" xfId="2" applyFont="1" applyFill="1" applyBorder="1" applyAlignment="1" applyProtection="1">
      <alignment horizontal="center" vertical="center" wrapText="1"/>
      <protection locked="0"/>
    </xf>
    <xf numFmtId="43" fontId="14" fillId="0" borderId="0" xfId="16" applyNumberFormat="1" applyFont="1" applyFill="1"/>
    <xf numFmtId="49" fontId="19" fillId="11" borderId="0" xfId="0" applyNumberFormat="1" applyFont="1" applyFill="1"/>
    <xf numFmtId="0" fontId="19" fillId="11" borderId="0" xfId="0" applyFont="1" applyFill="1"/>
    <xf numFmtId="168" fontId="19" fillId="11" borderId="0" xfId="2" applyFont="1" applyFill="1"/>
    <xf numFmtId="0" fontId="19" fillId="0" borderId="0" xfId="0" applyFont="1"/>
    <xf numFmtId="171" fontId="14" fillId="0" borderId="0" xfId="2" applyNumberFormat="1" applyFont="1"/>
    <xf numFmtId="168" fontId="14" fillId="8" borderId="0" xfId="0" applyNumberFormat="1" applyFont="1" applyFill="1"/>
    <xf numFmtId="168" fontId="29" fillId="12" borderId="2" xfId="2" applyFont="1" applyFill="1" applyBorder="1" applyAlignment="1" applyProtection="1">
      <alignment horizontal="center"/>
      <protection locked="0"/>
    </xf>
    <xf numFmtId="9" fontId="29" fillId="12" borderId="2" xfId="20" applyFont="1" applyFill="1" applyBorder="1" applyAlignment="1" applyProtection="1">
      <alignment horizontal="center"/>
      <protection locked="0"/>
    </xf>
    <xf numFmtId="168" fontId="26" fillId="20" borderId="2" xfId="2" applyFont="1" applyFill="1" applyBorder="1" applyAlignment="1" applyProtection="1">
      <alignment horizontal="right"/>
      <protection locked="0"/>
    </xf>
    <xf numFmtId="185" fontId="29" fillId="12" borderId="2" xfId="2" applyNumberFormat="1" applyFont="1" applyFill="1" applyBorder="1" applyAlignment="1" applyProtection="1">
      <alignment horizontal="center"/>
      <protection locked="0"/>
    </xf>
    <xf numFmtId="9" fontId="29" fillId="22" borderId="2" xfId="20" applyFont="1" applyFill="1" applyBorder="1" applyAlignment="1" applyProtection="1">
      <alignment horizontal="center"/>
      <protection locked="0"/>
    </xf>
    <xf numFmtId="168" fontId="33" fillId="22" borderId="2" xfId="2" applyFont="1" applyFill="1" applyBorder="1" applyAlignment="1" applyProtection="1">
      <alignment horizontal="right"/>
      <protection locked="0"/>
    </xf>
    <xf numFmtId="169" fontId="29" fillId="22" borderId="2" xfId="38" applyFont="1" applyFill="1" applyBorder="1" applyAlignment="1" applyProtection="1">
      <alignment horizontal="center"/>
      <protection locked="0"/>
    </xf>
    <xf numFmtId="168" fontId="26" fillId="0" borderId="2" xfId="2" applyFont="1" applyFill="1" applyBorder="1" applyAlignment="1" applyProtection="1">
      <alignment horizontal="right"/>
      <protection locked="0"/>
    </xf>
    <xf numFmtId="168" fontId="29" fillId="22" borderId="2" xfId="2" applyFont="1" applyFill="1" applyBorder="1" applyAlignment="1" applyProtection="1">
      <alignment horizontal="right"/>
      <protection locked="0"/>
    </xf>
    <xf numFmtId="168" fontId="33" fillId="0" borderId="2" xfId="2" applyFont="1" applyFill="1" applyBorder="1" applyAlignment="1" applyProtection="1">
      <alignment horizontal="right"/>
      <protection locked="0"/>
    </xf>
    <xf numFmtId="185" fontId="29" fillId="22" borderId="2" xfId="2" applyNumberFormat="1" applyFont="1" applyFill="1" applyBorder="1" applyAlignment="1" applyProtection="1">
      <alignment horizontal="center"/>
      <protection locked="0"/>
    </xf>
    <xf numFmtId="0" fontId="27" fillId="0" borderId="0" xfId="17" applyFont="1" applyAlignment="1">
      <alignment horizontal="center"/>
    </xf>
    <xf numFmtId="37" fontId="15" fillId="8" borderId="0" xfId="3" applyFont="1" applyFill="1" applyAlignment="1">
      <alignment horizontal="left" vertical="top"/>
    </xf>
    <xf numFmtId="43" fontId="14" fillId="8" borderId="0" xfId="16" applyNumberFormat="1" applyFont="1" applyFill="1" applyAlignment="1">
      <alignment horizontal="center" vertical="center"/>
    </xf>
    <xf numFmtId="37" fontId="15" fillId="8" borderId="0" xfId="3" applyFont="1" applyFill="1" applyAlignment="1">
      <alignment horizontal="left" vertical="center"/>
    </xf>
    <xf numFmtId="0" fontId="43" fillId="0" borderId="0" xfId="9" applyFont="1"/>
    <xf numFmtId="0" fontId="42" fillId="0" borderId="4" xfId="9" applyFont="1" applyBorder="1"/>
    <xf numFmtId="0" fontId="42" fillId="0" borderId="0" xfId="9" applyFont="1"/>
    <xf numFmtId="171" fontId="42" fillId="0" borderId="0" xfId="9" applyNumberFormat="1" applyFont="1"/>
    <xf numFmtId="0" fontId="43" fillId="5" borderId="10" xfId="9" applyFont="1" applyFill="1" applyBorder="1"/>
    <xf numFmtId="171" fontId="43" fillId="5" borderId="2" xfId="9" applyNumberFormat="1" applyFont="1" applyFill="1" applyBorder="1" applyAlignment="1">
      <alignment horizontal="center"/>
    </xf>
    <xf numFmtId="168" fontId="44" fillId="0" borderId="7" xfId="8" applyFont="1" applyFill="1" applyBorder="1" applyAlignment="1" applyProtection="1">
      <alignment vertical="center"/>
      <protection locked="0"/>
    </xf>
    <xf numFmtId="168" fontId="44" fillId="0" borderId="14" xfId="8" applyFont="1" applyFill="1" applyBorder="1" applyAlignment="1" applyProtection="1">
      <alignment vertical="center"/>
      <protection locked="0"/>
    </xf>
    <xf numFmtId="0" fontId="42" fillId="6" borderId="4" xfId="9" applyFont="1" applyFill="1" applyBorder="1"/>
    <xf numFmtId="168" fontId="44" fillId="6" borderId="14" xfId="8" applyFont="1" applyFill="1" applyBorder="1" applyAlignment="1" applyProtection="1">
      <alignment vertical="center"/>
      <protection locked="0"/>
    </xf>
    <xf numFmtId="168" fontId="44" fillId="10" borderId="14" xfId="8" applyFont="1" applyFill="1" applyBorder="1" applyAlignment="1">
      <alignment horizontal="right" vertical="center"/>
    </xf>
    <xf numFmtId="168" fontId="44" fillId="10" borderId="0" xfId="8" applyFont="1" applyFill="1" applyBorder="1" applyAlignment="1">
      <alignment horizontal="right" vertical="center"/>
    </xf>
    <xf numFmtId="168" fontId="44" fillId="10" borderId="5" xfId="8" applyFont="1" applyFill="1" applyBorder="1" applyAlignment="1" applyProtection="1">
      <alignment vertical="center"/>
      <protection locked="0"/>
    </xf>
    <xf numFmtId="168" fontId="44" fillId="10" borderId="14" xfId="8" applyFont="1" applyFill="1" applyBorder="1" applyAlignment="1" applyProtection="1">
      <alignment vertical="center"/>
      <protection locked="0"/>
    </xf>
    <xf numFmtId="0" fontId="43" fillId="0" borderId="10" xfId="9" applyFont="1" applyBorder="1"/>
    <xf numFmtId="171" fontId="45" fillId="0" borderId="2" xfId="8" applyNumberFormat="1" applyFont="1" applyBorder="1" applyProtection="1">
      <protection locked="0"/>
    </xf>
    <xf numFmtId="0" fontId="43" fillId="5" borderId="6" xfId="9" applyFont="1" applyFill="1" applyBorder="1"/>
    <xf numFmtId="0" fontId="43" fillId="5" borderId="10" xfId="9" applyFont="1" applyFill="1" applyBorder="1" applyAlignment="1">
      <alignment horizontal="center" wrapText="1"/>
    </xf>
    <xf numFmtId="0" fontId="43" fillId="5" borderId="2" xfId="9" applyFont="1" applyFill="1" applyBorder="1" applyAlignment="1">
      <alignment horizontal="center"/>
    </xf>
    <xf numFmtId="0" fontId="42" fillId="0" borderId="6" xfId="9" applyFont="1" applyBorder="1" applyAlignment="1">
      <alignment vertical="center"/>
    </xf>
    <xf numFmtId="0" fontId="42" fillId="10" borderId="2" xfId="9" applyFont="1" applyFill="1" applyBorder="1" applyAlignment="1">
      <alignment horizontal="center" vertical="center"/>
    </xf>
    <xf numFmtId="171" fontId="42" fillId="0" borderId="11" xfId="9" applyNumberFormat="1" applyFont="1" applyBorder="1" applyAlignment="1">
      <alignment horizontal="center" vertical="center" wrapText="1"/>
    </xf>
    <xf numFmtId="171" fontId="42" fillId="10" borderId="2" xfId="9" applyNumberFormat="1" applyFont="1" applyFill="1" applyBorder="1" applyAlignment="1">
      <alignment horizontal="center"/>
    </xf>
    <xf numFmtId="171" fontId="43" fillId="0" borderId="2" xfId="9" applyNumberFormat="1" applyFont="1" applyBorder="1" applyAlignment="1">
      <alignment horizontal="center"/>
    </xf>
    <xf numFmtId="0" fontId="42" fillId="0" borderId="6" xfId="9" applyFont="1" applyBorder="1" applyAlignment="1">
      <alignment vertical="center" wrapText="1"/>
    </xf>
    <xf numFmtId="0" fontId="42" fillId="10" borderId="13" xfId="9" applyFont="1" applyFill="1" applyBorder="1" applyAlignment="1">
      <alignment horizontal="center" vertical="center"/>
    </xf>
    <xf numFmtId="0" fontId="42" fillId="0" borderId="0" xfId="9" applyFont="1" applyAlignment="1">
      <alignment vertical="center" wrapText="1"/>
    </xf>
    <xf numFmtId="0" fontId="42" fillId="0" borderId="11" xfId="9" applyFont="1" applyBorder="1" applyAlignment="1">
      <alignment horizontal="center" vertical="center" wrapText="1"/>
    </xf>
    <xf numFmtId="171" fontId="42" fillId="10" borderId="7" xfId="9" applyNumberFormat="1" applyFont="1" applyFill="1" applyBorder="1" applyAlignment="1">
      <alignment horizontal="center"/>
    </xf>
    <xf numFmtId="0" fontId="45" fillId="5" borderId="8" xfId="10" applyFont="1" applyFill="1" applyBorder="1" applyAlignment="1">
      <alignment horizontal="justify" vertical="center"/>
    </xf>
    <xf numFmtId="0" fontId="45" fillId="5" borderId="15" xfId="10" applyFont="1" applyFill="1" applyBorder="1" applyAlignment="1">
      <alignment horizontal="justify" vertical="center"/>
    </xf>
    <xf numFmtId="171" fontId="45" fillId="5" borderId="21" xfId="10" applyNumberFormat="1" applyFont="1" applyFill="1" applyBorder="1" applyAlignment="1" applyProtection="1">
      <alignment vertical="center"/>
      <protection locked="0"/>
    </xf>
    <xf numFmtId="171" fontId="45" fillId="5" borderId="21" xfId="8" applyNumberFormat="1" applyFont="1" applyFill="1" applyBorder="1" applyAlignment="1" applyProtection="1">
      <alignment vertical="center"/>
      <protection locked="0"/>
    </xf>
    <xf numFmtId="168" fontId="14" fillId="21" borderId="3" xfId="2" applyFont="1" applyFill="1" applyBorder="1" applyProtection="1"/>
    <xf numFmtId="171" fontId="47" fillId="0" borderId="0" xfId="9" applyNumberFormat="1" applyFont="1"/>
    <xf numFmtId="0" fontId="43" fillId="5" borderId="2" xfId="9" applyFont="1" applyFill="1" applyBorder="1" applyAlignment="1">
      <alignment horizontal="center" vertical="center"/>
    </xf>
    <xf numFmtId="0" fontId="43" fillId="5" borderId="11" xfId="9" applyFont="1" applyFill="1" applyBorder="1" applyAlignment="1">
      <alignment horizontal="center" vertical="center"/>
    </xf>
    <xf numFmtId="168" fontId="42" fillId="0" borderId="7" xfId="8" applyFont="1" applyBorder="1"/>
    <xf numFmtId="168" fontId="42" fillId="0" borderId="0" xfId="8" applyFont="1"/>
    <xf numFmtId="168" fontId="42" fillId="6" borderId="14" xfId="8" applyFont="1" applyFill="1" applyBorder="1"/>
    <xf numFmtId="168" fontId="42" fillId="6" borderId="0" xfId="8" applyFont="1" applyFill="1"/>
    <xf numFmtId="0" fontId="43" fillId="0" borderId="2" xfId="9" applyFont="1" applyBorder="1"/>
    <xf numFmtId="0" fontId="43" fillId="0" borderId="11" xfId="9" applyFont="1" applyBorder="1"/>
    <xf numFmtId="49" fontId="14" fillId="3" borderId="2" xfId="2" applyNumberFormat="1" applyFont="1" applyFill="1" applyBorder="1" applyAlignment="1" applyProtection="1">
      <alignment horizontal="center"/>
    </xf>
    <xf numFmtId="49" fontId="14" fillId="3" borderId="9" xfId="2" applyNumberFormat="1" applyFont="1" applyFill="1" applyBorder="1"/>
    <xf numFmtId="49" fontId="14" fillId="4" borderId="0" xfId="2" applyNumberFormat="1" applyFont="1" applyFill="1"/>
    <xf numFmtId="0" fontId="14" fillId="4" borderId="0" xfId="0" applyFont="1" applyFill="1" applyAlignment="1">
      <alignment horizontal="center"/>
    </xf>
    <xf numFmtId="168" fontId="29" fillId="0" borderId="0" xfId="2" applyFont="1" applyFill="1" applyProtection="1">
      <protection locked="0"/>
    </xf>
    <xf numFmtId="49" fontId="29" fillId="0" borderId="0" xfId="10" applyNumberFormat="1" applyFont="1" applyProtection="1">
      <protection locked="0"/>
    </xf>
    <xf numFmtId="0" fontId="37" fillId="0" borderId="0" xfId="10" applyFont="1" applyProtection="1">
      <protection locked="0"/>
    </xf>
    <xf numFmtId="168" fontId="14" fillId="0" borderId="0" xfId="2" applyFont="1" applyBorder="1" applyAlignment="1">
      <alignment horizontal="center"/>
    </xf>
    <xf numFmtId="168" fontId="14" fillId="7" borderId="0" xfId="2" applyFont="1" applyFill="1" applyBorder="1"/>
    <xf numFmtId="168" fontId="28" fillId="0" borderId="0" xfId="2" applyFont="1" applyBorder="1" applyAlignment="1">
      <alignment horizontal="center"/>
    </xf>
    <xf numFmtId="164" fontId="14" fillId="0" borderId="0" xfId="2" applyNumberFormat="1" applyFont="1" applyBorder="1"/>
    <xf numFmtId="0" fontId="14" fillId="10" borderId="0" xfId="4" applyFont="1" applyFill="1" applyAlignment="1">
      <alignment horizontal="center" vertical="top"/>
    </xf>
    <xf numFmtId="0" fontId="14" fillId="10" borderId="0" xfId="4" applyFont="1" applyFill="1" applyAlignment="1">
      <alignment vertical="top"/>
    </xf>
    <xf numFmtId="168" fontId="14" fillId="10" borderId="0" xfId="2" applyFont="1" applyFill="1" applyBorder="1" applyProtection="1">
      <protection locked="0"/>
    </xf>
    <xf numFmtId="0" fontId="14" fillId="10" borderId="0" xfId="0" applyFont="1" applyFill="1" applyAlignment="1">
      <alignment horizontal="center"/>
    </xf>
    <xf numFmtId="0" fontId="14" fillId="10" borderId="0" xfId="0" applyFont="1" applyFill="1"/>
    <xf numFmtId="49" fontId="14" fillId="10" borderId="0" xfId="2" applyNumberFormat="1" applyFont="1" applyFill="1" applyBorder="1" applyAlignment="1" applyProtection="1">
      <alignment horizontal="center" wrapText="1"/>
    </xf>
    <xf numFmtId="37" fontId="18" fillId="21" borderId="6" xfId="3" applyFont="1" applyFill="1" applyBorder="1" applyAlignment="1">
      <alignment horizontal="center" wrapText="1"/>
    </xf>
    <xf numFmtId="49" fontId="14" fillId="21" borderId="6" xfId="2" applyNumberFormat="1" applyFont="1" applyFill="1" applyBorder="1" applyAlignment="1">
      <alignment horizontal="center" wrapText="1"/>
    </xf>
    <xf numFmtId="0" fontId="14" fillId="21" borderId="6" xfId="0" applyFont="1" applyFill="1" applyBorder="1" applyAlignment="1">
      <alignment horizontal="center" wrapText="1"/>
    </xf>
    <xf numFmtId="0" fontId="14" fillId="21" borderId="6" xfId="0" applyFont="1" applyFill="1" applyBorder="1" applyAlignment="1">
      <alignment horizontal="left"/>
    </xf>
    <xf numFmtId="37" fontId="14" fillId="0" borderId="0" xfId="3" applyFont="1"/>
    <xf numFmtId="43" fontId="17" fillId="8" borderId="0" xfId="16" applyNumberFormat="1" applyFont="1" applyFill="1" applyAlignment="1">
      <alignment horizontal="center"/>
    </xf>
    <xf numFmtId="43" fontId="17" fillId="8" borderId="0" xfId="16" applyNumberFormat="1" applyFont="1" applyFill="1"/>
    <xf numFmtId="49" fontId="17" fillId="8" borderId="0" xfId="16" applyNumberFormat="1" applyFont="1" applyFill="1"/>
    <xf numFmtId="0" fontId="17" fillId="0" borderId="0" xfId="10" applyFont="1" applyProtection="1">
      <protection locked="0"/>
    </xf>
    <xf numFmtId="0" fontId="17" fillId="0" borderId="0" xfId="10" applyFont="1"/>
    <xf numFmtId="37" fontId="16" fillId="8" borderId="0" xfId="3" applyFont="1" applyFill="1"/>
    <xf numFmtId="0" fontId="43" fillId="6" borderId="2" xfId="9" applyFont="1" applyFill="1" applyBorder="1" applyAlignment="1">
      <alignment horizontal="center" vertical="center" wrapText="1"/>
    </xf>
    <xf numFmtId="0" fontId="42" fillId="0" borderId="2" xfId="9" applyFont="1" applyBorder="1" applyAlignment="1">
      <alignment horizontal="left" vertical="center"/>
    </xf>
    <xf numFmtId="168" fontId="42" fillId="0" borderId="2" xfId="2" applyFont="1" applyBorder="1" applyAlignment="1">
      <alignment horizontal="left" vertical="center"/>
    </xf>
    <xf numFmtId="0" fontId="42" fillId="0" borderId="2" xfId="9" applyFont="1" applyBorder="1"/>
    <xf numFmtId="168" fontId="0" fillId="0" borderId="0" xfId="2" applyFont="1"/>
    <xf numFmtId="168" fontId="50" fillId="0" borderId="0" xfId="2" applyFont="1"/>
    <xf numFmtId="49" fontId="14" fillId="7" borderId="0" xfId="2" applyNumberFormat="1" applyFont="1" applyFill="1" applyBorder="1" applyAlignment="1" applyProtection="1">
      <alignment horizontal="center" wrapText="1"/>
    </xf>
    <xf numFmtId="37" fontId="18" fillId="7" borderId="0" xfId="3" applyFont="1" applyFill="1" applyAlignment="1">
      <alignment horizontal="center" wrapText="1"/>
    </xf>
    <xf numFmtId="49" fontId="14" fillId="14" borderId="0" xfId="2" applyNumberFormat="1" applyFont="1" applyFill="1" applyBorder="1" applyAlignment="1" applyProtection="1">
      <alignment horizontal="center" wrapText="1"/>
    </xf>
    <xf numFmtId="168" fontId="29" fillId="7" borderId="2" xfId="2" applyFont="1" applyFill="1" applyBorder="1" applyAlignment="1" applyProtection="1">
      <alignment horizontal="right"/>
      <protection locked="0"/>
    </xf>
    <xf numFmtId="0" fontId="50" fillId="7" borderId="0" xfId="56" applyFont="1" applyFill="1"/>
    <xf numFmtId="165" fontId="50" fillId="7" borderId="0" xfId="57" applyFont="1" applyFill="1"/>
    <xf numFmtId="49" fontId="52" fillId="8" borderId="0" xfId="17" applyNumberFormat="1" applyFont="1" applyFill="1" applyAlignment="1">
      <alignment horizontal="center"/>
    </xf>
    <xf numFmtId="176" fontId="18" fillId="21" borderId="16" xfId="15" applyNumberFormat="1" applyFont="1" applyFill="1" applyBorder="1" applyAlignment="1">
      <alignment horizontal="center" vertical="center" wrapText="1"/>
    </xf>
    <xf numFmtId="168" fontId="18" fillId="21" borderId="16" xfId="2" applyFont="1" applyFill="1" applyBorder="1" applyAlignment="1">
      <alignment horizontal="center" vertical="center" wrapText="1"/>
    </xf>
    <xf numFmtId="49" fontId="18" fillId="21" borderId="16" xfId="2" applyNumberFormat="1" applyFont="1" applyFill="1" applyBorder="1" applyAlignment="1">
      <alignment horizontal="center" vertical="center" wrapText="1"/>
    </xf>
    <xf numFmtId="1" fontId="18" fillId="21" borderId="16" xfId="15" applyNumberFormat="1" applyFont="1" applyFill="1" applyBorder="1" applyAlignment="1">
      <alignment horizontal="left" vertical="center"/>
    </xf>
    <xf numFmtId="168" fontId="18" fillId="21" borderId="0" xfId="2" applyFont="1" applyFill="1" applyBorder="1" applyAlignment="1">
      <alignment horizontal="center" vertical="center" wrapText="1"/>
    </xf>
    <xf numFmtId="1" fontId="18" fillId="21" borderId="16" xfId="15" applyNumberFormat="1" applyFont="1" applyFill="1" applyBorder="1" applyAlignment="1">
      <alignment horizontal="left" vertical="center" wrapText="1"/>
    </xf>
    <xf numFmtId="37" fontId="18" fillId="21" borderId="10" xfId="3" applyFont="1" applyFill="1" applyBorder="1" applyAlignment="1">
      <alignment horizontal="center"/>
    </xf>
    <xf numFmtId="37" fontId="18" fillId="21" borderId="6" xfId="3" applyFont="1" applyFill="1" applyBorder="1"/>
    <xf numFmtId="0" fontId="50" fillId="0" borderId="0" xfId="56" applyFont="1"/>
    <xf numFmtId="165" fontId="50" fillId="0" borderId="0" xfId="57" applyFont="1"/>
    <xf numFmtId="168" fontId="18" fillId="11" borderId="0" xfId="2" applyFont="1" applyFill="1" applyBorder="1" applyAlignment="1">
      <alignment horizontal="center" vertical="center" wrapText="1"/>
    </xf>
    <xf numFmtId="0" fontId="8" fillId="10" borderId="0" xfId="0" applyFont="1" applyFill="1"/>
    <xf numFmtId="168" fontId="8" fillId="10" borderId="0" xfId="2" applyFont="1" applyFill="1"/>
    <xf numFmtId="168" fontId="8" fillId="14" borderId="0" xfId="2" applyFont="1" applyFill="1"/>
    <xf numFmtId="0" fontId="8" fillId="7" borderId="0" xfId="0" applyFont="1" applyFill="1"/>
    <xf numFmtId="0" fontId="14" fillId="0" borderId="0" xfId="4" applyFont="1" applyAlignment="1">
      <alignment horizontal="center" vertical="top"/>
    </xf>
    <xf numFmtId="0" fontId="14" fillId="0" borderId="0" xfId="4" applyFont="1" applyAlignment="1">
      <alignment vertical="top"/>
    </xf>
    <xf numFmtId="168" fontId="14" fillId="0" borderId="0" xfId="2" applyFont="1" applyFill="1" applyBorder="1" applyProtection="1">
      <protection locked="0"/>
    </xf>
    <xf numFmtId="168" fontId="14" fillId="3" borderId="2" xfId="2" applyFont="1" applyFill="1" applyBorder="1"/>
    <xf numFmtId="168" fontId="14" fillId="3" borderId="20" xfId="2" applyFont="1" applyFill="1" applyBorder="1"/>
    <xf numFmtId="0" fontId="51" fillId="0" borderId="0" xfId="0" applyFont="1"/>
    <xf numFmtId="168" fontId="51" fillId="0" borderId="0" xfId="2" applyFont="1"/>
    <xf numFmtId="168" fontId="51" fillId="0" borderId="0" xfId="8" applyFont="1"/>
    <xf numFmtId="168" fontId="8" fillId="7" borderId="0" xfId="2" applyFont="1" applyFill="1"/>
    <xf numFmtId="168" fontId="51" fillId="7" borderId="0" xfId="8" applyFont="1" applyFill="1"/>
    <xf numFmtId="168" fontId="8" fillId="0" borderId="0" xfId="2" applyFont="1"/>
    <xf numFmtId="43" fontId="50" fillId="0" borderId="0" xfId="59" applyFont="1"/>
    <xf numFmtId="0" fontId="8" fillId="0" borderId="0" xfId="0" applyFont="1"/>
    <xf numFmtId="168" fontId="51" fillId="14" borderId="0" xfId="8" applyFont="1" applyFill="1"/>
    <xf numFmtId="168" fontId="29" fillId="14" borderId="2" xfId="2" applyFont="1" applyFill="1" applyBorder="1" applyAlignment="1" applyProtection="1">
      <alignment horizontal="right"/>
      <protection locked="0"/>
    </xf>
    <xf numFmtId="0" fontId="29" fillId="12" borderId="2" xfId="10" applyFont="1" applyFill="1" applyBorder="1" applyAlignment="1" applyProtection="1">
      <alignment horizontal="left"/>
      <protection locked="0"/>
    </xf>
    <xf numFmtId="0" fontId="32" fillId="9" borderId="2" xfId="10" applyFont="1" applyFill="1" applyBorder="1" applyAlignment="1" applyProtection="1">
      <alignment horizontal="left"/>
      <protection locked="0"/>
    </xf>
    <xf numFmtId="0" fontId="36" fillId="4" borderId="0" xfId="10" applyFont="1" applyFill="1" applyAlignment="1" applyProtection="1">
      <alignment horizontal="center" vertical="center"/>
      <protection locked="0"/>
    </xf>
    <xf numFmtId="0" fontId="38" fillId="14" borderId="2" xfId="10" applyFont="1" applyFill="1" applyBorder="1" applyAlignment="1" applyProtection="1">
      <alignment horizontal="left"/>
      <protection locked="0"/>
    </xf>
    <xf numFmtId="0" fontId="34" fillId="9" borderId="2" xfId="10" applyFont="1" applyFill="1" applyBorder="1" applyAlignment="1" applyProtection="1">
      <alignment horizontal="left"/>
      <protection locked="0"/>
    </xf>
    <xf numFmtId="0" fontId="14" fillId="12" borderId="2" xfId="10" applyFont="1" applyFill="1" applyBorder="1" applyAlignment="1" applyProtection="1">
      <alignment horizontal="left"/>
      <protection locked="0"/>
    </xf>
    <xf numFmtId="0" fontId="26" fillId="12" borderId="2" xfId="10" applyFont="1" applyFill="1" applyBorder="1" applyAlignment="1" applyProtection="1">
      <alignment horizontal="center"/>
      <protection locked="0"/>
    </xf>
    <xf numFmtId="0" fontId="29" fillId="12" borderId="2" xfId="10" applyFont="1" applyFill="1" applyBorder="1" applyProtection="1">
      <protection locked="0"/>
    </xf>
    <xf numFmtId="0" fontId="26" fillId="12" borderId="2" xfId="10" applyFont="1" applyFill="1" applyBorder="1" applyAlignment="1" applyProtection="1">
      <alignment horizontal="left"/>
      <protection locked="0"/>
    </xf>
    <xf numFmtId="0" fontId="26" fillId="12" borderId="2" xfId="10" applyFont="1" applyFill="1" applyBorder="1" applyProtection="1">
      <protection locked="0"/>
    </xf>
    <xf numFmtId="0" fontId="38" fillId="14" borderId="2" xfId="10" applyFont="1" applyFill="1" applyBorder="1" applyProtection="1">
      <protection locked="0"/>
    </xf>
    <xf numFmtId="0" fontId="34" fillId="9" borderId="2" xfId="10" applyFont="1" applyFill="1" applyBorder="1" applyAlignment="1" applyProtection="1">
      <alignment horizontal="center"/>
      <protection locked="0"/>
    </xf>
    <xf numFmtId="0" fontId="34" fillId="9" borderId="2" xfId="10" applyFont="1" applyFill="1" applyBorder="1" applyProtection="1">
      <protection locked="0"/>
    </xf>
    <xf numFmtId="0" fontId="32" fillId="9" borderId="2" xfId="10" applyFont="1" applyFill="1" applyBorder="1" applyAlignment="1" applyProtection="1">
      <alignment horizontal="center"/>
      <protection locked="0"/>
    </xf>
    <xf numFmtId="0" fontId="33" fillId="14" borderId="2" xfId="10" applyFont="1" applyFill="1" applyBorder="1" applyAlignment="1" applyProtection="1">
      <alignment horizontal="left" vertical="center"/>
      <protection locked="0"/>
    </xf>
    <xf numFmtId="49" fontId="26" fillId="14" borderId="2" xfId="10" applyNumberFormat="1" applyFont="1" applyFill="1" applyBorder="1" applyAlignment="1" applyProtection="1">
      <alignment horizontal="center" vertical="center" wrapText="1"/>
      <protection locked="0"/>
    </xf>
    <xf numFmtId="0" fontId="32" fillId="4" borderId="2" xfId="10" applyFont="1" applyFill="1" applyBorder="1" applyAlignment="1" applyProtection="1">
      <alignment horizontal="center"/>
      <protection locked="0"/>
    </xf>
    <xf numFmtId="0" fontId="41" fillId="4" borderId="2" xfId="10" applyFont="1" applyFill="1" applyBorder="1" applyProtection="1">
      <protection locked="0"/>
    </xf>
    <xf numFmtId="49" fontId="26" fillId="4" borderId="2" xfId="10" applyNumberFormat="1" applyFont="1" applyFill="1" applyBorder="1" applyAlignment="1" applyProtection="1">
      <alignment horizontal="center" vertical="center"/>
      <protection locked="0"/>
    </xf>
    <xf numFmtId="0" fontId="41" fillId="12" borderId="2" xfId="10" applyFont="1" applyFill="1" applyBorder="1" applyAlignment="1" applyProtection="1">
      <alignment horizontal="center"/>
      <protection locked="0"/>
    </xf>
    <xf numFmtId="0" fontId="41" fillId="4" borderId="2" xfId="10" applyFont="1" applyFill="1" applyBorder="1" applyAlignment="1" applyProtection="1">
      <alignment horizontal="center"/>
      <protection locked="0"/>
    </xf>
    <xf numFmtId="0" fontId="32" fillId="9" borderId="2" xfId="10" applyFont="1" applyFill="1" applyBorder="1" applyProtection="1">
      <protection locked="0"/>
    </xf>
    <xf numFmtId="0" fontId="33" fillId="14" borderId="10" xfId="10" applyFont="1" applyFill="1" applyBorder="1" applyAlignment="1" applyProtection="1">
      <alignment horizontal="left"/>
      <protection locked="0"/>
    </xf>
    <xf numFmtId="0" fontId="33" fillId="14" borderId="6" xfId="10" applyFont="1" applyFill="1" applyBorder="1" applyAlignment="1" applyProtection="1">
      <alignment horizontal="left"/>
      <protection locked="0"/>
    </xf>
    <xf numFmtId="0" fontId="33" fillId="14" borderId="11" xfId="10" applyFont="1" applyFill="1" applyBorder="1" applyAlignment="1" applyProtection="1">
      <alignment horizontal="left"/>
      <protection locked="0"/>
    </xf>
    <xf numFmtId="0" fontId="38" fillId="4" borderId="2" xfId="10" applyFont="1" applyFill="1" applyBorder="1" applyAlignment="1" applyProtection="1">
      <alignment horizontal="center"/>
      <protection locked="0"/>
    </xf>
    <xf numFmtId="0" fontId="38" fillId="14" borderId="10" xfId="10" applyFont="1" applyFill="1" applyBorder="1" applyAlignment="1" applyProtection="1">
      <alignment horizontal="left"/>
      <protection locked="0"/>
    </xf>
    <xf numFmtId="0" fontId="38" fillId="14" borderId="6" xfId="10" applyFont="1" applyFill="1" applyBorder="1" applyAlignment="1" applyProtection="1">
      <alignment horizontal="left"/>
      <protection locked="0"/>
    </xf>
    <xf numFmtId="0" fontId="38" fillId="14" borderId="11" xfId="10" applyFont="1" applyFill="1" applyBorder="1" applyAlignment="1" applyProtection="1">
      <alignment horizontal="left"/>
      <protection locked="0"/>
    </xf>
    <xf numFmtId="0" fontId="29" fillId="7" borderId="2" xfId="10" applyFont="1" applyFill="1" applyBorder="1" applyAlignment="1" applyProtection="1">
      <alignment horizontal="left"/>
      <protection locked="0"/>
    </xf>
    <xf numFmtId="0" fontId="29" fillId="0" borderId="2" xfId="10" applyFont="1" applyBorder="1" applyProtection="1">
      <protection locked="0"/>
    </xf>
    <xf numFmtId="0" fontId="26" fillId="0" borderId="2" xfId="10" applyFont="1" applyBorder="1" applyProtection="1">
      <protection locked="0"/>
    </xf>
    <xf numFmtId="0" fontId="26" fillId="4" borderId="2" xfId="10" applyFont="1" applyFill="1" applyBorder="1" applyProtection="1">
      <protection locked="0"/>
    </xf>
    <xf numFmtId="0" fontId="26" fillId="4" borderId="2" xfId="10" applyFont="1" applyFill="1" applyBorder="1" applyAlignment="1" applyProtection="1">
      <alignment wrapText="1"/>
      <protection locked="0"/>
    </xf>
    <xf numFmtId="0" fontId="29" fillId="7" borderId="2" xfId="10" applyFont="1" applyFill="1" applyBorder="1" applyProtection="1">
      <protection locked="0"/>
    </xf>
    <xf numFmtId="0" fontId="26" fillId="0" borderId="10" xfId="10" applyFont="1" applyBorder="1" applyAlignment="1" applyProtection="1">
      <alignment horizontal="left" vertical="center"/>
      <protection locked="0"/>
    </xf>
    <xf numFmtId="0" fontId="26" fillId="0" borderId="6" xfId="10" applyFont="1" applyBorder="1" applyAlignment="1" applyProtection="1">
      <alignment horizontal="left" vertical="center"/>
      <protection locked="0"/>
    </xf>
    <xf numFmtId="0" fontId="26" fillId="0" borderId="11" xfId="10" applyFont="1" applyBorder="1" applyAlignment="1" applyProtection="1">
      <alignment horizontal="left" vertical="center"/>
      <protection locked="0"/>
    </xf>
    <xf numFmtId="0" fontId="26" fillId="0" borderId="10" xfId="10" applyFont="1" applyBorder="1" applyAlignment="1" applyProtection="1">
      <alignment horizontal="left"/>
      <protection locked="0"/>
    </xf>
    <xf numFmtId="0" fontId="26" fillId="0" borderId="6" xfId="10" applyFont="1" applyBorder="1" applyAlignment="1" applyProtection="1">
      <alignment horizontal="left"/>
      <protection locked="0"/>
    </xf>
    <xf numFmtId="0" fontId="26" fillId="0" borderId="11" xfId="10" applyFont="1" applyBorder="1" applyAlignment="1" applyProtection="1">
      <alignment horizontal="left"/>
      <protection locked="0"/>
    </xf>
    <xf numFmtId="0" fontId="26" fillId="0" borderId="10" xfId="10" applyFont="1" applyBorder="1" applyAlignment="1" applyProtection="1">
      <alignment horizontal="justify" vertical="top" wrapText="1"/>
      <protection locked="0"/>
    </xf>
    <xf numFmtId="0" fontId="26" fillId="0" borderId="6" xfId="10" applyFont="1" applyBorder="1" applyAlignment="1" applyProtection="1">
      <alignment horizontal="justify" vertical="top" wrapText="1"/>
      <protection locked="0"/>
    </xf>
    <xf numFmtId="0" fontId="26" fillId="0" borderId="11" xfId="10" applyFont="1" applyBorder="1" applyAlignment="1" applyProtection="1">
      <alignment horizontal="justify" vertical="top" wrapText="1"/>
      <protection locked="0"/>
    </xf>
    <xf numFmtId="0" fontId="33" fillId="0" borderId="2" xfId="10" applyFont="1" applyBorder="1" applyProtection="1">
      <protection locked="0"/>
    </xf>
    <xf numFmtId="0" fontId="33" fillId="0" borderId="10" xfId="10" applyFont="1" applyBorder="1" applyAlignment="1" applyProtection="1">
      <alignment horizontal="left" vertical="center"/>
      <protection locked="0"/>
    </xf>
    <xf numFmtId="0" fontId="33" fillId="0" borderId="6" xfId="10" applyFont="1" applyBorder="1" applyAlignment="1" applyProtection="1">
      <alignment horizontal="left" vertical="center"/>
      <protection locked="0"/>
    </xf>
    <xf numFmtId="0" fontId="33" fillId="0" borderId="11" xfId="10" applyFont="1" applyBorder="1" applyAlignment="1" applyProtection="1">
      <alignment horizontal="left" vertical="center"/>
      <protection locked="0"/>
    </xf>
    <xf numFmtId="0" fontId="29" fillId="4" borderId="10" xfId="10" applyFont="1" applyFill="1" applyBorder="1" applyProtection="1">
      <protection locked="0"/>
    </xf>
    <xf numFmtId="0" fontId="29" fillId="4" borderId="6" xfId="10" applyFont="1" applyFill="1" applyBorder="1" applyProtection="1">
      <protection locked="0"/>
    </xf>
    <xf numFmtId="0" fontId="29" fillId="4" borderId="11" xfId="10" applyFont="1" applyFill="1" applyBorder="1" applyProtection="1">
      <protection locked="0"/>
    </xf>
    <xf numFmtId="0" fontId="26" fillId="4" borderId="2" xfId="10" applyFont="1" applyFill="1" applyBorder="1" applyAlignment="1" applyProtection="1">
      <alignment horizontal="left" vertical="center"/>
      <protection locked="0"/>
    </xf>
    <xf numFmtId="0" fontId="33" fillId="4" borderId="2" xfId="10" applyFont="1" applyFill="1" applyBorder="1" applyAlignment="1" applyProtection="1">
      <alignment horizontal="left" vertical="center"/>
      <protection locked="0"/>
    </xf>
    <xf numFmtId="0" fontId="33" fillId="14" borderId="2" xfId="10" applyFont="1" applyFill="1" applyBorder="1" applyProtection="1">
      <protection locked="0"/>
    </xf>
    <xf numFmtId="0" fontId="33" fillId="16" borderId="2" xfId="10" applyFont="1" applyFill="1" applyBorder="1" applyAlignment="1" applyProtection="1">
      <alignment horizontal="left" vertical="center"/>
      <protection locked="0"/>
    </xf>
    <xf numFmtId="0" fontId="43" fillId="6" borderId="2" xfId="9" applyFont="1" applyFill="1" applyBorder="1" applyAlignment="1">
      <alignment horizontal="center" vertical="center" wrapText="1"/>
    </xf>
  </cellXfs>
  <cellStyles count="60">
    <cellStyle name="60% - Énfasis4 2" xfId="23" xr:uid="{00000000-0005-0000-0000-000002000000}"/>
    <cellStyle name="Comma 13" xfId="21" xr:uid="{00000000-0005-0000-0000-000003000000}"/>
    <cellStyle name="Comma 18" xfId="22" xr:uid="{00000000-0005-0000-0000-000004000000}"/>
    <cellStyle name="Comma 18 2" xfId="46" xr:uid="{00000000-0005-0000-0000-000005000000}"/>
    <cellStyle name="Comma 2" xfId="36" xr:uid="{00000000-0005-0000-0000-000006000000}"/>
    <cellStyle name="Excel_BuiltIn_Texto explicativo 1" xfId="41" xr:uid="{00000000-0005-0000-0000-000008000000}"/>
    <cellStyle name="Heading" xfId="1" xr:uid="{00000000-0005-0000-0000-000009000000}"/>
    <cellStyle name="Hipervínculo 2" xfId="33" xr:uid="{00000000-0005-0000-0000-00000B000000}"/>
    <cellStyle name="Hipervínculo 3" xfId="40" xr:uid="{00000000-0005-0000-0000-00000C000000}"/>
    <cellStyle name="Millares" xfId="2" builtinId="3"/>
    <cellStyle name="Millares 10" xfId="53" xr:uid="{00000000-0005-0000-0000-00000E000000}"/>
    <cellStyle name="Millares 11" xfId="54" xr:uid="{00000000-0005-0000-0000-00000F000000}"/>
    <cellStyle name="Millares 12" xfId="52" xr:uid="{00000000-0005-0000-0000-000010000000}"/>
    <cellStyle name="Millares 13" xfId="55" xr:uid="{00000000-0005-0000-0000-000011000000}"/>
    <cellStyle name="Millares 14" xfId="57" xr:uid="{00000000-0005-0000-0000-000012000000}"/>
    <cellStyle name="Millares 15" xfId="59" xr:uid="{3253A50F-7205-41A1-81BB-CC08797392AE}"/>
    <cellStyle name="Millares 2" xfId="8" xr:uid="{00000000-0005-0000-0000-000013000000}"/>
    <cellStyle name="Millares 2 2" xfId="14" xr:uid="{00000000-0005-0000-0000-000014000000}"/>
    <cellStyle name="Millares 2 2 2" xfId="35" xr:uid="{00000000-0005-0000-0000-000015000000}"/>
    <cellStyle name="Millares 2 3" xfId="45" xr:uid="{00000000-0005-0000-0000-000016000000}"/>
    <cellStyle name="Millares 3" xfId="15" xr:uid="{00000000-0005-0000-0000-000017000000}"/>
    <cellStyle name="Millares 3 2" xfId="32" xr:uid="{00000000-0005-0000-0000-000018000000}"/>
    <cellStyle name="Millares 4" xfId="16" xr:uid="{00000000-0005-0000-0000-000019000000}"/>
    <cellStyle name="Millares 5" xfId="18" xr:uid="{00000000-0005-0000-0000-00001A000000}"/>
    <cellStyle name="Millares 6" xfId="34" xr:uid="{00000000-0005-0000-0000-00001B000000}"/>
    <cellStyle name="Millares 7" xfId="43" xr:uid="{00000000-0005-0000-0000-00001C000000}"/>
    <cellStyle name="Millares 8" xfId="48" xr:uid="{00000000-0005-0000-0000-00001D000000}"/>
    <cellStyle name="Millares 9" xfId="50" xr:uid="{00000000-0005-0000-0000-00001E000000}"/>
    <cellStyle name="Moneda" xfId="38" builtinId="4"/>
    <cellStyle name="Moneda 2" xfId="12" xr:uid="{00000000-0005-0000-0000-000020000000}"/>
    <cellStyle name="Normal" xfId="0" builtinId="0"/>
    <cellStyle name="Normal 10" xfId="51" xr:uid="{00000000-0005-0000-0000-000022000000}"/>
    <cellStyle name="Normal 10 2 11" xfId="39" xr:uid="{00000000-0005-0000-0000-000023000000}"/>
    <cellStyle name="Normal 11" xfId="56" xr:uid="{00000000-0005-0000-0000-000024000000}"/>
    <cellStyle name="Normal 12" xfId="58" xr:uid="{6FCF0DF7-DA40-4129-88BF-809213E22DD8}"/>
    <cellStyle name="Normal 2" xfId="9" xr:uid="{00000000-0005-0000-0000-000025000000}"/>
    <cellStyle name="Normal 2 14" xfId="37" xr:uid="{00000000-0005-0000-0000-000026000000}"/>
    <cellStyle name="Normal 2 2" xfId="28" xr:uid="{00000000-0005-0000-0000-000027000000}"/>
    <cellStyle name="Normal 3" xfId="10" xr:uid="{00000000-0005-0000-0000-000028000000}"/>
    <cellStyle name="Normal 3 2" xfId="27" xr:uid="{00000000-0005-0000-0000-000029000000}"/>
    <cellStyle name="Normal 4" xfId="26" xr:uid="{00000000-0005-0000-0000-00002A000000}"/>
    <cellStyle name="Normal 4 2" xfId="42" xr:uid="{00000000-0005-0000-0000-00002B000000}"/>
    <cellStyle name="Normal 5" xfId="7" xr:uid="{00000000-0005-0000-0000-00002C000000}"/>
    <cellStyle name="Normal 6" xfId="24" xr:uid="{00000000-0005-0000-0000-00002D000000}"/>
    <cellStyle name="Normal 6 2 2" xfId="30" xr:uid="{00000000-0005-0000-0000-00002E000000}"/>
    <cellStyle name="Normal 7" xfId="25" xr:uid="{00000000-0005-0000-0000-00002F000000}"/>
    <cellStyle name="Normal 8" xfId="47" xr:uid="{00000000-0005-0000-0000-000030000000}"/>
    <cellStyle name="Normal 9" xfId="49" xr:uid="{00000000-0005-0000-0000-000031000000}"/>
    <cellStyle name="Normal_Calculo anticipo 2008" xfId="17" xr:uid="{00000000-0005-0000-0000-000032000000}"/>
    <cellStyle name="Normal_CMA Worksheet" xfId="3" xr:uid="{00000000-0005-0000-0000-000033000000}"/>
    <cellStyle name="Normal_FCRP Proposal v3.0" xfId="4" xr:uid="{00000000-0005-0000-0000-000034000000}"/>
    <cellStyle name="Percent (0)" xfId="5" xr:uid="{00000000-0005-0000-0000-000036000000}"/>
    <cellStyle name="Percent (0) 2" xfId="44" xr:uid="{00000000-0005-0000-0000-000037000000}"/>
    <cellStyle name="Percent 2" xfId="13" xr:uid="{00000000-0005-0000-0000-000038000000}"/>
    <cellStyle name="Porcentaje" xfId="20" builtinId="5"/>
    <cellStyle name="Porcentaje 2" xfId="11" xr:uid="{00000000-0005-0000-0000-00003A000000}"/>
    <cellStyle name="Porcentaje 2 2 2" xfId="31" xr:uid="{00000000-0005-0000-0000-00003B000000}"/>
    <cellStyle name="Porcentaje 3" xfId="29" xr:uid="{00000000-0005-0000-0000-00003C000000}"/>
    <cellStyle name="Porcentual 2" xfId="19" xr:uid="{00000000-0005-0000-0000-00003D000000}"/>
    <cellStyle name="Tickmark" xfId="6" xr:uid="{00000000-0005-0000-0000-00003E000000}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B6876A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CT!F14"/><Relationship Id="rId2" Type="http://schemas.openxmlformats.org/officeDocument/2006/relationships/hyperlink" Target="#&#205;ndice!A1"/><Relationship Id="rId1" Type="http://schemas.openxmlformats.org/officeDocument/2006/relationships/image" Target="../media/image1.png"/><Relationship Id="rId4" Type="http://schemas.openxmlformats.org/officeDocument/2006/relationships/hyperlink" Target="#BC!D3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GND!H131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903654</xdr:colOff>
      <xdr:row>0</xdr:row>
      <xdr:rowOff>134327</xdr:rowOff>
    </xdr:from>
    <xdr:to>
      <xdr:col>14</xdr:col>
      <xdr:colOff>111014</xdr:colOff>
      <xdr:row>2</xdr:row>
      <xdr:rowOff>110507</xdr:rowOff>
    </xdr:to>
    <xdr:pic>
      <xdr:nvPicPr>
        <xdr:cNvPr id="2" name="Imagen 1" descr="D:\ABALT\Imagen corporativa ABALT\Logo ABALT\Logo 2019\Logo ABALT 2019 - blanco-01.png">
          <a:extLst>
            <a:ext uri="{FF2B5EF4-FFF2-40B4-BE49-F238E27FC236}">
              <a16:creationId xmlns:a16="http://schemas.microsoft.com/office/drawing/2014/main" id="{94BE0806-2621-4F9C-B3C7-9990E28410B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74327" y="329712"/>
          <a:ext cx="3359283" cy="67223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15</xdr:col>
      <xdr:colOff>217714</xdr:colOff>
      <xdr:row>0</xdr:row>
      <xdr:rowOff>149678</xdr:rowOff>
    </xdr:from>
    <xdr:to>
      <xdr:col>15</xdr:col>
      <xdr:colOff>884463</xdr:colOff>
      <xdr:row>1</xdr:row>
      <xdr:rowOff>144538</xdr:rowOff>
    </xdr:to>
    <xdr:sp macro="" textlink="">
      <xdr:nvSpPr>
        <xdr:cNvPr id="3" name="Redondear rectángulo de esquina del mismo l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81E3EF-4D02-46D2-A650-5CC79FEAB35C}"/>
            </a:ext>
          </a:extLst>
        </xdr:cNvPr>
        <xdr:cNvSpPr/>
      </xdr:nvSpPr>
      <xdr:spPr>
        <a:xfrm>
          <a:off x="18995571" y="149678"/>
          <a:ext cx="666749" cy="294217"/>
        </a:xfrm>
        <a:prstGeom prst="round2SameRect">
          <a:avLst/>
        </a:prstGeom>
        <a:ln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000" b="1">
              <a:solidFill>
                <a:schemeClr val="bg1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Indice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809626</xdr:colOff>
      <xdr:row>0</xdr:row>
      <xdr:rowOff>123825</xdr:rowOff>
    </xdr:from>
    <xdr:to>
      <xdr:col>14</xdr:col>
      <xdr:colOff>1154246</xdr:colOff>
      <xdr:row>2</xdr:row>
      <xdr:rowOff>105499</xdr:rowOff>
    </xdr:to>
    <xdr:pic>
      <xdr:nvPicPr>
        <xdr:cNvPr id="2" name="Imagen 1" descr="D:\ABALT\Imagen corporativa ABALT\Logo ABALT\Logo 2019\Logo ABALT 2019 - blanco-01.png">
          <a:extLst>
            <a:ext uri="{FF2B5EF4-FFF2-40B4-BE49-F238E27FC236}">
              <a16:creationId xmlns:a16="http://schemas.microsoft.com/office/drawing/2014/main" id="{66FEB224-342F-4226-B28C-D43717BA775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8226" y="123825"/>
          <a:ext cx="3211645" cy="67699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15</xdr:col>
      <xdr:colOff>107158</xdr:colOff>
      <xdr:row>0</xdr:row>
      <xdr:rowOff>71438</xdr:rowOff>
    </xdr:from>
    <xdr:to>
      <xdr:col>15</xdr:col>
      <xdr:colOff>775420</xdr:colOff>
      <xdr:row>0</xdr:row>
      <xdr:rowOff>441855</xdr:rowOff>
    </xdr:to>
    <xdr:sp macro="" textlink="">
      <xdr:nvSpPr>
        <xdr:cNvPr id="3" name="Redondear rectángulo de esquina del mismo l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CF85536-7631-465D-BDB8-67EA1066C93F}"/>
            </a:ext>
          </a:extLst>
        </xdr:cNvPr>
        <xdr:cNvSpPr/>
      </xdr:nvSpPr>
      <xdr:spPr>
        <a:xfrm>
          <a:off x="12025314" y="71438"/>
          <a:ext cx="668262" cy="370417"/>
        </a:xfrm>
        <a:prstGeom prst="round2SameRect">
          <a:avLst/>
        </a:prstGeom>
        <a:ln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000" b="1">
              <a:solidFill>
                <a:schemeClr val="bg1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Indice</a:t>
          </a:r>
        </a:p>
      </xdr:txBody>
    </xdr:sp>
    <xdr:clientData/>
  </xdr:twoCellAnchor>
  <xdr:twoCellAnchor editAs="oneCell">
    <xdr:from>
      <xdr:col>15</xdr:col>
      <xdr:colOff>95254</xdr:colOff>
      <xdr:row>1</xdr:row>
      <xdr:rowOff>59531</xdr:rowOff>
    </xdr:from>
    <xdr:to>
      <xdr:col>15</xdr:col>
      <xdr:colOff>440537</xdr:colOff>
      <xdr:row>2</xdr:row>
      <xdr:rowOff>88447</xdr:rowOff>
    </xdr:to>
    <xdr:sp macro="" textlink="">
      <xdr:nvSpPr>
        <xdr:cNvPr id="4" name="Flecha: pentágon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1AFA08D-BA7D-4D4E-A4FC-9D8309835D16}"/>
            </a:ext>
          </a:extLst>
        </xdr:cNvPr>
        <xdr:cNvSpPr/>
      </xdr:nvSpPr>
      <xdr:spPr>
        <a:xfrm flipH="1">
          <a:off x="12013410" y="523875"/>
          <a:ext cx="345283" cy="255135"/>
        </a:xfrm>
        <a:prstGeom prst="homePlate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s-EC" sz="1100"/>
            <a:t>CT</a:t>
          </a:r>
        </a:p>
      </xdr:txBody>
    </xdr:sp>
    <xdr:clientData/>
  </xdr:twoCellAnchor>
  <xdr:twoCellAnchor>
    <xdr:from>
      <xdr:col>15</xdr:col>
      <xdr:colOff>511968</xdr:colOff>
      <xdr:row>1</xdr:row>
      <xdr:rowOff>71438</xdr:rowOff>
    </xdr:from>
    <xdr:to>
      <xdr:col>15</xdr:col>
      <xdr:colOff>840240</xdr:colOff>
      <xdr:row>2</xdr:row>
      <xdr:rowOff>56885</xdr:rowOff>
    </xdr:to>
    <xdr:sp macro="" textlink="">
      <xdr:nvSpPr>
        <xdr:cNvPr id="5" name="Rectángulo: esquina doblada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66ED33F-3091-44D4-89D7-89D130BE96C3}"/>
            </a:ext>
          </a:extLst>
        </xdr:cNvPr>
        <xdr:cNvSpPr/>
      </xdr:nvSpPr>
      <xdr:spPr>
        <a:xfrm>
          <a:off x="12430124" y="535782"/>
          <a:ext cx="328272" cy="211666"/>
        </a:xfrm>
        <a:prstGeom prst="foldedCorner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C" sz="1100"/>
            <a:t>bc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676276</xdr:colOff>
      <xdr:row>0</xdr:row>
      <xdr:rowOff>66675</xdr:rowOff>
    </xdr:from>
    <xdr:to>
      <xdr:col>16</xdr:col>
      <xdr:colOff>887546</xdr:colOff>
      <xdr:row>2</xdr:row>
      <xdr:rowOff>48349</xdr:rowOff>
    </xdr:to>
    <xdr:pic>
      <xdr:nvPicPr>
        <xdr:cNvPr id="2" name="Imagen 1" descr="D:\ABALT\Imagen corporativa ABALT\Logo ABALT\Logo 2019\Logo ABALT 2019 - blanco-01.png">
          <a:extLst>
            <a:ext uri="{FF2B5EF4-FFF2-40B4-BE49-F238E27FC236}">
              <a16:creationId xmlns:a16="http://schemas.microsoft.com/office/drawing/2014/main" id="{4B7F089B-1FD6-4696-9AED-A1DD35F68B0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9376" y="66675"/>
          <a:ext cx="3268795" cy="6769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4</xdr:row>
      <xdr:rowOff>0</xdr:rowOff>
    </xdr:from>
    <xdr:to>
      <xdr:col>27</xdr:col>
      <xdr:colOff>61043</xdr:colOff>
      <xdr:row>5</xdr:row>
      <xdr:rowOff>13230</xdr:rowOff>
    </xdr:to>
    <xdr:sp macro="" textlink="">
      <xdr:nvSpPr>
        <xdr:cNvPr id="5" name="Redondear rectángulo de esquina del mismo l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45C8A3-2ABB-4389-BF9E-7D5C3DB9C1B0}"/>
            </a:ext>
          </a:extLst>
        </xdr:cNvPr>
        <xdr:cNvSpPr/>
      </xdr:nvSpPr>
      <xdr:spPr>
        <a:xfrm>
          <a:off x="29051250" y="988219"/>
          <a:ext cx="668262" cy="251355"/>
        </a:xfrm>
        <a:prstGeom prst="round2SameRect">
          <a:avLst/>
        </a:prstGeom>
        <a:ln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000" b="1">
              <a:solidFill>
                <a:schemeClr val="bg1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Indice</a:t>
          </a:r>
        </a:p>
      </xdr:txBody>
    </xdr:sp>
    <xdr:clientData/>
  </xdr:twoCellAnchor>
  <xdr:twoCellAnchor>
    <xdr:from>
      <xdr:col>8</xdr:col>
      <xdr:colOff>0</xdr:colOff>
      <xdr:row>1</xdr:row>
      <xdr:rowOff>0</xdr:rowOff>
    </xdr:from>
    <xdr:to>
      <xdr:col>8</xdr:col>
      <xdr:colOff>668262</xdr:colOff>
      <xdr:row>2</xdr:row>
      <xdr:rowOff>46567</xdr:rowOff>
    </xdr:to>
    <xdr:sp macro="" textlink="">
      <xdr:nvSpPr>
        <xdr:cNvPr id="6" name="Redondear rectángulo de esquina del mismo l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41B0C1-D1C3-4CBC-A518-933375C86430}"/>
            </a:ext>
          </a:extLst>
        </xdr:cNvPr>
        <xdr:cNvSpPr/>
      </xdr:nvSpPr>
      <xdr:spPr>
        <a:xfrm>
          <a:off x="12668250" y="226219"/>
          <a:ext cx="668262" cy="368036"/>
        </a:xfrm>
        <a:prstGeom prst="round2SameRect">
          <a:avLst/>
        </a:prstGeom>
        <a:ln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000" b="1">
              <a:solidFill>
                <a:schemeClr val="bg1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Indice</a:t>
          </a:r>
        </a:p>
      </xdr:txBody>
    </xdr:sp>
    <xdr:clientData/>
  </xdr:twoCellAnchor>
  <xdr:twoCellAnchor>
    <xdr:from>
      <xdr:col>4</xdr:col>
      <xdr:colOff>381000</xdr:colOff>
      <xdr:row>0</xdr:row>
      <xdr:rowOff>35719</xdr:rowOff>
    </xdr:from>
    <xdr:to>
      <xdr:col>6</xdr:col>
      <xdr:colOff>640392</xdr:colOff>
      <xdr:row>2</xdr:row>
      <xdr:rowOff>93227</xdr:rowOff>
    </xdr:to>
    <xdr:pic>
      <xdr:nvPicPr>
        <xdr:cNvPr id="7" name="Imagen 6" descr="D:\ABALT\Imagen corporativa ABALT\Logo ABALT\Logo 2019\Logo ABALT 2019 - blanco-01.png">
          <a:extLst>
            <a:ext uri="{FF2B5EF4-FFF2-40B4-BE49-F238E27FC236}">
              <a16:creationId xmlns:a16="http://schemas.microsoft.com/office/drawing/2014/main" id="{E3E3EABA-3AD3-4FE1-8901-EE0990AB2197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35719"/>
          <a:ext cx="2414423" cy="60519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428625</xdr:colOff>
      <xdr:row>3</xdr:row>
      <xdr:rowOff>47625</xdr:rowOff>
    </xdr:from>
    <xdr:to>
      <xdr:col>6</xdr:col>
      <xdr:colOff>687161</xdr:colOff>
      <xdr:row>3</xdr:row>
      <xdr:rowOff>179161</xdr:rowOff>
    </xdr:to>
    <xdr:sp macro="" textlink="">
      <xdr:nvSpPr>
        <xdr:cNvPr id="8" name="Diagrama de flujo: extraer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5915BD2-0549-4CD8-8BDB-DC5C13865718}"/>
            </a:ext>
          </a:extLst>
        </xdr:cNvPr>
        <xdr:cNvSpPr/>
      </xdr:nvSpPr>
      <xdr:spPr>
        <a:xfrm>
          <a:off x="11918156" y="821531"/>
          <a:ext cx="258536" cy="131536"/>
        </a:xfrm>
        <a:prstGeom prst="flowChartExtra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2"/>
  <dimension ref="A1:Z348"/>
  <sheetViews>
    <sheetView view="pageBreakPreview" zoomScale="80" zoomScaleNormal="55" zoomScaleSheetLayoutView="80" workbookViewId="0">
      <pane xSplit="5" ySplit="6" topLeftCell="F178" activePane="bottomRight" state="frozen"/>
      <selection pane="topRight" activeCell="F1" sqref="F1"/>
      <selection pane="bottomLeft" activeCell="A7" sqref="A7"/>
      <selection pane="bottomRight" activeCell="D3" sqref="D3"/>
    </sheetView>
  </sheetViews>
  <sheetFormatPr baseColWidth="10" defaultColWidth="9.1640625" defaultRowHeight="14" outlineLevelCol="1"/>
  <cols>
    <col min="1" max="1" width="11.33203125" style="14" customWidth="1"/>
    <col min="2" max="2" width="16.33203125" style="167" customWidth="1"/>
    <col min="3" max="3" width="40.33203125" style="14" customWidth="1"/>
    <col min="4" max="4" width="16.33203125" style="15" customWidth="1"/>
    <col min="5" max="5" width="16.5" style="166" customWidth="1"/>
    <col min="6" max="6" width="23.6640625" style="14" customWidth="1"/>
    <col min="7" max="7" width="35.1640625" style="37" customWidth="1"/>
    <col min="8" max="8" width="23" style="37" customWidth="1"/>
    <col min="9" max="10" width="17.1640625" style="15" customWidth="1"/>
    <col min="11" max="12" width="17.1640625" style="38" customWidth="1"/>
    <col min="13" max="13" width="18.6640625" style="14" customWidth="1"/>
    <col min="14" max="14" width="9.1640625" style="15" customWidth="1"/>
    <col min="15" max="15" width="2.5" style="15" customWidth="1"/>
    <col min="16" max="16" width="16.83203125" style="14" customWidth="1"/>
    <col min="17" max="17" width="9.1640625" style="14" customWidth="1" outlineLevel="1"/>
    <col min="18" max="18" width="22" style="14" customWidth="1" outlineLevel="1"/>
    <col min="19" max="19" width="6.5" style="14" customWidth="1"/>
    <col min="20" max="20" width="9" style="14" hidden="1" customWidth="1"/>
    <col min="21" max="21" width="14.5" style="15" hidden="1" customWidth="1"/>
    <col min="22" max="22" width="13.5" style="14" hidden="1" customWidth="1"/>
    <col min="23" max="24" width="9.1640625" style="14"/>
    <col min="25" max="25" width="13" style="14" customWidth="1"/>
    <col min="26" max="491" width="9.1640625" style="14"/>
    <col min="492" max="492" width="18.83203125" style="14" customWidth="1"/>
    <col min="493" max="16384" width="9.1640625" style="14"/>
  </cols>
  <sheetData>
    <row r="1" spans="1:26" s="190" customFormat="1" ht="23.25" customHeight="1">
      <c r="A1" s="13" t="e">
        <f>RAZÓN_SOCIAL</f>
        <v>#REF!</v>
      </c>
      <c r="B1" s="186"/>
      <c r="C1" s="187"/>
      <c r="D1" s="187"/>
      <c r="E1" s="188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</row>
    <row r="2" spans="1:26" s="190" customFormat="1" ht="16">
      <c r="A2" s="13" t="s">
        <v>5</v>
      </c>
      <c r="B2" s="186"/>
      <c r="C2" s="187"/>
      <c r="D2" s="187"/>
      <c r="E2" s="204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</row>
    <row r="3" spans="1:26" s="190" customFormat="1" ht="16">
      <c r="A3" s="13" t="e">
        <f>Ejercicio_fiscal</f>
        <v>#REF!</v>
      </c>
      <c r="B3" s="186"/>
      <c r="C3" s="187"/>
      <c r="D3" s="187"/>
      <c r="E3" s="188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9"/>
      <c r="Q3" s="189"/>
      <c r="R3" s="189"/>
      <c r="S3" s="189"/>
      <c r="T3" s="189"/>
      <c r="U3" s="189">
        <f>SUM(U7:U347)</f>
        <v>0</v>
      </c>
      <c r="V3" s="189"/>
      <c r="W3" s="189"/>
      <c r="X3" s="189"/>
      <c r="Y3" s="189"/>
      <c r="Z3" s="189"/>
    </row>
    <row r="4" spans="1:26" s="18" customFormat="1" ht="26.25" customHeight="1">
      <c r="A4" s="205"/>
      <c r="B4" s="205"/>
      <c r="C4" s="205"/>
      <c r="D4" s="206" t="s">
        <v>6</v>
      </c>
      <c r="E4" s="207"/>
      <c r="F4" s="205"/>
      <c r="G4" s="208"/>
      <c r="H4" s="208"/>
      <c r="I4" s="206"/>
      <c r="J4" s="206"/>
      <c r="K4" s="206" t="s">
        <v>35</v>
      </c>
      <c r="L4" s="206"/>
      <c r="M4" s="206"/>
      <c r="N4" s="209"/>
      <c r="O4" s="209"/>
      <c r="U4" s="19"/>
    </row>
    <row r="5" spans="1:26" s="18" customFormat="1" ht="28.5" customHeight="1">
      <c r="A5" s="205" t="s">
        <v>1</v>
      </c>
      <c r="B5" s="205" t="s">
        <v>31</v>
      </c>
      <c r="C5" s="205" t="s">
        <v>7</v>
      </c>
      <c r="D5" s="206" t="s">
        <v>2255</v>
      </c>
      <c r="E5" s="207" t="s">
        <v>33</v>
      </c>
      <c r="F5" s="205" t="s">
        <v>8</v>
      </c>
      <c r="G5" s="210" t="s">
        <v>32</v>
      </c>
      <c r="H5" s="210" t="s">
        <v>2280</v>
      </c>
      <c r="I5" s="206" t="s">
        <v>2249</v>
      </c>
      <c r="J5" s="206" t="s">
        <v>2250</v>
      </c>
      <c r="K5" s="206" t="e">
        <f>CONCATENATE("Año ",RIGHT(Ejercicio_fiscal,4))</f>
        <v>#REF!</v>
      </c>
      <c r="L5" s="206" t="s">
        <v>2187</v>
      </c>
      <c r="M5" s="206" t="s">
        <v>29</v>
      </c>
      <c r="N5" s="209"/>
      <c r="O5" s="209"/>
      <c r="U5" s="19"/>
    </row>
    <row r="6" spans="1:26" s="7" customFormat="1" ht="15" customHeight="1">
      <c r="A6" s="181"/>
      <c r="B6" s="211" t="s">
        <v>2</v>
      </c>
      <c r="C6" s="212"/>
      <c r="D6" s="154" t="e">
        <f>SUM(D7:D347)</f>
        <v>#REF!</v>
      </c>
      <c r="E6" s="182"/>
      <c r="F6" s="183"/>
      <c r="G6" s="184"/>
      <c r="H6" s="184"/>
      <c r="I6" s="154" t="e">
        <f>SUM(I7:I347)</f>
        <v>#REF!</v>
      </c>
      <c r="J6" s="154" t="e">
        <f>SUM(J7:J347)</f>
        <v>#REF!</v>
      </c>
      <c r="K6" s="154" t="e">
        <f>SUM(K7:K347)</f>
        <v>#REF!</v>
      </c>
      <c r="L6" s="154" t="e">
        <f>SUM(L7:L347)</f>
        <v>#REF!</v>
      </c>
      <c r="M6" s="154"/>
      <c r="N6" s="154"/>
      <c r="O6" s="209"/>
      <c r="U6" s="20"/>
    </row>
    <row r="7" spans="1:26" s="7" customFormat="1" ht="15">
      <c r="A7" s="21">
        <f>ROW(A7)-7</f>
        <v>0</v>
      </c>
      <c r="B7" t="s">
        <v>2340</v>
      </c>
      <c r="C7" t="s">
        <v>2559</v>
      </c>
      <c r="D7" s="196" t="e">
        <f>+#REF!</f>
        <v>#REF!</v>
      </c>
      <c r="E7" s="180" t="s">
        <v>69</v>
      </c>
      <c r="F7" s="22" t="str">
        <f>IFERROR(VLOOKUP($E7,Casilleros!$A$4:$I$830,4,FALSE),"")</f>
        <v>ACTIVOS CORRIENTES</v>
      </c>
      <c r="G7" s="22" t="str">
        <f>IFERROR(VLOOKUP($E7,Casilleros!$A$4:$I$830,9,FALSE),"")</f>
        <v>Efectivo y equivalentes al efectivo</v>
      </c>
      <c r="H7" s="22" t="str">
        <f>IFERROR(VLOOKUP($E7,Casilleros!$A$4:$J$830,10,FALSE),"")</f>
        <v>Efectivo y equivalentes al efectivo</v>
      </c>
      <c r="I7" s="6" t="e">
        <f>SUMIF(#REF!,$B7,#REF!)</f>
        <v>#REF!</v>
      </c>
      <c r="J7" s="6" t="e">
        <f>SUMIF(#REF!,$B7,#REF!)</f>
        <v>#REF!</v>
      </c>
      <c r="K7" s="6" t="e">
        <f t="shared" ref="K7:K78" si="0">+D7+SUM(I7:J7)</f>
        <v>#REF!</v>
      </c>
      <c r="L7" s="6">
        <f t="shared" ref="L7:L78" si="1">IF(E7="",K7,0)</f>
        <v>0</v>
      </c>
      <c r="M7" s="185"/>
      <c r="N7" s="20"/>
      <c r="O7" s="215"/>
      <c r="U7" s="20"/>
      <c r="Y7" s="42"/>
    </row>
    <row r="8" spans="1:26" s="7" customFormat="1" ht="15">
      <c r="A8" s="21">
        <f t="shared" ref="A8:A79" si="2">ROW(A8)-7</f>
        <v>1</v>
      </c>
      <c r="B8" t="s">
        <v>2341</v>
      </c>
      <c r="C8" t="s">
        <v>2560</v>
      </c>
      <c r="D8" s="196" t="e">
        <f>+#REF!</f>
        <v>#REF!</v>
      </c>
      <c r="E8" s="180" t="s">
        <v>69</v>
      </c>
      <c r="F8" s="22" t="str">
        <f>IFERROR(VLOOKUP($E8,Casilleros!$A$4:$I$830,4,FALSE),"")</f>
        <v>ACTIVOS CORRIENTES</v>
      </c>
      <c r="G8" s="22" t="str">
        <f>IFERROR(VLOOKUP($E8,Casilleros!$A$4:$I$830,9,FALSE),"")</f>
        <v>Efectivo y equivalentes al efectivo</v>
      </c>
      <c r="H8" s="22" t="str">
        <f>IFERROR(VLOOKUP($E8,Casilleros!$A$4:$J$830,10,FALSE),"")</f>
        <v>Efectivo y equivalentes al efectivo</v>
      </c>
      <c r="I8" s="6" t="e">
        <f>SUMIF(#REF!,$B8,#REF!)</f>
        <v>#REF!</v>
      </c>
      <c r="J8" s="6" t="e">
        <f>SUMIF(#REF!,$B8,#REF!)</f>
        <v>#REF!</v>
      </c>
      <c r="K8" s="6" t="e">
        <f t="shared" si="0"/>
        <v>#REF!</v>
      </c>
      <c r="L8" s="6">
        <f t="shared" si="1"/>
        <v>0</v>
      </c>
      <c r="M8" s="185"/>
      <c r="N8" s="20"/>
      <c r="O8" s="215"/>
      <c r="U8" s="20"/>
      <c r="Y8" s="42"/>
    </row>
    <row r="9" spans="1:26" s="7" customFormat="1" ht="15">
      <c r="A9" s="21">
        <f t="shared" si="2"/>
        <v>2</v>
      </c>
      <c r="B9" t="s">
        <v>2342</v>
      </c>
      <c r="C9" t="s">
        <v>2561</v>
      </c>
      <c r="D9" s="196" t="e">
        <f>+#REF!</f>
        <v>#REF!</v>
      </c>
      <c r="E9" s="180" t="s">
        <v>69</v>
      </c>
      <c r="F9" s="22" t="str">
        <f>IFERROR(VLOOKUP($E9,Casilleros!$A$4:$I$830,4,FALSE),"")</f>
        <v>ACTIVOS CORRIENTES</v>
      </c>
      <c r="G9" s="22" t="str">
        <f>IFERROR(VLOOKUP($E9,Casilleros!$A$4:$I$830,9,FALSE),"")</f>
        <v>Efectivo y equivalentes al efectivo</v>
      </c>
      <c r="H9" s="22" t="str">
        <f>IFERROR(VLOOKUP($E9,Casilleros!$A$4:$J$830,10,FALSE),"")</f>
        <v>Efectivo y equivalentes al efectivo</v>
      </c>
      <c r="I9" s="6" t="e">
        <f>SUMIF(#REF!,$B9,#REF!)</f>
        <v>#REF!</v>
      </c>
      <c r="J9" s="6" t="e">
        <f>SUMIF(#REF!,$B9,#REF!)</f>
        <v>#REF!</v>
      </c>
      <c r="K9" s="6" t="e">
        <f t="shared" si="0"/>
        <v>#REF!</v>
      </c>
      <c r="L9" s="6">
        <f t="shared" si="1"/>
        <v>0</v>
      </c>
      <c r="M9" s="185"/>
      <c r="N9" s="20"/>
      <c r="O9" s="215"/>
      <c r="U9" s="20"/>
      <c r="Y9" s="42"/>
    </row>
    <row r="10" spans="1:26" s="7" customFormat="1" ht="15">
      <c r="A10" s="21">
        <f t="shared" si="2"/>
        <v>3</v>
      </c>
      <c r="B10" t="s">
        <v>2342</v>
      </c>
      <c r="C10" t="s">
        <v>2561</v>
      </c>
      <c r="D10" s="196" t="e">
        <f>+#REF!</f>
        <v>#REF!</v>
      </c>
      <c r="E10" s="180" t="s">
        <v>69</v>
      </c>
      <c r="F10" s="22" t="str">
        <f>IFERROR(VLOOKUP($E10,Casilleros!$A$4:$I$830,4,FALSE),"")</f>
        <v>ACTIVOS CORRIENTES</v>
      </c>
      <c r="G10" s="22" t="str">
        <f>IFERROR(VLOOKUP($E10,Casilleros!$A$4:$I$830,9,FALSE),"")</f>
        <v>Efectivo y equivalentes al efectivo</v>
      </c>
      <c r="H10" s="22" t="str">
        <f>IFERROR(VLOOKUP($E10,Casilleros!$A$4:$J$830,10,FALSE),"")</f>
        <v>Efectivo y equivalentes al efectivo</v>
      </c>
      <c r="I10" s="6" t="e">
        <f>SUMIF(#REF!,$B10,#REF!)</f>
        <v>#REF!</v>
      </c>
      <c r="J10" s="6" t="e">
        <f>SUMIF(#REF!,$B10,#REF!)</f>
        <v>#REF!</v>
      </c>
      <c r="K10" s="6" t="e">
        <f t="shared" ref="K10" si="3">+D10+SUM(I10:J10)</f>
        <v>#REF!</v>
      </c>
      <c r="L10" s="6">
        <f t="shared" ref="L10" si="4">IF(E10="",K10,0)</f>
        <v>0</v>
      </c>
      <c r="M10" s="185"/>
      <c r="N10" s="20"/>
      <c r="O10" s="215"/>
      <c r="U10" s="20"/>
      <c r="Y10" s="42"/>
    </row>
    <row r="11" spans="1:26" s="7" customFormat="1" ht="15">
      <c r="A11" s="21">
        <f t="shared" si="2"/>
        <v>4</v>
      </c>
      <c r="B11" t="s">
        <v>2343</v>
      </c>
      <c r="C11" t="s">
        <v>2562</v>
      </c>
      <c r="D11" s="196" t="e">
        <f>+#REF!</f>
        <v>#REF!</v>
      </c>
      <c r="E11" s="180" t="s">
        <v>69</v>
      </c>
      <c r="F11" s="22" t="str">
        <f>IFERROR(VLOOKUP($E11,Casilleros!$A$4:$I$830,4,FALSE),"")</f>
        <v>ACTIVOS CORRIENTES</v>
      </c>
      <c r="G11" s="22" t="str">
        <f>IFERROR(VLOOKUP($E11,Casilleros!$A$4:$I$830,9,FALSE),"")</f>
        <v>Efectivo y equivalentes al efectivo</v>
      </c>
      <c r="H11" s="22" t="str">
        <f>IFERROR(VLOOKUP($E11,Casilleros!$A$4:$J$830,10,FALSE),"")</f>
        <v>Efectivo y equivalentes al efectivo</v>
      </c>
      <c r="I11" s="6" t="e">
        <f>SUMIF(#REF!,$B11,#REF!)</f>
        <v>#REF!</v>
      </c>
      <c r="J11" s="6" t="e">
        <f>SUMIF(#REF!,$B11,#REF!)</f>
        <v>#REF!</v>
      </c>
      <c r="K11" s="6" t="e">
        <f t="shared" si="0"/>
        <v>#REF!</v>
      </c>
      <c r="L11" s="6">
        <f t="shared" si="1"/>
        <v>0</v>
      </c>
      <c r="M11" s="185"/>
      <c r="N11" s="20"/>
      <c r="O11" s="215"/>
      <c r="U11" s="20"/>
      <c r="Y11" s="42"/>
    </row>
    <row r="12" spans="1:26" s="7" customFormat="1" ht="15">
      <c r="A12" s="21">
        <f t="shared" si="2"/>
        <v>5</v>
      </c>
      <c r="B12" t="s">
        <v>2344</v>
      </c>
      <c r="C12" t="s">
        <v>2563</v>
      </c>
      <c r="D12" s="196" t="e">
        <f>+#REF!</f>
        <v>#REF!</v>
      </c>
      <c r="E12" s="180" t="s">
        <v>69</v>
      </c>
      <c r="F12" s="22" t="str">
        <f>IFERROR(VLOOKUP($E12,Casilleros!$A$4:$I$830,4,FALSE),"")</f>
        <v>ACTIVOS CORRIENTES</v>
      </c>
      <c r="G12" s="22" t="str">
        <f>IFERROR(VLOOKUP($E12,Casilleros!$A$4:$I$830,9,FALSE),"")</f>
        <v>Efectivo y equivalentes al efectivo</v>
      </c>
      <c r="H12" s="22" t="str">
        <f>IFERROR(VLOOKUP($E12,Casilleros!$A$4:$J$830,10,FALSE),"")</f>
        <v>Efectivo y equivalentes al efectivo</v>
      </c>
      <c r="I12" s="6" t="e">
        <f>SUMIF(#REF!,$B12,#REF!)</f>
        <v>#REF!</v>
      </c>
      <c r="J12" s="6" t="e">
        <f>SUMIF(#REF!,$B12,#REF!)</f>
        <v>#REF!</v>
      </c>
      <c r="K12" s="6" t="e">
        <f t="shared" si="0"/>
        <v>#REF!</v>
      </c>
      <c r="L12" s="6">
        <f t="shared" si="1"/>
        <v>0</v>
      </c>
      <c r="M12" s="185"/>
      <c r="N12" s="20"/>
      <c r="O12" s="215"/>
      <c r="U12" s="20"/>
      <c r="Y12" s="42"/>
    </row>
    <row r="13" spans="1:26" s="7" customFormat="1" ht="15">
      <c r="A13" s="21">
        <f t="shared" si="2"/>
        <v>6</v>
      </c>
      <c r="B13" t="s">
        <v>2345</v>
      </c>
      <c r="C13" t="s">
        <v>2564</v>
      </c>
      <c r="D13" s="196" t="e">
        <f>+#REF!</f>
        <v>#REF!</v>
      </c>
      <c r="E13" s="180" t="s">
        <v>69</v>
      </c>
      <c r="F13" s="22" t="str">
        <f>IFERROR(VLOOKUP($E13,Casilleros!$A$4:$I$830,4,FALSE),"")</f>
        <v>ACTIVOS CORRIENTES</v>
      </c>
      <c r="G13" s="22" t="str">
        <f>IFERROR(VLOOKUP($E13,Casilleros!$A$4:$I$830,9,FALSE),"")</f>
        <v>Efectivo y equivalentes al efectivo</v>
      </c>
      <c r="H13" s="22" t="str">
        <f>IFERROR(VLOOKUP($E13,Casilleros!$A$4:$J$830,10,FALSE),"")</f>
        <v>Efectivo y equivalentes al efectivo</v>
      </c>
      <c r="I13" s="6" t="e">
        <f>SUMIF(#REF!,$B13,#REF!)</f>
        <v>#REF!</v>
      </c>
      <c r="J13" s="6" t="e">
        <f>SUMIF(#REF!,$B13,#REF!)</f>
        <v>#REF!</v>
      </c>
      <c r="K13" s="6" t="e">
        <f t="shared" si="0"/>
        <v>#REF!</v>
      </c>
      <c r="L13" s="6">
        <f t="shared" si="1"/>
        <v>0</v>
      </c>
      <c r="M13" s="185"/>
      <c r="N13" s="20"/>
      <c r="O13" s="215"/>
      <c r="U13" s="20"/>
      <c r="Y13" s="42"/>
    </row>
    <row r="14" spans="1:26" s="7" customFormat="1" ht="15">
      <c r="A14" s="21">
        <f t="shared" si="2"/>
        <v>7</v>
      </c>
      <c r="B14" t="s">
        <v>2346</v>
      </c>
      <c r="C14" t="s">
        <v>2565</v>
      </c>
      <c r="D14" s="196" t="e">
        <f>+#REF!</f>
        <v>#REF!</v>
      </c>
      <c r="E14" s="180" t="s">
        <v>69</v>
      </c>
      <c r="F14" s="22" t="str">
        <f>IFERROR(VLOOKUP($E14,Casilleros!$A$4:$I$830,4,FALSE),"")</f>
        <v>ACTIVOS CORRIENTES</v>
      </c>
      <c r="G14" s="22" t="str">
        <f>IFERROR(VLOOKUP($E14,Casilleros!$A$4:$I$830,9,FALSE),"")</f>
        <v>Efectivo y equivalentes al efectivo</v>
      </c>
      <c r="H14" s="22" t="str">
        <f>IFERROR(VLOOKUP($E14,Casilleros!$A$4:$J$830,10,FALSE),"")</f>
        <v>Efectivo y equivalentes al efectivo</v>
      </c>
      <c r="I14" s="6" t="e">
        <f>SUMIF(#REF!,$B14,#REF!)</f>
        <v>#REF!</v>
      </c>
      <c r="J14" s="6" t="e">
        <f>SUMIF(#REF!,$B14,#REF!)</f>
        <v>#REF!</v>
      </c>
      <c r="K14" s="6" t="e">
        <f t="shared" si="0"/>
        <v>#REF!</v>
      </c>
      <c r="L14" s="6">
        <f t="shared" si="1"/>
        <v>0</v>
      </c>
      <c r="M14" s="185"/>
      <c r="N14" s="20"/>
      <c r="O14" s="215"/>
      <c r="U14" s="20"/>
      <c r="Y14" s="42"/>
    </row>
    <row r="15" spans="1:26" s="7" customFormat="1" ht="15">
      <c r="A15" s="21">
        <f t="shared" si="2"/>
        <v>8</v>
      </c>
      <c r="B15" t="e">
        <f>+#REF!</f>
        <v>#REF!</v>
      </c>
      <c r="C15" t="e">
        <f>+#REF!</f>
        <v>#REF!</v>
      </c>
      <c r="D15" s="196" t="e">
        <f>+#REF!</f>
        <v>#REF!</v>
      </c>
      <c r="E15" s="180" t="s">
        <v>69</v>
      </c>
      <c r="F15" s="22" t="str">
        <f>IFERROR(VLOOKUP($E15,Casilleros!$A$4:$I$830,4,FALSE),"")</f>
        <v>ACTIVOS CORRIENTES</v>
      </c>
      <c r="G15" s="22" t="str">
        <f>IFERROR(VLOOKUP($E15,Casilleros!$A$4:$I$830,9,FALSE),"")</f>
        <v>Efectivo y equivalentes al efectivo</v>
      </c>
      <c r="H15" s="22" t="str">
        <f>IFERROR(VLOOKUP($E15,Casilleros!$A$4:$J$830,10,FALSE),"")</f>
        <v>Efectivo y equivalentes al efectivo</v>
      </c>
      <c r="I15" s="6" t="e">
        <f>SUMIF(#REF!,$B15,#REF!)</f>
        <v>#REF!</v>
      </c>
      <c r="J15" s="6" t="e">
        <f>SUMIF(#REF!,$B15,#REF!)</f>
        <v>#REF!</v>
      </c>
      <c r="K15" s="6" t="e">
        <f t="shared" ref="K15" si="5">+D15+SUM(I15:J15)</f>
        <v>#REF!</v>
      </c>
      <c r="L15" s="6">
        <f t="shared" ref="L15" si="6">IF(E15="",K15,0)</f>
        <v>0</v>
      </c>
      <c r="M15" s="185"/>
      <c r="N15" s="20"/>
      <c r="O15" s="215"/>
      <c r="U15" s="20"/>
      <c r="Y15" s="42"/>
    </row>
    <row r="16" spans="1:26" s="7" customFormat="1" ht="15">
      <c r="A16" s="21">
        <f t="shared" si="2"/>
        <v>9</v>
      </c>
      <c r="B16" t="s">
        <v>2640</v>
      </c>
      <c r="C16" t="s">
        <v>2641</v>
      </c>
      <c r="D16" s="196" t="e">
        <f>+#REF!</f>
        <v>#REF!</v>
      </c>
      <c r="E16" s="180" t="s">
        <v>69</v>
      </c>
      <c r="F16" s="22" t="str">
        <f>IFERROR(VLOOKUP($E16,Casilleros!$A$4:$I$830,4,FALSE),"")</f>
        <v>ACTIVOS CORRIENTES</v>
      </c>
      <c r="G16" s="22" t="str">
        <f>IFERROR(VLOOKUP($E16,Casilleros!$A$4:$I$830,9,FALSE),"")</f>
        <v>Efectivo y equivalentes al efectivo</v>
      </c>
      <c r="H16" s="22" t="str">
        <f>IFERROR(VLOOKUP($E16,Casilleros!$A$4:$J$830,10,FALSE),"")</f>
        <v>Efectivo y equivalentes al efectivo</v>
      </c>
      <c r="I16" s="6" t="e">
        <f>SUMIF(#REF!,$B16,#REF!)</f>
        <v>#REF!</v>
      </c>
      <c r="J16" s="6" t="e">
        <f>SUMIF(#REF!,$B16,#REF!)</f>
        <v>#REF!</v>
      </c>
      <c r="K16" s="6" t="e">
        <f t="shared" si="0"/>
        <v>#REF!</v>
      </c>
      <c r="L16" s="6">
        <f t="shared" si="1"/>
        <v>0</v>
      </c>
      <c r="M16" s="185"/>
      <c r="N16" s="20"/>
      <c r="O16" s="215"/>
      <c r="U16" s="20"/>
      <c r="Y16" s="42"/>
    </row>
    <row r="17" spans="1:25" s="7" customFormat="1" ht="15">
      <c r="A17" s="21">
        <f t="shared" si="2"/>
        <v>10</v>
      </c>
      <c r="B17" t="s">
        <v>2675</v>
      </c>
      <c r="C17" t="s">
        <v>2676</v>
      </c>
      <c r="D17" s="196" t="e">
        <f>+#REF!</f>
        <v>#REF!</v>
      </c>
      <c r="E17" s="180" t="s">
        <v>69</v>
      </c>
      <c r="F17" s="22" t="str">
        <f>IFERROR(VLOOKUP($E17,Casilleros!$A$4:$I$830,4,FALSE),"")</f>
        <v>ACTIVOS CORRIENTES</v>
      </c>
      <c r="G17" s="22" t="str">
        <f>IFERROR(VLOOKUP($E17,Casilleros!$A$4:$I$830,9,FALSE),"")</f>
        <v>Efectivo y equivalentes al efectivo</v>
      </c>
      <c r="H17" s="22" t="str">
        <f>IFERROR(VLOOKUP($E17,Casilleros!$A$4:$J$830,10,FALSE),"")</f>
        <v>Efectivo y equivalentes al efectivo</v>
      </c>
      <c r="I17" s="6" t="e">
        <f>SUMIF(#REF!,$B17,#REF!)</f>
        <v>#REF!</v>
      </c>
      <c r="J17" s="6" t="e">
        <f>SUMIF(#REF!,$B17,#REF!)</f>
        <v>#REF!</v>
      </c>
      <c r="K17" s="6" t="e">
        <f t="shared" si="0"/>
        <v>#REF!</v>
      </c>
      <c r="L17" s="6">
        <f t="shared" si="1"/>
        <v>0</v>
      </c>
      <c r="M17" s="185"/>
      <c r="N17" s="20"/>
      <c r="O17" s="215"/>
      <c r="U17" s="20"/>
      <c r="Y17" s="42"/>
    </row>
    <row r="18" spans="1:25" s="7" customFormat="1" ht="15">
      <c r="A18" s="21">
        <f t="shared" si="2"/>
        <v>11</v>
      </c>
      <c r="B18" t="s">
        <v>2347</v>
      </c>
      <c r="C18" t="s">
        <v>2566</v>
      </c>
      <c r="D18" s="196" t="e">
        <f>+#REF!</f>
        <v>#REF!</v>
      </c>
      <c r="E18" s="180" t="s">
        <v>79</v>
      </c>
      <c r="F18" s="22" t="str">
        <f>IFERROR(VLOOKUP($E18,Casilleros!$A$4:$I$830,4,FALSE),"")</f>
        <v>ACTIVOS CORRIENTES</v>
      </c>
      <c r="G18" s="22" t="str">
        <f>IFERROR(VLOOKUP($E18,Casilleros!$A$4:$I$830,9,FALSE),"")</f>
        <v>CUENTAS Y DOCUMENTOS POR COBRAR CORRIENTES_CUENTAS Y DOCUMENTOS POR COBRAR COMERCIALES CORRIENTES_NO RELACIONADAS_Locales</v>
      </c>
      <c r="H18" s="22" t="str">
        <f>IFERROR(VLOOKUP($E18,Casilleros!$A$4:$J$830,10,FALSE),"")</f>
        <v>Cuentas y Documentos por cobrar corrientes</v>
      </c>
      <c r="I18" s="6" t="e">
        <f>SUMIF(#REF!,$B18,#REF!)</f>
        <v>#REF!</v>
      </c>
      <c r="J18" s="6" t="e">
        <f>SUMIF(#REF!,$B18,#REF!)</f>
        <v>#REF!</v>
      </c>
      <c r="K18" s="6" t="e">
        <f t="shared" si="0"/>
        <v>#REF!</v>
      </c>
      <c r="L18" s="6">
        <f t="shared" si="1"/>
        <v>0</v>
      </c>
      <c r="M18" s="185"/>
      <c r="N18" s="20"/>
      <c r="O18" s="215"/>
      <c r="U18" s="20"/>
      <c r="Y18" s="42"/>
    </row>
    <row r="19" spans="1:25" s="7" customFormat="1" ht="15">
      <c r="A19" s="21">
        <f t="shared" si="2"/>
        <v>12</v>
      </c>
      <c r="B19" t="s">
        <v>2348</v>
      </c>
      <c r="C19" t="s">
        <v>2567</v>
      </c>
      <c r="D19" s="196" t="e">
        <f>+#REF!</f>
        <v>#REF!</v>
      </c>
      <c r="E19" s="180" t="s">
        <v>81</v>
      </c>
      <c r="F19" s="22" t="str">
        <f>IFERROR(VLOOKUP($E19,Casilleros!$A$4:$I$830,4,FALSE),"")</f>
        <v>ACTIVOS CORRIENTES</v>
      </c>
      <c r="G19" s="22" t="str">
        <f>IFERROR(VLOOKUP($E19,Casilleros!$A$4:$I$830,9,FALSE),"")</f>
        <v>CUENTAS Y DOCUMENTOS POR COBRAR CORRIENTES_CUENTAS Y DOCUMENTOS POR COBRAR COMERCIALES CORRIENTES_NO RELACIONADAS_(-) Deterioro acumulado del valor de cuentas y documentos por cobrar comerciales por incobrabilidad (provisiones para créditos incobrables)</v>
      </c>
      <c r="H19" s="22" t="str">
        <f>IFERROR(VLOOKUP($E19,Casilleros!$A$4:$J$830,10,FALSE),"")</f>
        <v>Cuentas y Documentos por cobrar corrientes</v>
      </c>
      <c r="I19" s="6" t="e">
        <f>SUMIF(#REF!,$B19,#REF!)</f>
        <v>#REF!</v>
      </c>
      <c r="J19" s="6" t="e">
        <f>SUMIF(#REF!,$B19,#REF!)</f>
        <v>#REF!</v>
      </c>
      <c r="K19" s="6" t="e">
        <f t="shared" si="0"/>
        <v>#REF!</v>
      </c>
      <c r="L19" s="6">
        <f t="shared" si="1"/>
        <v>0</v>
      </c>
      <c r="M19" s="185"/>
      <c r="N19" s="20"/>
      <c r="O19" s="215"/>
      <c r="U19" s="20"/>
      <c r="Y19" s="42"/>
    </row>
    <row r="20" spans="1:25" s="7" customFormat="1" ht="15">
      <c r="A20" s="21">
        <f t="shared" si="2"/>
        <v>13</v>
      </c>
      <c r="B20" t="s">
        <v>2349</v>
      </c>
      <c r="C20" t="s">
        <v>2568</v>
      </c>
      <c r="D20" s="196" t="e">
        <f>+#REF!</f>
        <v>#REF!</v>
      </c>
      <c r="E20" s="180" t="s">
        <v>79</v>
      </c>
      <c r="F20" s="22" t="str">
        <f>IFERROR(VLOOKUP($E20,Casilleros!$A$4:$I$830,4,FALSE),"")</f>
        <v>ACTIVOS CORRIENTES</v>
      </c>
      <c r="G20" s="22" t="str">
        <f>IFERROR(VLOOKUP($E20,Casilleros!$A$4:$I$830,9,FALSE),"")</f>
        <v>CUENTAS Y DOCUMENTOS POR COBRAR CORRIENTES_CUENTAS Y DOCUMENTOS POR COBRAR COMERCIALES CORRIENTES_NO RELACIONADAS_Locales</v>
      </c>
      <c r="H20" s="22" t="str">
        <f>IFERROR(VLOOKUP($E20,Casilleros!$A$4:$J$830,10,FALSE),"")</f>
        <v>Cuentas y Documentos por cobrar corrientes</v>
      </c>
      <c r="I20" s="6" t="e">
        <f>SUMIF(#REF!,$B20,#REF!)</f>
        <v>#REF!</v>
      </c>
      <c r="J20" s="6" t="e">
        <f>SUMIF(#REF!,$B20,#REF!)</f>
        <v>#REF!</v>
      </c>
      <c r="K20" s="6" t="e">
        <f t="shared" si="0"/>
        <v>#REF!</v>
      </c>
      <c r="L20" s="6">
        <f t="shared" si="1"/>
        <v>0</v>
      </c>
      <c r="M20" s="185"/>
      <c r="N20" s="20"/>
      <c r="O20" s="215"/>
      <c r="U20" s="20"/>
      <c r="Y20" s="42"/>
    </row>
    <row r="21" spans="1:25" s="7" customFormat="1" ht="15">
      <c r="A21" s="21">
        <f t="shared" si="2"/>
        <v>14</v>
      </c>
      <c r="B21" t="s">
        <v>2350</v>
      </c>
      <c r="C21" t="s">
        <v>2569</v>
      </c>
      <c r="D21" s="196" t="e">
        <f>+#REF!</f>
        <v>#REF!</v>
      </c>
      <c r="E21" s="180" t="s">
        <v>97</v>
      </c>
      <c r="F21" s="22" t="str">
        <f>IFERROR(VLOOKUP($E21,Casilleros!$A$4:$I$830,4,FALSE),"")</f>
        <v>ACTIVOS CORRIENTES</v>
      </c>
      <c r="G21" s="22" t="str">
        <f>IFERROR(VLOOKUP($E21,Casilleros!$A$4:$I$830,9,FALSE),"")</f>
        <v>CUENTAS Y DOCUMENTOS POR COBRAR CORRIENTES_OTRAS CUENTAS Y DOCUMENTOS POR COBRAR CORRIENTES_OTRAS NO RELACIONADAS_Locales</v>
      </c>
      <c r="H21" s="22" t="str">
        <f>IFERROR(VLOOKUP($E21,Casilleros!$A$4:$J$830,10,FALSE),"")</f>
        <v>Cuentas y Documentos por cobrar corrientes</v>
      </c>
      <c r="I21" s="6" t="e">
        <f>SUMIF(#REF!,$B21,#REF!)</f>
        <v>#REF!</v>
      </c>
      <c r="J21" s="6" t="e">
        <f>SUMIF(#REF!,$B21,#REF!)</f>
        <v>#REF!</v>
      </c>
      <c r="K21" s="6" t="e">
        <f t="shared" si="0"/>
        <v>#REF!</v>
      </c>
      <c r="L21" s="6">
        <f t="shared" si="1"/>
        <v>0</v>
      </c>
      <c r="M21" s="185"/>
      <c r="N21" s="20"/>
      <c r="O21" s="215"/>
      <c r="U21" s="20"/>
      <c r="Y21" s="42"/>
    </row>
    <row r="22" spans="1:25" s="7" customFormat="1" ht="15">
      <c r="A22" s="21">
        <f t="shared" si="2"/>
        <v>15</v>
      </c>
      <c r="B22" t="s">
        <v>2351</v>
      </c>
      <c r="C22" t="s">
        <v>2570</v>
      </c>
      <c r="D22" s="196" t="e">
        <f>+#REF!</f>
        <v>#REF!</v>
      </c>
      <c r="E22" s="180" t="s">
        <v>97</v>
      </c>
      <c r="F22" s="22" t="str">
        <f>IFERROR(VLOOKUP($E22,Casilleros!$A$4:$I$830,4,FALSE),"")</f>
        <v>ACTIVOS CORRIENTES</v>
      </c>
      <c r="G22" s="22" t="str">
        <f>IFERROR(VLOOKUP($E22,Casilleros!$A$4:$I$830,9,FALSE),"")</f>
        <v>CUENTAS Y DOCUMENTOS POR COBRAR CORRIENTES_OTRAS CUENTAS Y DOCUMENTOS POR COBRAR CORRIENTES_OTRAS NO RELACIONADAS_Locales</v>
      </c>
      <c r="H22" s="22" t="str">
        <f>IFERROR(VLOOKUP($E22,Casilleros!$A$4:$J$830,10,FALSE),"")</f>
        <v>Cuentas y Documentos por cobrar corrientes</v>
      </c>
      <c r="I22" s="6" t="e">
        <f>SUMIF(#REF!,$B22,#REF!)</f>
        <v>#REF!</v>
      </c>
      <c r="J22" s="6" t="e">
        <f>SUMIF(#REF!,$B22,#REF!)</f>
        <v>#REF!</v>
      </c>
      <c r="K22" s="6" t="e">
        <f t="shared" si="0"/>
        <v>#REF!</v>
      </c>
      <c r="L22" s="6">
        <f t="shared" si="1"/>
        <v>0</v>
      </c>
      <c r="M22" s="185"/>
      <c r="N22" s="20"/>
      <c r="O22" s="215"/>
      <c r="U22" s="20"/>
      <c r="Y22" s="42"/>
    </row>
    <row r="23" spans="1:25" s="7" customFormat="1" ht="15">
      <c r="A23" s="21">
        <f t="shared" si="2"/>
        <v>16</v>
      </c>
      <c r="B23" s="225" t="s">
        <v>2642</v>
      </c>
      <c r="C23" s="225" t="s">
        <v>2643</v>
      </c>
      <c r="D23" s="226"/>
      <c r="E23" s="180" t="s">
        <v>97</v>
      </c>
      <c r="F23" s="22" t="str">
        <f>IFERROR(VLOOKUP($E23,Casilleros!$A$4:$I$830,4,FALSE),"")</f>
        <v>ACTIVOS CORRIENTES</v>
      </c>
      <c r="G23" s="22" t="str">
        <f>IFERROR(VLOOKUP($E23,Casilleros!$A$4:$I$830,9,FALSE),"")</f>
        <v>CUENTAS Y DOCUMENTOS POR COBRAR CORRIENTES_OTRAS CUENTAS Y DOCUMENTOS POR COBRAR CORRIENTES_OTRAS NO RELACIONADAS_Locales</v>
      </c>
      <c r="H23" s="22" t="str">
        <f>IFERROR(VLOOKUP($E23,Casilleros!$A$4:$J$830,10,FALSE),"")</f>
        <v>Cuentas y Documentos por cobrar corrientes</v>
      </c>
      <c r="I23" s="6" t="e">
        <f>SUMIF(#REF!,$B23,#REF!)</f>
        <v>#REF!</v>
      </c>
      <c r="J23" s="6" t="e">
        <f>SUMIF(#REF!,$B23,#REF!)</f>
        <v>#REF!</v>
      </c>
      <c r="K23" s="6" t="e">
        <f t="shared" si="0"/>
        <v>#REF!</v>
      </c>
      <c r="L23" s="6">
        <f t="shared" si="1"/>
        <v>0</v>
      </c>
      <c r="M23" s="185"/>
      <c r="N23" s="20"/>
      <c r="O23" s="215"/>
      <c r="U23" s="20"/>
      <c r="Y23" s="42"/>
    </row>
    <row r="24" spans="1:25" s="7" customFormat="1" ht="15">
      <c r="A24" s="21">
        <f t="shared" si="2"/>
        <v>17</v>
      </c>
      <c r="B24" t="s">
        <v>2352</v>
      </c>
      <c r="C24" t="s">
        <v>2571</v>
      </c>
      <c r="D24" s="196" t="e">
        <f>+#REF!</f>
        <v>#REF!</v>
      </c>
      <c r="E24" s="180" t="s">
        <v>97</v>
      </c>
      <c r="F24" s="22" t="str">
        <f>IFERROR(VLOOKUP($E24,Casilleros!$A$4:$I$830,4,FALSE),"")</f>
        <v>ACTIVOS CORRIENTES</v>
      </c>
      <c r="G24" s="22" t="str">
        <f>IFERROR(VLOOKUP($E24,Casilleros!$A$4:$I$830,9,FALSE),"")</f>
        <v>CUENTAS Y DOCUMENTOS POR COBRAR CORRIENTES_OTRAS CUENTAS Y DOCUMENTOS POR COBRAR CORRIENTES_OTRAS NO RELACIONADAS_Locales</v>
      </c>
      <c r="H24" s="22" t="str">
        <f>IFERROR(VLOOKUP($E24,Casilleros!$A$4:$J$830,10,FALSE),"")</f>
        <v>Cuentas y Documentos por cobrar corrientes</v>
      </c>
      <c r="I24" s="6" t="e">
        <f>SUMIF(#REF!,$B24,#REF!)</f>
        <v>#REF!</v>
      </c>
      <c r="J24" s="6" t="e">
        <f>SUMIF(#REF!,$B24,#REF!)</f>
        <v>#REF!</v>
      </c>
      <c r="K24" s="6" t="e">
        <f t="shared" si="0"/>
        <v>#REF!</v>
      </c>
      <c r="L24" s="6">
        <f t="shared" si="1"/>
        <v>0</v>
      </c>
      <c r="M24" s="185"/>
      <c r="N24" s="20"/>
      <c r="O24" s="215"/>
      <c r="U24" s="20"/>
      <c r="Y24" s="42"/>
    </row>
    <row r="25" spans="1:25" s="7" customFormat="1" ht="15">
      <c r="A25" s="21">
        <f t="shared" si="2"/>
        <v>18</v>
      </c>
      <c r="B25" t="e">
        <f>+#REF!</f>
        <v>#REF!</v>
      </c>
      <c r="C25" t="e">
        <f>+#REF!</f>
        <v>#REF!</v>
      </c>
      <c r="D25" s="196" t="e">
        <f>+#REF!</f>
        <v>#REF!</v>
      </c>
      <c r="E25" s="180" t="s">
        <v>169</v>
      </c>
      <c r="F25" s="22" t="str">
        <f>IFERROR(VLOOKUP($E25,Casilleros!$A$4:$I$830,4,FALSE),"")</f>
        <v>ACTIVOS CORRIENTES</v>
      </c>
      <c r="G25" s="22" t="str">
        <f>IFERROR(VLOOKUP($E25,Casilleros!$A$4:$I$830,9,FALSE),"")</f>
        <v>Otros Activos Corrientes</v>
      </c>
      <c r="H25" s="22" t="str">
        <f>IFERROR(VLOOKUP($E25,Casilleros!$A$4:$J$830,10,FALSE),"")</f>
        <v>Otros activos corrientes</v>
      </c>
      <c r="I25" s="6" t="e">
        <f>SUMIF(#REF!,$B25,#REF!)</f>
        <v>#REF!</v>
      </c>
      <c r="J25" s="6" t="e">
        <f>SUMIF(#REF!,$B25,#REF!)</f>
        <v>#REF!</v>
      </c>
      <c r="K25" s="6" t="e">
        <f t="shared" ref="K25" si="7">+D25+SUM(I25:J25)</f>
        <v>#REF!</v>
      </c>
      <c r="L25" s="6">
        <f t="shared" ref="L25" si="8">IF(E25="",K25,0)</f>
        <v>0</v>
      </c>
      <c r="M25" s="185"/>
      <c r="N25" s="20"/>
      <c r="O25" s="215"/>
      <c r="U25" s="20"/>
      <c r="Y25" s="42"/>
    </row>
    <row r="26" spans="1:25" s="7" customFormat="1" ht="15">
      <c r="A26" s="21">
        <f t="shared" si="2"/>
        <v>19</v>
      </c>
      <c r="B26" s="216" t="s">
        <v>2353</v>
      </c>
      <c r="C26" s="216" t="s">
        <v>2354</v>
      </c>
      <c r="D26" s="217">
        <v>0</v>
      </c>
      <c r="E26" s="180" t="s">
        <v>121</v>
      </c>
      <c r="F26" s="22" t="str">
        <f>IFERROR(VLOOKUP($E26,Casilleros!$A$4:$I$830,4,FALSE),"")</f>
        <v>ACTIVOS CORRIENTES</v>
      </c>
      <c r="G26" s="22" t="str">
        <f>IFERROR(VLOOKUP($E26,Casilleros!$A$4:$I$830,9,FALSE),"")</f>
        <v>ACTIVOS POR IMPUESTOS CORRIENTES_Crédito tributario a favor del sujeto pasivo (Impuesto a la Renta) __</v>
      </c>
      <c r="H26" s="22" t="str">
        <f>IFERROR(VLOOKUP($E26,Casilleros!$A$4:$J$830,10,FALSE),"")</f>
        <v>Activos por impuestos corrientes</v>
      </c>
      <c r="I26" s="6" t="e">
        <f>SUMIF(#REF!,$B26,#REF!)</f>
        <v>#REF!</v>
      </c>
      <c r="J26" s="6" t="e">
        <f>SUMIF(#REF!,$B26,#REF!)</f>
        <v>#REF!</v>
      </c>
      <c r="K26" s="6" t="e">
        <f t="shared" si="0"/>
        <v>#REF!</v>
      </c>
      <c r="L26" s="6">
        <f t="shared" si="1"/>
        <v>0</v>
      </c>
      <c r="M26" s="185"/>
      <c r="N26" s="20"/>
      <c r="O26" s="215"/>
      <c r="U26" s="20"/>
      <c r="Y26" s="42"/>
    </row>
    <row r="27" spans="1:25" s="7" customFormat="1" ht="15">
      <c r="A27" s="21">
        <f t="shared" si="2"/>
        <v>20</v>
      </c>
      <c r="B27" t="s">
        <v>2624</v>
      </c>
      <c r="C27" t="s">
        <v>2573</v>
      </c>
      <c r="D27" s="196" t="e">
        <f>+#REF!</f>
        <v>#REF!</v>
      </c>
      <c r="E27" s="180" t="s">
        <v>176</v>
      </c>
      <c r="F27" s="22" t="str">
        <f>IFERROR(VLOOKUP($E27,Casilleros!$A$4:$I$830,4,FALSE),"")</f>
        <v>ACTIVOS  NO CORRIENTES</v>
      </c>
      <c r="G27" s="22" t="str">
        <f>IFERROR(VLOOKUP($E27,Casilleros!$A$4:$I$830,9,FALSE),"")</f>
        <v>PROPIEDADES, PLANTA Y EQUIPO_TERRENOS_Costo histórico antes de reexpresiones o revaluaciones_</v>
      </c>
      <c r="H27" s="22" t="str">
        <f>IFERROR(VLOOKUP($E27,Casilleros!$A$4:$J$830,10,FALSE),"")</f>
        <v>Propiedades, planta y equipo</v>
      </c>
      <c r="I27" s="6" t="e">
        <f>SUMIF(#REF!,$B27,#REF!)</f>
        <v>#REF!</v>
      </c>
      <c r="J27" s="6" t="e">
        <f>SUMIF(#REF!,$B27,#REF!)</f>
        <v>#REF!</v>
      </c>
      <c r="K27" s="6" t="e">
        <f t="shared" si="0"/>
        <v>#REF!</v>
      </c>
      <c r="L27" s="6">
        <f t="shared" si="1"/>
        <v>0</v>
      </c>
      <c r="M27" s="185"/>
      <c r="N27" s="20"/>
      <c r="O27" s="215"/>
      <c r="U27" s="20"/>
      <c r="Y27" s="42"/>
    </row>
    <row r="28" spans="1:25" s="7" customFormat="1" ht="15">
      <c r="A28" s="21">
        <f t="shared" si="2"/>
        <v>21</v>
      </c>
      <c r="B28" t="s">
        <v>2625</v>
      </c>
      <c r="C28" t="s">
        <v>2574</v>
      </c>
      <c r="D28" s="196" t="e">
        <f>+#REF!</f>
        <v>#REF!</v>
      </c>
      <c r="E28" s="180" t="s">
        <v>182</v>
      </c>
      <c r="F28" s="22" t="str">
        <f>IFERROR(VLOOKUP($E28,Casilleros!$A$4:$I$830,4,FALSE),"")</f>
        <v>ACTIVOS  NO CORRIENTES</v>
      </c>
      <c r="G28" s="22" t="str">
        <f>IFERROR(VLOOKUP($E28,Casilleros!$A$4:$I$830,9,FALSE),"")</f>
        <v>PROPIEDADES, PLANTA Y EQUIPO_EDIFICIOS Y OTROS INMUEBLES (EXCEPTO TERRENOS)_Costo histórico antes de reexpresiones o revaluaciones _</v>
      </c>
      <c r="H28" s="22" t="str">
        <f>IFERROR(VLOOKUP($E28,Casilleros!$A$4:$J$830,10,FALSE),"")</f>
        <v>Propiedades, planta y equipo</v>
      </c>
      <c r="I28" s="6" t="e">
        <f>SUMIF(#REF!,$B28,#REF!)</f>
        <v>#REF!</v>
      </c>
      <c r="J28" s="6" t="e">
        <f>SUMIF(#REF!,$B28,#REF!)</f>
        <v>#REF!</v>
      </c>
      <c r="K28" s="6" t="e">
        <f t="shared" si="0"/>
        <v>#REF!</v>
      </c>
      <c r="L28" s="6">
        <f t="shared" si="1"/>
        <v>0</v>
      </c>
      <c r="M28" s="185"/>
      <c r="N28" s="20"/>
      <c r="O28" s="215"/>
      <c r="U28" s="20"/>
      <c r="Y28" s="42"/>
    </row>
    <row r="29" spans="1:25" s="7" customFormat="1" ht="15">
      <c r="A29" s="21">
        <f t="shared" si="2"/>
        <v>22</v>
      </c>
      <c r="B29" t="s">
        <v>2626</v>
      </c>
      <c r="C29" t="s">
        <v>2575</v>
      </c>
      <c r="D29" s="196" t="e">
        <f>+#REF!</f>
        <v>#REF!</v>
      </c>
      <c r="E29" s="180" t="s">
        <v>182</v>
      </c>
      <c r="F29" s="22" t="str">
        <f>IFERROR(VLOOKUP($E29,Casilleros!$A$4:$I$830,4,FALSE),"")</f>
        <v>ACTIVOS  NO CORRIENTES</v>
      </c>
      <c r="G29" s="22" t="str">
        <f>IFERROR(VLOOKUP($E29,Casilleros!$A$4:$I$830,9,FALSE),"")</f>
        <v>PROPIEDADES, PLANTA Y EQUIPO_EDIFICIOS Y OTROS INMUEBLES (EXCEPTO TERRENOS)_Costo histórico antes de reexpresiones o revaluaciones _</v>
      </c>
      <c r="H29" s="22" t="str">
        <f>IFERROR(VLOOKUP($E29,Casilleros!$A$4:$J$830,10,FALSE),"")</f>
        <v>Propiedades, planta y equipo</v>
      </c>
      <c r="I29" s="6" t="e">
        <f>SUMIF(#REF!,$B29,#REF!)</f>
        <v>#REF!</v>
      </c>
      <c r="J29" s="6" t="e">
        <f>SUMIF(#REF!,$B29,#REF!)</f>
        <v>#REF!</v>
      </c>
      <c r="K29" s="6" t="e">
        <f t="shared" si="0"/>
        <v>#REF!</v>
      </c>
      <c r="L29" s="6">
        <f t="shared" si="1"/>
        <v>0</v>
      </c>
      <c r="M29" s="185"/>
      <c r="N29" s="20"/>
      <c r="O29" s="215"/>
      <c r="U29" s="20"/>
      <c r="Y29" s="42"/>
    </row>
    <row r="30" spans="1:25" s="7" customFormat="1" ht="15">
      <c r="A30" s="21">
        <f t="shared" si="2"/>
        <v>23</v>
      </c>
      <c r="B30" t="s">
        <v>2627</v>
      </c>
      <c r="C30" t="s">
        <v>2576</v>
      </c>
      <c r="D30" s="196" t="e">
        <f>+#REF!</f>
        <v>#REF!</v>
      </c>
      <c r="E30" s="180" t="s">
        <v>195</v>
      </c>
      <c r="F30" s="22" t="str">
        <f>IFERROR(VLOOKUP($E30,Casilleros!$A$4:$I$830,4,FALSE),"")</f>
        <v>ACTIVOS  NO CORRIENTES</v>
      </c>
      <c r="G30" s="22" t="str">
        <f>IFERROR(VLOOKUP($E30,Casilleros!$A$4:$I$830,9,FALSE),"")</f>
        <v>PROPIEDADES, PLANTA Y EQUIPO_Muebles y enseres__</v>
      </c>
      <c r="H30" s="22" t="str">
        <f>IFERROR(VLOOKUP($E30,Casilleros!$A$4:$J$830,10,FALSE),"")</f>
        <v>Propiedades, planta y equipo</v>
      </c>
      <c r="I30" s="6" t="e">
        <f>SUMIF(#REF!,$B30,#REF!)</f>
        <v>#REF!</v>
      </c>
      <c r="J30" s="6" t="e">
        <f>SUMIF(#REF!,$B30,#REF!)</f>
        <v>#REF!</v>
      </c>
      <c r="K30" s="6" t="e">
        <f t="shared" si="0"/>
        <v>#REF!</v>
      </c>
      <c r="L30" s="6">
        <f t="shared" si="1"/>
        <v>0</v>
      </c>
      <c r="M30" s="185"/>
      <c r="N30" s="20"/>
      <c r="O30" s="215"/>
      <c r="U30" s="20"/>
      <c r="Y30" s="42"/>
    </row>
    <row r="31" spans="1:25" s="7" customFormat="1" ht="15">
      <c r="A31" s="21">
        <f t="shared" si="2"/>
        <v>24</v>
      </c>
      <c r="B31" t="s">
        <v>2628</v>
      </c>
      <c r="C31" t="s">
        <v>2577</v>
      </c>
      <c r="D31" s="196" t="e">
        <f>+#REF!</f>
        <v>#REF!</v>
      </c>
      <c r="E31" s="180" t="s">
        <v>188</v>
      </c>
      <c r="F31" s="22" t="str">
        <f>IFERROR(VLOOKUP($E31,Casilleros!$A$4:$I$830,4,FALSE),"")</f>
        <v>ACTIVOS  NO CORRIENTES</v>
      </c>
      <c r="G31" s="22" t="str">
        <f>IFERROR(VLOOKUP($E31,Casilleros!$A$4:$I$830,9,FALSE),"")</f>
        <v>PROPIEDADES, PLANTA Y EQUIPO_MAQUINARIA, EQUIPO, INSTALACIONES Y ADECUACIONES_Costo histórico antes de reexpresiones o revaluaciones _</v>
      </c>
      <c r="H31" s="22" t="str">
        <f>IFERROR(VLOOKUP($E31,Casilleros!$A$4:$J$830,10,FALSE),"")</f>
        <v>Propiedades, planta y equipo</v>
      </c>
      <c r="I31" s="6" t="e">
        <f>SUMIF(#REF!,$B31,#REF!)</f>
        <v>#REF!</v>
      </c>
      <c r="J31" s="6" t="e">
        <f>SUMIF(#REF!,$B31,#REF!)</f>
        <v>#REF!</v>
      </c>
      <c r="K31" s="6" t="e">
        <f t="shared" si="0"/>
        <v>#REF!</v>
      </c>
      <c r="L31" s="6">
        <f t="shared" si="1"/>
        <v>0</v>
      </c>
      <c r="M31" s="185"/>
      <c r="N31" s="20"/>
      <c r="O31" s="215"/>
      <c r="U31" s="20"/>
      <c r="Y31" s="42"/>
    </row>
    <row r="32" spans="1:25" s="7" customFormat="1" ht="15">
      <c r="A32" s="21">
        <f t="shared" si="2"/>
        <v>25</v>
      </c>
      <c r="B32" t="s">
        <v>2629</v>
      </c>
      <c r="C32" t="s">
        <v>2578</v>
      </c>
      <c r="D32" s="196" t="e">
        <f>+#REF!</f>
        <v>#REF!</v>
      </c>
      <c r="E32" s="180" t="s">
        <v>198</v>
      </c>
      <c r="F32" s="22" t="str">
        <f>IFERROR(VLOOKUP($E32,Casilleros!$A$4:$I$830,4,FALSE),"")</f>
        <v>ACTIVOS  NO CORRIENTES</v>
      </c>
      <c r="G32" s="22" t="str">
        <f>IFERROR(VLOOKUP($E32,Casilleros!$A$4:$I$830,9,FALSE),"")</f>
        <v>PROPIEDADES, PLANTA Y EQUIPO_Equipo de Computación__equipo de computación</v>
      </c>
      <c r="H32" s="22" t="str">
        <f>IFERROR(VLOOKUP($E32,Casilleros!$A$4:$J$830,10,FALSE),"")</f>
        <v>Propiedades, planta y equipo</v>
      </c>
      <c r="I32" s="6" t="e">
        <f>SUMIF(#REF!,$B32,#REF!)</f>
        <v>#REF!</v>
      </c>
      <c r="J32" s="6" t="e">
        <f>SUMIF(#REF!,$B32,#REF!)</f>
        <v>#REF!</v>
      </c>
      <c r="K32" s="6" t="e">
        <f t="shared" si="0"/>
        <v>#REF!</v>
      </c>
      <c r="L32" s="6">
        <f t="shared" si="1"/>
        <v>0</v>
      </c>
      <c r="M32" s="185"/>
      <c r="N32" s="20"/>
      <c r="O32" s="215"/>
      <c r="U32" s="20"/>
      <c r="Y32" s="42"/>
    </row>
    <row r="33" spans="1:25" s="7" customFormat="1" ht="15">
      <c r="A33" s="21">
        <f t="shared" si="2"/>
        <v>26</v>
      </c>
      <c r="B33" t="s">
        <v>2630</v>
      </c>
      <c r="C33" t="s">
        <v>2579</v>
      </c>
      <c r="D33" s="196" t="e">
        <f>+#REF!</f>
        <v>#REF!</v>
      </c>
      <c r="E33" s="180" t="s">
        <v>200</v>
      </c>
      <c r="F33" s="22" t="str">
        <f>IFERROR(VLOOKUP($E33,Casilleros!$A$4:$I$830,4,FALSE),"")</f>
        <v>ACTIVOS  NO CORRIENTES</v>
      </c>
      <c r="G33" s="22" t="str">
        <f>IFERROR(VLOOKUP($E33,Casilleros!$A$4:$I$830,9,FALSE),"")</f>
        <v>PROPIEDADES, PLANTA Y EQUIPO_Vehículos, Equipo de Transporte y Caminero Móvil__equipo de computación</v>
      </c>
      <c r="H33" s="22" t="str">
        <f>IFERROR(VLOOKUP($E33,Casilleros!$A$4:$J$830,10,FALSE),"")</f>
        <v>Propiedades, planta y equipo</v>
      </c>
      <c r="I33" s="6" t="e">
        <f>SUMIF(#REF!,$B33,#REF!)</f>
        <v>#REF!</v>
      </c>
      <c r="J33" s="6" t="e">
        <f>SUMIF(#REF!,$B33,#REF!)</f>
        <v>#REF!</v>
      </c>
      <c r="K33" s="6" t="e">
        <f t="shared" si="0"/>
        <v>#REF!</v>
      </c>
      <c r="L33" s="6">
        <f t="shared" si="1"/>
        <v>0</v>
      </c>
      <c r="M33" s="185"/>
      <c r="N33" s="20"/>
      <c r="O33" s="215"/>
      <c r="U33" s="20"/>
      <c r="Y33" s="42"/>
    </row>
    <row r="34" spans="1:25" s="7" customFormat="1" ht="15">
      <c r="A34" s="21">
        <f t="shared" si="2"/>
        <v>27</v>
      </c>
      <c r="B34" t="s">
        <v>2631</v>
      </c>
      <c r="C34" t="s">
        <v>2580</v>
      </c>
      <c r="D34" s="196" t="e">
        <f>+#REF!</f>
        <v>#REF!</v>
      </c>
      <c r="E34" s="180" t="s">
        <v>198</v>
      </c>
      <c r="F34" s="22" t="str">
        <f>IFERROR(VLOOKUP($E34,Casilleros!$A$4:$I$830,4,FALSE),"")</f>
        <v>ACTIVOS  NO CORRIENTES</v>
      </c>
      <c r="G34" s="22" t="str">
        <f>IFERROR(VLOOKUP($E34,Casilleros!$A$4:$I$830,9,FALSE),"")</f>
        <v>PROPIEDADES, PLANTA Y EQUIPO_Equipo de Computación__equipo de computación</v>
      </c>
      <c r="H34" s="22" t="str">
        <f>IFERROR(VLOOKUP($E34,Casilleros!$A$4:$J$830,10,FALSE),"")</f>
        <v>Propiedades, planta y equipo</v>
      </c>
      <c r="I34" s="6" t="e">
        <f>SUMIF(#REF!,$B34,#REF!)</f>
        <v>#REF!</v>
      </c>
      <c r="J34" s="6" t="e">
        <f>SUMIF(#REF!,$B34,#REF!)</f>
        <v>#REF!</v>
      </c>
      <c r="K34" s="6" t="e">
        <f t="shared" si="0"/>
        <v>#REF!</v>
      </c>
      <c r="L34" s="6">
        <f t="shared" si="1"/>
        <v>0</v>
      </c>
      <c r="M34" s="185"/>
      <c r="N34" s="20"/>
      <c r="O34" s="215"/>
      <c r="U34" s="20"/>
      <c r="Y34" s="42"/>
    </row>
    <row r="35" spans="1:25" s="7" customFormat="1" ht="15">
      <c r="A35" s="21">
        <f t="shared" si="2"/>
        <v>28</v>
      </c>
      <c r="B35" t="s">
        <v>2631</v>
      </c>
      <c r="C35" t="s">
        <v>2580</v>
      </c>
      <c r="D35" s="196" t="e">
        <f>+#REF!</f>
        <v>#REF!</v>
      </c>
      <c r="E35" s="180" t="s">
        <v>194</v>
      </c>
      <c r="F35" s="22" t="str">
        <f>IFERROR(VLOOKUP($E35,Casilleros!$A$4:$I$830,4,FALSE),"")</f>
        <v>ACTIVOS  NO CORRIENTES</v>
      </c>
      <c r="G35" s="22" t="str">
        <f>IFERROR(VLOOKUP($E35,Casilleros!$A$4:$I$830,9,FALSE),"")</f>
        <v>PROPIEDADES, PLANTA Y EQUIPO_Construcciones en Curso y Otros Activos en Tránsito__</v>
      </c>
      <c r="H35" s="22" t="str">
        <f>IFERROR(VLOOKUP($E35,Casilleros!$A$4:$J$830,10,FALSE),"")</f>
        <v>Propiedades, planta y equipo</v>
      </c>
      <c r="I35" s="6" t="e">
        <f>SUMIF(#REF!,$B35,#REF!)</f>
        <v>#REF!</v>
      </c>
      <c r="J35" s="6" t="e">
        <f>SUMIF(#REF!,$B35,#REF!)</f>
        <v>#REF!</v>
      </c>
      <c r="K35" s="6" t="e">
        <f t="shared" ref="K35" si="9">+D35+SUM(I35:J35)</f>
        <v>#REF!</v>
      </c>
      <c r="L35" s="6">
        <f t="shared" ref="L35" si="10">IF(E35="",K35,0)</f>
        <v>0</v>
      </c>
      <c r="M35" s="185"/>
      <c r="N35" s="20"/>
      <c r="O35" s="215"/>
      <c r="U35" s="20"/>
      <c r="Y35" s="42"/>
    </row>
    <row r="36" spans="1:25" s="7" customFormat="1" ht="15">
      <c r="A36" s="21">
        <f t="shared" si="2"/>
        <v>29</v>
      </c>
      <c r="B36" t="s">
        <v>2355</v>
      </c>
      <c r="C36" t="s">
        <v>2581</v>
      </c>
      <c r="D36" s="196" t="e">
        <f>+#REF!</f>
        <v>#REF!</v>
      </c>
      <c r="E36" s="180" t="s">
        <v>224</v>
      </c>
      <c r="F36" s="22" t="str">
        <f>IFERROR(VLOOKUP($E36,Casilleros!$A$4:$I$830,4,FALSE),"")</f>
        <v>ACTIVOS  NO CORRIENTES</v>
      </c>
      <c r="G36" s="22" t="str">
        <f>IFERROR(VLOOKUP($E36,Casilleros!$A$4:$I$830,9,FALSE),"")</f>
        <v>PROPIEDADES, PLANTA Y EQUIPO_(-) DEPRECIACIÒN ACUMULADA DE PROPIEDADES, PLANTA Y EQUIPO_Del costo histórico antes de reexpresiones o revaluaciones_</v>
      </c>
      <c r="H36" s="22" t="str">
        <f>IFERROR(VLOOKUP($E36,Casilleros!$A$4:$J$830,10,FALSE),"")</f>
        <v>Propiedades, planta y equipo</v>
      </c>
      <c r="I36" s="6" t="e">
        <f>SUMIF(#REF!,$B36,#REF!)</f>
        <v>#REF!</v>
      </c>
      <c r="J36" s="6" t="e">
        <f>SUMIF(#REF!,$B36,#REF!)</f>
        <v>#REF!</v>
      </c>
      <c r="K36" s="6" t="e">
        <f t="shared" si="0"/>
        <v>#REF!</v>
      </c>
      <c r="L36" s="6">
        <f t="shared" si="1"/>
        <v>0</v>
      </c>
      <c r="M36" s="185"/>
      <c r="N36" s="20"/>
      <c r="O36" s="215"/>
      <c r="U36" s="20"/>
      <c r="Y36" s="42"/>
    </row>
    <row r="37" spans="1:25" s="7" customFormat="1" ht="15">
      <c r="A37" s="21">
        <f t="shared" si="2"/>
        <v>30</v>
      </c>
      <c r="B37" t="s">
        <v>2356</v>
      </c>
      <c r="C37" t="s">
        <v>2582</v>
      </c>
      <c r="D37" s="196" t="e">
        <f>+#REF!</f>
        <v>#REF!</v>
      </c>
      <c r="E37" s="180" t="s">
        <v>224</v>
      </c>
      <c r="F37" s="22" t="str">
        <f>IFERROR(VLOOKUP($E37,Casilleros!$A$4:$I$830,4,FALSE),"")</f>
        <v>ACTIVOS  NO CORRIENTES</v>
      </c>
      <c r="G37" s="22" t="str">
        <f>IFERROR(VLOOKUP($E37,Casilleros!$A$4:$I$830,9,FALSE),"")</f>
        <v>PROPIEDADES, PLANTA Y EQUIPO_(-) DEPRECIACIÒN ACUMULADA DE PROPIEDADES, PLANTA Y EQUIPO_Del costo histórico antes de reexpresiones o revaluaciones_</v>
      </c>
      <c r="H37" s="22" t="str">
        <f>IFERROR(VLOOKUP($E37,Casilleros!$A$4:$J$830,10,FALSE),"")</f>
        <v>Propiedades, planta y equipo</v>
      </c>
      <c r="I37" s="6" t="e">
        <f>SUMIF(#REF!,$B37,#REF!)</f>
        <v>#REF!</v>
      </c>
      <c r="J37" s="6" t="e">
        <f>SUMIF(#REF!,$B37,#REF!)</f>
        <v>#REF!</v>
      </c>
      <c r="K37" s="6" t="e">
        <f t="shared" si="0"/>
        <v>#REF!</v>
      </c>
      <c r="L37" s="6">
        <f t="shared" si="1"/>
        <v>0</v>
      </c>
      <c r="M37" s="185"/>
      <c r="N37" s="20"/>
      <c r="O37" s="215"/>
      <c r="U37" s="20"/>
      <c r="Y37" s="42"/>
    </row>
    <row r="38" spans="1:25" s="7" customFormat="1" ht="15">
      <c r="A38" s="21">
        <f t="shared" si="2"/>
        <v>31</v>
      </c>
      <c r="B38" t="s">
        <v>2357</v>
      </c>
      <c r="C38" t="s">
        <v>2583</v>
      </c>
      <c r="D38" s="196" t="e">
        <f>+#REF!</f>
        <v>#REF!</v>
      </c>
      <c r="E38" s="180" t="s">
        <v>224</v>
      </c>
      <c r="F38" s="22" t="str">
        <f>IFERROR(VLOOKUP($E38,Casilleros!$A$4:$I$830,4,FALSE),"")</f>
        <v>ACTIVOS  NO CORRIENTES</v>
      </c>
      <c r="G38" s="22" t="str">
        <f>IFERROR(VLOOKUP($E38,Casilleros!$A$4:$I$830,9,FALSE),"")</f>
        <v>PROPIEDADES, PLANTA Y EQUIPO_(-) DEPRECIACIÒN ACUMULADA DE PROPIEDADES, PLANTA Y EQUIPO_Del costo histórico antes de reexpresiones o revaluaciones_</v>
      </c>
      <c r="H38" s="22" t="str">
        <f>IFERROR(VLOOKUP($E38,Casilleros!$A$4:$J$830,10,FALSE),"")</f>
        <v>Propiedades, planta y equipo</v>
      </c>
      <c r="I38" s="6" t="e">
        <f>SUMIF(#REF!,$B38,#REF!)</f>
        <v>#REF!</v>
      </c>
      <c r="J38" s="6" t="e">
        <f>SUMIF(#REF!,$B38,#REF!)</f>
        <v>#REF!</v>
      </c>
      <c r="K38" s="6" t="e">
        <f t="shared" si="0"/>
        <v>#REF!</v>
      </c>
      <c r="L38" s="6">
        <f t="shared" si="1"/>
        <v>0</v>
      </c>
      <c r="M38" s="185"/>
      <c r="N38" s="20"/>
      <c r="O38" s="215"/>
      <c r="U38" s="20"/>
      <c r="Y38" s="42"/>
    </row>
    <row r="39" spans="1:25" s="7" customFormat="1" ht="15">
      <c r="A39" s="21">
        <f t="shared" si="2"/>
        <v>32</v>
      </c>
      <c r="B39" t="s">
        <v>2358</v>
      </c>
      <c r="C39" t="s">
        <v>2584</v>
      </c>
      <c r="D39" s="196" t="e">
        <f>+#REF!</f>
        <v>#REF!</v>
      </c>
      <c r="E39" s="180" t="s">
        <v>224</v>
      </c>
      <c r="F39" s="22" t="str">
        <f>IFERROR(VLOOKUP($E39,Casilleros!$A$4:$I$830,4,FALSE),"")</f>
        <v>ACTIVOS  NO CORRIENTES</v>
      </c>
      <c r="G39" s="22" t="str">
        <f>IFERROR(VLOOKUP($E39,Casilleros!$A$4:$I$830,9,FALSE),"")</f>
        <v>PROPIEDADES, PLANTA Y EQUIPO_(-) DEPRECIACIÒN ACUMULADA DE PROPIEDADES, PLANTA Y EQUIPO_Del costo histórico antes de reexpresiones o revaluaciones_</v>
      </c>
      <c r="H39" s="22" t="str">
        <f>IFERROR(VLOOKUP($E39,Casilleros!$A$4:$J$830,10,FALSE),"")</f>
        <v>Propiedades, planta y equipo</v>
      </c>
      <c r="I39" s="6" t="e">
        <f>SUMIF(#REF!,$B39,#REF!)</f>
        <v>#REF!</v>
      </c>
      <c r="J39" s="6" t="e">
        <f>SUMIF(#REF!,$B39,#REF!)</f>
        <v>#REF!</v>
      </c>
      <c r="K39" s="6" t="e">
        <f t="shared" si="0"/>
        <v>#REF!</v>
      </c>
      <c r="L39" s="6">
        <f t="shared" si="1"/>
        <v>0</v>
      </c>
      <c r="M39" s="185"/>
      <c r="N39" s="20"/>
      <c r="O39" s="215"/>
      <c r="U39" s="20"/>
      <c r="Y39" s="42"/>
    </row>
    <row r="40" spans="1:25" s="7" customFormat="1" ht="15">
      <c r="A40" s="21">
        <f t="shared" si="2"/>
        <v>33</v>
      </c>
      <c r="B40" t="s">
        <v>2359</v>
      </c>
      <c r="C40" t="s">
        <v>2585</v>
      </c>
      <c r="D40" s="196" t="e">
        <f>+#REF!</f>
        <v>#REF!</v>
      </c>
      <c r="E40" s="180" t="s">
        <v>224</v>
      </c>
      <c r="F40" s="22" t="str">
        <f>IFERROR(VLOOKUP($E40,Casilleros!$A$4:$I$830,4,FALSE),"")</f>
        <v>ACTIVOS  NO CORRIENTES</v>
      </c>
      <c r="G40" s="22" t="str">
        <f>IFERROR(VLOOKUP($E40,Casilleros!$A$4:$I$830,9,FALSE),"")</f>
        <v>PROPIEDADES, PLANTA Y EQUIPO_(-) DEPRECIACIÒN ACUMULADA DE PROPIEDADES, PLANTA Y EQUIPO_Del costo histórico antes de reexpresiones o revaluaciones_</v>
      </c>
      <c r="H40" s="22" t="str">
        <f>IFERROR(VLOOKUP($E40,Casilleros!$A$4:$J$830,10,FALSE),"")</f>
        <v>Propiedades, planta y equipo</v>
      </c>
      <c r="I40" s="6" t="e">
        <f>SUMIF(#REF!,$B40,#REF!)</f>
        <v>#REF!</v>
      </c>
      <c r="J40" s="6" t="e">
        <f>SUMIF(#REF!,$B40,#REF!)</f>
        <v>#REF!</v>
      </c>
      <c r="K40" s="6" t="e">
        <f t="shared" si="0"/>
        <v>#REF!</v>
      </c>
      <c r="L40" s="6">
        <f t="shared" si="1"/>
        <v>0</v>
      </c>
      <c r="M40" s="185"/>
      <c r="N40" s="20"/>
      <c r="O40" s="215"/>
      <c r="U40" s="20"/>
      <c r="Y40" s="42"/>
    </row>
    <row r="41" spans="1:25" s="7" customFormat="1" ht="15">
      <c r="A41" s="21">
        <f t="shared" si="2"/>
        <v>34</v>
      </c>
      <c r="B41" t="s">
        <v>2360</v>
      </c>
      <c r="C41" t="s">
        <v>2586</v>
      </c>
      <c r="D41" s="196" t="e">
        <f>+#REF!</f>
        <v>#REF!</v>
      </c>
      <c r="E41" s="180" t="s">
        <v>224</v>
      </c>
      <c r="F41" s="22" t="str">
        <f>IFERROR(VLOOKUP($E41,Casilleros!$A$4:$I$830,4,FALSE),"")</f>
        <v>ACTIVOS  NO CORRIENTES</v>
      </c>
      <c r="G41" s="22" t="str">
        <f>IFERROR(VLOOKUP($E41,Casilleros!$A$4:$I$830,9,FALSE),"")</f>
        <v>PROPIEDADES, PLANTA Y EQUIPO_(-) DEPRECIACIÒN ACUMULADA DE PROPIEDADES, PLANTA Y EQUIPO_Del costo histórico antes de reexpresiones o revaluaciones_</v>
      </c>
      <c r="H41" s="22" t="str">
        <f>IFERROR(VLOOKUP($E41,Casilleros!$A$4:$J$830,10,FALSE),"")</f>
        <v>Propiedades, planta y equipo</v>
      </c>
      <c r="I41" s="6" t="e">
        <f>SUMIF(#REF!,$B41,#REF!)</f>
        <v>#REF!</v>
      </c>
      <c r="J41" s="6" t="e">
        <f>SUMIF(#REF!,$B41,#REF!)</f>
        <v>#REF!</v>
      </c>
      <c r="K41" s="6" t="e">
        <f t="shared" si="0"/>
        <v>#REF!</v>
      </c>
      <c r="L41" s="6">
        <f t="shared" si="1"/>
        <v>0</v>
      </c>
      <c r="M41" s="185"/>
      <c r="N41" s="20"/>
      <c r="O41" s="215"/>
      <c r="U41" s="20"/>
      <c r="Y41" s="42"/>
    </row>
    <row r="42" spans="1:25" s="7" customFormat="1" ht="15">
      <c r="A42" s="21">
        <f t="shared" si="2"/>
        <v>35</v>
      </c>
      <c r="B42" t="s">
        <v>2361</v>
      </c>
      <c r="C42" t="s">
        <v>2587</v>
      </c>
      <c r="D42" s="196" t="e">
        <f>+#REF!</f>
        <v>#REF!</v>
      </c>
      <c r="E42" s="180" t="s">
        <v>224</v>
      </c>
      <c r="F42" s="22" t="str">
        <f>IFERROR(VLOOKUP($E42,Casilleros!$A$4:$I$830,4,FALSE),"")</f>
        <v>ACTIVOS  NO CORRIENTES</v>
      </c>
      <c r="G42" s="22" t="str">
        <f>IFERROR(VLOOKUP($E42,Casilleros!$A$4:$I$830,9,FALSE),"")</f>
        <v>PROPIEDADES, PLANTA Y EQUIPO_(-) DEPRECIACIÒN ACUMULADA DE PROPIEDADES, PLANTA Y EQUIPO_Del costo histórico antes de reexpresiones o revaluaciones_</v>
      </c>
      <c r="H42" s="22" t="str">
        <f>IFERROR(VLOOKUP($E42,Casilleros!$A$4:$J$830,10,FALSE),"")</f>
        <v>Propiedades, planta y equipo</v>
      </c>
      <c r="I42" s="6" t="e">
        <f>SUMIF(#REF!,$B42,#REF!)</f>
        <v>#REF!</v>
      </c>
      <c r="J42" s="6" t="e">
        <f>SUMIF(#REF!,$B42,#REF!)</f>
        <v>#REF!</v>
      </c>
      <c r="K42" s="6" t="e">
        <f t="shared" si="0"/>
        <v>#REF!</v>
      </c>
      <c r="L42" s="6">
        <f t="shared" si="1"/>
        <v>0</v>
      </c>
      <c r="M42" s="185"/>
      <c r="N42" s="20"/>
      <c r="O42" s="215"/>
      <c r="U42" s="20"/>
      <c r="Y42" s="42"/>
    </row>
    <row r="43" spans="1:25" s="7" customFormat="1" ht="15">
      <c r="A43" s="21">
        <f t="shared" si="2"/>
        <v>36</v>
      </c>
      <c r="B43" t="s">
        <v>2362</v>
      </c>
      <c r="C43" t="s">
        <v>2588</v>
      </c>
      <c r="D43" s="196" t="e">
        <f>+#REF!</f>
        <v>#REF!</v>
      </c>
      <c r="E43" s="180" t="s">
        <v>179</v>
      </c>
      <c r="F43" s="22" t="str">
        <f>IFERROR(VLOOKUP($E43,Casilleros!$A$4:$I$830,4,FALSE),"")</f>
        <v>ACTIVOS  NO CORRIENTES</v>
      </c>
      <c r="G43" s="22" t="str">
        <f>IFERROR(VLOOKUP($E43,Casilleros!$A$4:$I$830,9,FALSE),"")</f>
        <v>PROPIEDADES, PLANTA Y EQUIPO_TERRENOS_Ajuste acumulado por reexpresiones o revaluaciones_</v>
      </c>
      <c r="H43" s="22" t="str">
        <f>IFERROR(VLOOKUP($E43,Casilleros!$A$4:$J$830,10,FALSE),"")</f>
        <v>Propiedades, planta y equipo</v>
      </c>
      <c r="I43" s="6" t="e">
        <f>SUMIF(#REF!,$B43,#REF!)</f>
        <v>#REF!</v>
      </c>
      <c r="J43" s="6" t="e">
        <f>SUMIF(#REF!,$B43,#REF!)</f>
        <v>#REF!</v>
      </c>
      <c r="K43" s="6" t="e">
        <f t="shared" si="0"/>
        <v>#REF!</v>
      </c>
      <c r="L43" s="6">
        <f t="shared" si="1"/>
        <v>0</v>
      </c>
      <c r="M43" s="185"/>
      <c r="N43" s="20"/>
      <c r="O43" s="215"/>
      <c r="U43" s="20"/>
      <c r="Y43" s="42"/>
    </row>
    <row r="44" spans="1:25" s="7" customFormat="1" ht="15">
      <c r="A44" s="21">
        <f t="shared" si="2"/>
        <v>37</v>
      </c>
      <c r="B44" t="s">
        <v>2363</v>
      </c>
      <c r="C44" t="s">
        <v>2589</v>
      </c>
      <c r="D44" s="196" t="e">
        <f>+#REF!</f>
        <v>#REF!</v>
      </c>
      <c r="E44" s="180" t="s">
        <v>183</v>
      </c>
      <c r="F44" s="22" t="str">
        <f>IFERROR(VLOOKUP($E44,Casilleros!$A$4:$I$830,4,FALSE),"")</f>
        <v>ACTIVOS  NO CORRIENTES</v>
      </c>
      <c r="G44" s="22" t="str">
        <f>IFERROR(VLOOKUP($E44,Casilleros!$A$4:$I$830,9,FALSE),"")</f>
        <v>PROPIEDADES, PLANTA Y EQUIPO_EDIFICIOS Y OTROS INMUEBLES (EXCEPTO TERRENOS)_Ajuste acumulado por reexpresiones o revaluaciones_</v>
      </c>
      <c r="H44" s="22" t="str">
        <f>IFERROR(VLOOKUP($E44,Casilleros!$A$4:$J$830,10,FALSE),"")</f>
        <v>Propiedades, planta y equipo</v>
      </c>
      <c r="I44" s="6" t="e">
        <f>SUMIF(#REF!,$B44,#REF!)</f>
        <v>#REF!</v>
      </c>
      <c r="J44" s="6" t="e">
        <f>SUMIF(#REF!,$B44,#REF!)</f>
        <v>#REF!</v>
      </c>
      <c r="K44" s="6" t="e">
        <f t="shared" si="0"/>
        <v>#REF!</v>
      </c>
      <c r="L44" s="6">
        <f t="shared" si="1"/>
        <v>0</v>
      </c>
      <c r="M44" s="185"/>
      <c r="N44" s="20"/>
      <c r="O44" s="215"/>
      <c r="U44" s="20"/>
      <c r="Y44" s="42"/>
    </row>
    <row r="45" spans="1:25" s="7" customFormat="1" ht="15">
      <c r="A45" s="21">
        <f t="shared" si="2"/>
        <v>38</v>
      </c>
      <c r="B45" t="s">
        <v>2364</v>
      </c>
      <c r="C45" t="s">
        <v>2590</v>
      </c>
      <c r="D45" s="196" t="e">
        <f>+#REF!</f>
        <v>#REF!</v>
      </c>
      <c r="E45" s="180" t="s">
        <v>226</v>
      </c>
      <c r="F45" s="22" t="str">
        <f>IFERROR(VLOOKUP($E45,Casilleros!$A$4:$I$830,4,FALSE),"")</f>
        <v>ACTIVOS  NO CORRIENTES</v>
      </c>
      <c r="G45" s="22" t="str">
        <f>IFERROR(VLOOKUP($E45,Casilleros!$A$4:$I$830,9,FALSE),"")</f>
        <v>PROPIEDADES, PLANTA Y EQUIPO_(-) DEPRECIACIÒN ACUMULADA DE PROPIEDADES, PLANTA Y EQUIPO_Del ajuste acumulado por reexpresiones o revaluaciones_</v>
      </c>
      <c r="H45" s="22" t="str">
        <f>IFERROR(VLOOKUP($E45,Casilleros!$A$4:$J$830,10,FALSE),"")</f>
        <v>Propiedades, planta y equipo</v>
      </c>
      <c r="I45" s="6" t="e">
        <f>SUMIF(#REF!,$B45,#REF!)</f>
        <v>#REF!</v>
      </c>
      <c r="J45" s="6" t="e">
        <f>SUMIF(#REF!,$B45,#REF!)</f>
        <v>#REF!</v>
      </c>
      <c r="K45" s="6" t="e">
        <f t="shared" si="0"/>
        <v>#REF!</v>
      </c>
      <c r="L45" s="6">
        <f t="shared" si="1"/>
        <v>0</v>
      </c>
      <c r="M45" s="185"/>
      <c r="N45" s="20"/>
      <c r="O45" s="215"/>
      <c r="U45" s="20"/>
      <c r="Y45" s="42"/>
    </row>
    <row r="46" spans="1:25" s="7" customFormat="1" ht="15">
      <c r="A46" s="21">
        <f t="shared" si="2"/>
        <v>39</v>
      </c>
      <c r="B46" t="s">
        <v>2365</v>
      </c>
      <c r="C46" t="s">
        <v>2591</v>
      </c>
      <c r="D46" s="196" t="e">
        <f>+#REF!</f>
        <v>#REF!</v>
      </c>
      <c r="E46" s="180" t="s">
        <v>370</v>
      </c>
      <c r="F46" s="22" t="str">
        <f>IFERROR(VLOOKUP($E46,Casilleros!$A$4:$I$830,4,FALSE),"")</f>
        <v>PASIVOS CORRIENTES</v>
      </c>
      <c r="G46" s="22" t="str">
        <f>IFERROR(VLOOKUP($E46,Casilleros!$A$4:$I$830,9,FALSE),"")</f>
        <v>CUENTAS Y DOCUMENTOS POR PAGAR CORRIENTES_CUENTAS Y DOCUMENTOS POR PAGAR COMERCIALES CORRIENTES_RELACIONADAS_Locales</v>
      </c>
      <c r="H46" s="22" t="str">
        <f>IFERROR(VLOOKUP($E46,Casilleros!$A$4:$J$830,10,FALSE),"")</f>
        <v>Cuentas y documentos por pagar corrientes</v>
      </c>
      <c r="I46" s="6" t="e">
        <f>SUMIF(#REF!,$B46,#REF!)</f>
        <v>#REF!</v>
      </c>
      <c r="J46" s="6" t="e">
        <f>SUMIF(#REF!,$B46,#REF!)</f>
        <v>#REF!</v>
      </c>
      <c r="K46" s="6" t="e">
        <f t="shared" si="0"/>
        <v>#REF!</v>
      </c>
      <c r="L46" s="6">
        <f t="shared" si="1"/>
        <v>0</v>
      </c>
      <c r="M46" s="185"/>
      <c r="N46" s="20"/>
      <c r="O46" s="215"/>
      <c r="U46" s="20"/>
      <c r="Y46" s="42"/>
    </row>
    <row r="47" spans="1:25" s="7" customFormat="1" ht="15">
      <c r="A47" s="21">
        <f t="shared" si="2"/>
        <v>40</v>
      </c>
      <c r="B47" t="s">
        <v>2644</v>
      </c>
      <c r="C47" t="s">
        <v>2645</v>
      </c>
      <c r="D47" s="196" t="e">
        <f>+#REF!</f>
        <v>#REF!</v>
      </c>
      <c r="E47" s="180" t="s">
        <v>386</v>
      </c>
      <c r="F47" s="22" t="str">
        <f>IFERROR(VLOOKUP($E47,Casilleros!$A$4:$I$830,4,FALSE),"")</f>
        <v>PASIVOS CORRIENTES</v>
      </c>
      <c r="G47" s="22" t="str">
        <f>IFERROR(VLOOKUP($E47,Casilleros!$A$4:$I$830,9,FALSE),"")</f>
        <v>OBLIGACIONES CON INSTITUCIONES FINANCIERAS - CORRIENTES_RELACIONADAS_Locales_</v>
      </c>
      <c r="H47" s="22" t="str">
        <f>IFERROR(VLOOKUP($E47,Casilleros!$A$4:$J$830,10,FALSE),"")</f>
        <v>Cbligaciones con instituciones
financieras - corrientes</v>
      </c>
      <c r="I47" s="6" t="e">
        <f>SUMIF(#REF!,$B47,#REF!)</f>
        <v>#REF!</v>
      </c>
      <c r="J47" s="6" t="e">
        <f>SUMIF(#REF!,$B47,#REF!)</f>
        <v>#REF!</v>
      </c>
      <c r="K47" s="6" t="e">
        <f t="shared" si="0"/>
        <v>#REF!</v>
      </c>
      <c r="L47" s="6">
        <f t="shared" si="1"/>
        <v>0</v>
      </c>
      <c r="M47" s="185"/>
      <c r="N47" s="20"/>
      <c r="O47" s="215"/>
      <c r="U47" s="20"/>
      <c r="Y47" s="42"/>
    </row>
    <row r="48" spans="1:25" s="7" customFormat="1" ht="15">
      <c r="A48" s="21">
        <f t="shared" si="2"/>
        <v>41</v>
      </c>
      <c r="B48" t="s">
        <v>2646</v>
      </c>
      <c r="C48" t="s">
        <v>2647</v>
      </c>
      <c r="D48" s="196" t="e">
        <f>+#REF!</f>
        <v>#REF!</v>
      </c>
      <c r="E48" s="180" t="s">
        <v>370</v>
      </c>
      <c r="F48" s="22" t="str">
        <f>IFERROR(VLOOKUP($E48,Casilleros!$A$4:$I$830,4,FALSE),"")</f>
        <v>PASIVOS CORRIENTES</v>
      </c>
      <c r="G48" s="22" t="str">
        <f>IFERROR(VLOOKUP($E48,Casilleros!$A$4:$I$830,9,FALSE),"")</f>
        <v>CUENTAS Y DOCUMENTOS POR PAGAR CORRIENTES_CUENTAS Y DOCUMENTOS POR PAGAR COMERCIALES CORRIENTES_RELACIONADAS_Locales</v>
      </c>
      <c r="H48" s="22" t="str">
        <f>IFERROR(VLOOKUP($E48,Casilleros!$A$4:$J$830,10,FALSE),"")</f>
        <v>Cuentas y documentos por pagar corrientes</v>
      </c>
      <c r="I48" s="6" t="e">
        <f>SUMIF(#REF!,$B48,#REF!)</f>
        <v>#REF!</v>
      </c>
      <c r="J48" s="6" t="e">
        <f>SUMIF(#REF!,$B48,#REF!)</f>
        <v>#REF!</v>
      </c>
      <c r="K48" s="6" t="e">
        <f t="shared" si="0"/>
        <v>#REF!</v>
      </c>
      <c r="L48" s="6">
        <f t="shared" si="1"/>
        <v>0</v>
      </c>
      <c r="M48" s="185"/>
      <c r="N48" s="20"/>
      <c r="O48" s="215"/>
      <c r="U48" s="20"/>
      <c r="Y48" s="42"/>
    </row>
    <row r="49" spans="1:25" s="7" customFormat="1" ht="15">
      <c r="A49" s="21">
        <f t="shared" si="2"/>
        <v>42</v>
      </c>
      <c r="B49" t="s">
        <v>2366</v>
      </c>
      <c r="C49" t="s">
        <v>2592</v>
      </c>
      <c r="D49" s="196" t="e">
        <f>+#REF!</f>
        <v>#REF!</v>
      </c>
      <c r="E49" s="180" t="s">
        <v>370</v>
      </c>
      <c r="F49" s="22" t="str">
        <f>IFERROR(VLOOKUP($E49,Casilleros!$A$4:$I$830,4,FALSE),"")</f>
        <v>PASIVOS CORRIENTES</v>
      </c>
      <c r="G49" s="22" t="str">
        <f>IFERROR(VLOOKUP($E49,Casilleros!$A$4:$I$830,9,FALSE),"")</f>
        <v>CUENTAS Y DOCUMENTOS POR PAGAR CORRIENTES_CUENTAS Y DOCUMENTOS POR PAGAR COMERCIALES CORRIENTES_RELACIONADAS_Locales</v>
      </c>
      <c r="H49" s="22" t="str">
        <f>IFERROR(VLOOKUP($E49,Casilleros!$A$4:$J$830,10,FALSE),"")</f>
        <v>Cuentas y documentos por pagar corrientes</v>
      </c>
      <c r="I49" s="6" t="e">
        <f>SUMIF(#REF!,$B49,#REF!)</f>
        <v>#REF!</v>
      </c>
      <c r="J49" s="6" t="e">
        <f>SUMIF(#REF!,$B49,#REF!)</f>
        <v>#REF!</v>
      </c>
      <c r="K49" s="6" t="e">
        <f t="shared" si="0"/>
        <v>#REF!</v>
      </c>
      <c r="L49" s="6">
        <f t="shared" si="1"/>
        <v>0</v>
      </c>
      <c r="M49" s="185"/>
      <c r="N49" s="20"/>
      <c r="O49" s="215"/>
      <c r="U49" s="20"/>
      <c r="Y49" s="42"/>
    </row>
    <row r="50" spans="1:25" s="7" customFormat="1" ht="15">
      <c r="A50" s="21">
        <f t="shared" si="2"/>
        <v>43</v>
      </c>
      <c r="B50" t="s">
        <v>2367</v>
      </c>
      <c r="C50" t="s">
        <v>2593</v>
      </c>
      <c r="D50" s="196" t="e">
        <f>+#REF!</f>
        <v>#REF!</v>
      </c>
      <c r="E50" s="180" t="s">
        <v>388</v>
      </c>
      <c r="F50" s="22" t="str">
        <f>IFERROR(VLOOKUP($E50,Casilleros!$A$4:$I$830,4,FALSE),"")</f>
        <v>PASIVOS CORRIENTES</v>
      </c>
      <c r="G50" s="22" t="str">
        <f>IFERROR(VLOOKUP($E50,Casilleros!$A$4:$I$830,9,FALSE),"")</f>
        <v>OBLIGACIONES CON INSTITUCIONES FINANCIERAS - CORRIENTES_NO RELACIONADAS_Locales_</v>
      </c>
      <c r="H50" s="22" t="str">
        <f>IFERROR(VLOOKUP($E50,Casilleros!$A$4:$J$830,10,FALSE),"")</f>
        <v>Cbligaciones con instituciones
financieras - corrientes</v>
      </c>
      <c r="I50" s="6" t="e">
        <f>SUMIF(#REF!,$B50,#REF!)</f>
        <v>#REF!</v>
      </c>
      <c r="J50" s="6" t="e">
        <f>SUMIF(#REF!,$B50,#REF!)</f>
        <v>#REF!</v>
      </c>
      <c r="K50" s="6" t="e">
        <f t="shared" si="0"/>
        <v>#REF!</v>
      </c>
      <c r="L50" s="6">
        <f t="shared" si="1"/>
        <v>0</v>
      </c>
      <c r="M50" s="185"/>
      <c r="N50" s="20"/>
      <c r="O50" s="215"/>
      <c r="U50" s="20"/>
      <c r="Y50" s="42"/>
    </row>
    <row r="51" spans="1:25" s="7" customFormat="1" ht="15">
      <c r="A51" s="21">
        <f t="shared" si="2"/>
        <v>44</v>
      </c>
      <c r="B51" t="s">
        <v>2368</v>
      </c>
      <c r="C51" t="s">
        <v>2594</v>
      </c>
      <c r="D51" s="196" t="e">
        <f>+#REF!</f>
        <v>#REF!</v>
      </c>
      <c r="E51" s="180" t="s">
        <v>388</v>
      </c>
      <c r="F51" s="22" t="str">
        <f>IFERROR(VLOOKUP($E51,Casilleros!$A$4:$I$830,4,FALSE),"")</f>
        <v>PASIVOS CORRIENTES</v>
      </c>
      <c r="G51" s="22" t="str">
        <f>IFERROR(VLOOKUP($E51,Casilleros!$A$4:$I$830,9,FALSE),"")</f>
        <v>OBLIGACIONES CON INSTITUCIONES FINANCIERAS - CORRIENTES_NO RELACIONADAS_Locales_</v>
      </c>
      <c r="H51" s="22" t="str">
        <f>IFERROR(VLOOKUP($E51,Casilleros!$A$4:$J$830,10,FALSE),"")</f>
        <v>Cbligaciones con instituciones
financieras - corrientes</v>
      </c>
      <c r="I51" s="6" t="e">
        <f>SUMIF(#REF!,$B51,#REF!)</f>
        <v>#REF!</v>
      </c>
      <c r="J51" s="6" t="e">
        <f>SUMIF(#REF!,$B51,#REF!)</f>
        <v>#REF!</v>
      </c>
      <c r="K51" s="6" t="e">
        <f t="shared" si="0"/>
        <v>#REF!</v>
      </c>
      <c r="L51" s="6">
        <f t="shared" si="1"/>
        <v>0</v>
      </c>
      <c r="M51" s="185"/>
      <c r="N51" s="20"/>
      <c r="O51" s="215"/>
      <c r="U51" s="20"/>
      <c r="Y51" s="42"/>
    </row>
    <row r="52" spans="1:25" s="7" customFormat="1" ht="15">
      <c r="A52" s="21">
        <f t="shared" si="2"/>
        <v>45</v>
      </c>
      <c r="B52" t="s">
        <v>2369</v>
      </c>
      <c r="C52" t="s">
        <v>2595</v>
      </c>
      <c r="D52" s="196" t="e">
        <f>+#REF!</f>
        <v>#REF!</v>
      </c>
      <c r="E52" s="180" t="s">
        <v>388</v>
      </c>
      <c r="F52" s="22" t="str">
        <f>IFERROR(VLOOKUP($E52,Casilleros!$A$4:$I$830,4,FALSE),"")</f>
        <v>PASIVOS CORRIENTES</v>
      </c>
      <c r="G52" s="22" t="str">
        <f>IFERROR(VLOOKUP($E52,Casilleros!$A$4:$I$830,9,FALSE),"")</f>
        <v>OBLIGACIONES CON INSTITUCIONES FINANCIERAS - CORRIENTES_NO RELACIONADAS_Locales_</v>
      </c>
      <c r="H52" s="22" t="str">
        <f>IFERROR(VLOOKUP($E52,Casilleros!$A$4:$J$830,10,FALSE),"")</f>
        <v>Cbligaciones con instituciones
financieras - corrientes</v>
      </c>
      <c r="I52" s="6" t="e">
        <f>SUMIF(#REF!,$B52,#REF!)</f>
        <v>#REF!</v>
      </c>
      <c r="J52" s="6" t="e">
        <f>SUMIF(#REF!,$B52,#REF!)</f>
        <v>#REF!</v>
      </c>
      <c r="K52" s="6" t="e">
        <f t="shared" si="0"/>
        <v>#REF!</v>
      </c>
      <c r="L52" s="6">
        <f t="shared" si="1"/>
        <v>0</v>
      </c>
      <c r="M52" s="185"/>
      <c r="N52" s="20"/>
      <c r="O52" s="215"/>
      <c r="U52" s="20"/>
      <c r="Y52" s="42"/>
    </row>
    <row r="53" spans="1:25" s="7" customFormat="1" ht="15">
      <c r="A53" s="21">
        <f t="shared" si="2"/>
        <v>46</v>
      </c>
      <c r="B53" t="s">
        <v>2370</v>
      </c>
      <c r="C53" t="s">
        <v>2596</v>
      </c>
      <c r="D53" s="196" t="e">
        <f>+#REF!</f>
        <v>#REF!</v>
      </c>
      <c r="E53" s="180" t="s">
        <v>388</v>
      </c>
      <c r="F53" s="22" t="str">
        <f>IFERROR(VLOOKUP($E53,Casilleros!$A$4:$I$830,4,FALSE),"")</f>
        <v>PASIVOS CORRIENTES</v>
      </c>
      <c r="G53" s="22" t="str">
        <f>IFERROR(VLOOKUP($E53,Casilleros!$A$4:$I$830,9,FALSE),"")</f>
        <v>OBLIGACIONES CON INSTITUCIONES FINANCIERAS - CORRIENTES_NO RELACIONADAS_Locales_</v>
      </c>
      <c r="H53" s="22" t="str">
        <f>IFERROR(VLOOKUP($E53,Casilleros!$A$4:$J$830,10,FALSE),"")</f>
        <v>Cbligaciones con instituciones
financieras - corrientes</v>
      </c>
      <c r="I53" s="6" t="e">
        <f>SUMIF(#REF!,$B53,#REF!)</f>
        <v>#REF!</v>
      </c>
      <c r="J53" s="6" t="e">
        <f>SUMIF(#REF!,$B53,#REF!)</f>
        <v>#REF!</v>
      </c>
      <c r="K53" s="6" t="e">
        <f t="shared" si="0"/>
        <v>#REF!</v>
      </c>
      <c r="L53" s="6">
        <f t="shared" si="1"/>
        <v>0</v>
      </c>
      <c r="M53" s="185"/>
      <c r="N53" s="20"/>
      <c r="O53" s="215"/>
      <c r="U53" s="20"/>
      <c r="Y53" s="42"/>
    </row>
    <row r="54" spans="1:25" s="7" customFormat="1" ht="15">
      <c r="A54" s="21">
        <f t="shared" si="2"/>
        <v>47</v>
      </c>
      <c r="B54" t="s">
        <v>2371</v>
      </c>
      <c r="C54" t="s">
        <v>2597</v>
      </c>
      <c r="D54" s="196" t="e">
        <f>+#REF!</f>
        <v>#REF!</v>
      </c>
      <c r="E54" s="180" t="s">
        <v>388</v>
      </c>
      <c r="F54" s="22" t="str">
        <f>IFERROR(VLOOKUP($E54,Casilleros!$A$4:$I$830,4,FALSE),"")</f>
        <v>PASIVOS CORRIENTES</v>
      </c>
      <c r="G54" s="22" t="str">
        <f>IFERROR(VLOOKUP($E54,Casilleros!$A$4:$I$830,9,FALSE),"")</f>
        <v>OBLIGACIONES CON INSTITUCIONES FINANCIERAS - CORRIENTES_NO RELACIONADAS_Locales_</v>
      </c>
      <c r="H54" s="22" t="str">
        <f>IFERROR(VLOOKUP($E54,Casilleros!$A$4:$J$830,10,FALSE),"")</f>
        <v>Cbligaciones con instituciones
financieras - corrientes</v>
      </c>
      <c r="I54" s="6" t="e">
        <f>SUMIF(#REF!,$B54,#REF!)</f>
        <v>#REF!</v>
      </c>
      <c r="J54" s="6" t="e">
        <f>SUMIF(#REF!,$B54,#REF!)</f>
        <v>#REF!</v>
      </c>
      <c r="K54" s="6" t="e">
        <f t="shared" si="0"/>
        <v>#REF!</v>
      </c>
      <c r="L54" s="6">
        <f t="shared" si="1"/>
        <v>0</v>
      </c>
      <c r="M54" s="185"/>
      <c r="N54" s="20"/>
      <c r="O54" s="215"/>
      <c r="U54" s="20"/>
      <c r="Y54" s="42"/>
    </row>
    <row r="55" spans="1:25" s="7" customFormat="1" ht="15">
      <c r="A55" s="21">
        <f t="shared" si="2"/>
        <v>48</v>
      </c>
      <c r="B55" t="s">
        <v>2644</v>
      </c>
      <c r="C55" t="s">
        <v>2645</v>
      </c>
      <c r="D55" s="196"/>
      <c r="E55" s="180" t="s">
        <v>386</v>
      </c>
      <c r="F55" s="22" t="str">
        <f>IFERROR(VLOOKUP($E55,Casilleros!$A$4:$I$830,4,FALSE),"")</f>
        <v>PASIVOS CORRIENTES</v>
      </c>
      <c r="G55" s="22" t="str">
        <f>IFERROR(VLOOKUP($E55,Casilleros!$A$4:$I$830,9,FALSE),"")</f>
        <v>OBLIGACIONES CON INSTITUCIONES FINANCIERAS - CORRIENTES_RELACIONADAS_Locales_</v>
      </c>
      <c r="H55" s="22" t="str">
        <f>IFERROR(VLOOKUP($E55,Casilleros!$A$4:$J$830,10,FALSE),"")</f>
        <v>Cbligaciones con instituciones
financieras - corrientes</v>
      </c>
      <c r="I55" s="6" t="e">
        <f>SUMIF(#REF!,$B55,#REF!)</f>
        <v>#REF!</v>
      </c>
      <c r="J55" s="6" t="e">
        <f>SUMIF(#REF!,$B55,#REF!)</f>
        <v>#REF!</v>
      </c>
      <c r="K55" s="6" t="e">
        <f t="shared" ref="K55:K56" si="11">+D55+SUM(I55:J55)</f>
        <v>#REF!</v>
      </c>
      <c r="L55" s="6">
        <f t="shared" ref="L55:L56" si="12">IF(E55="",K55,0)</f>
        <v>0</v>
      </c>
      <c r="M55" s="185"/>
      <c r="N55" s="20"/>
      <c r="O55" s="215"/>
      <c r="U55" s="20"/>
      <c r="Y55" s="42"/>
    </row>
    <row r="56" spans="1:25" s="7" customFormat="1" ht="15">
      <c r="A56" s="21">
        <f t="shared" si="2"/>
        <v>49</v>
      </c>
      <c r="B56" t="s">
        <v>2646</v>
      </c>
      <c r="C56" t="s">
        <v>2647</v>
      </c>
      <c r="D56" s="196"/>
      <c r="E56" s="180" t="s">
        <v>370</v>
      </c>
      <c r="F56" s="22" t="str">
        <f>IFERROR(VLOOKUP($E56,Casilleros!$A$4:$I$830,4,FALSE),"")</f>
        <v>PASIVOS CORRIENTES</v>
      </c>
      <c r="G56" s="22" t="str">
        <f>IFERROR(VLOOKUP($E56,Casilleros!$A$4:$I$830,9,FALSE),"")</f>
        <v>CUENTAS Y DOCUMENTOS POR PAGAR CORRIENTES_CUENTAS Y DOCUMENTOS POR PAGAR COMERCIALES CORRIENTES_RELACIONADAS_Locales</v>
      </c>
      <c r="H56" s="22" t="str">
        <f>IFERROR(VLOOKUP($E56,Casilleros!$A$4:$J$830,10,FALSE),"")</f>
        <v>Cuentas y documentos por pagar corrientes</v>
      </c>
      <c r="I56" s="6" t="e">
        <f>SUMIF(#REF!,$B56,#REF!)</f>
        <v>#REF!</v>
      </c>
      <c r="J56" s="6" t="e">
        <f>SUMIF(#REF!,$B56,#REF!)</f>
        <v>#REF!</v>
      </c>
      <c r="K56" s="6" t="e">
        <f t="shared" si="11"/>
        <v>#REF!</v>
      </c>
      <c r="L56" s="6">
        <f t="shared" si="12"/>
        <v>0</v>
      </c>
      <c r="M56" s="185"/>
      <c r="N56" s="20"/>
      <c r="O56" s="215"/>
      <c r="U56" s="20"/>
      <c r="Y56" s="42"/>
    </row>
    <row r="57" spans="1:25" s="7" customFormat="1" ht="15">
      <c r="A57" s="21">
        <f t="shared" si="2"/>
        <v>50</v>
      </c>
      <c r="B57" t="s">
        <v>2632</v>
      </c>
      <c r="C57" t="s">
        <v>2633</v>
      </c>
      <c r="D57" s="196" t="e">
        <f>+#REF!</f>
        <v>#REF!</v>
      </c>
      <c r="E57" s="180" t="s">
        <v>370</v>
      </c>
      <c r="F57" s="22" t="str">
        <f>IFERROR(VLOOKUP($E57,Casilleros!$A$4:$I$830,4,FALSE),"")</f>
        <v>PASIVOS CORRIENTES</v>
      </c>
      <c r="G57" s="22" t="str">
        <f>IFERROR(VLOOKUP($E57,Casilleros!$A$4:$I$830,9,FALSE),"")</f>
        <v>CUENTAS Y DOCUMENTOS POR PAGAR CORRIENTES_CUENTAS Y DOCUMENTOS POR PAGAR COMERCIALES CORRIENTES_RELACIONADAS_Locales</v>
      </c>
      <c r="H57" s="22" t="str">
        <f>IFERROR(VLOOKUP($E57,Casilleros!$A$4:$J$830,10,FALSE),"")</f>
        <v>Cuentas y documentos por pagar corrientes</v>
      </c>
      <c r="I57" s="6" t="e">
        <f>SUMIF(#REF!,$B57,#REF!)</f>
        <v>#REF!</v>
      </c>
      <c r="J57" s="6" t="e">
        <f>SUMIF(#REF!,$B57,#REF!)</f>
        <v>#REF!</v>
      </c>
      <c r="K57" s="6" t="e">
        <f t="shared" si="0"/>
        <v>#REF!</v>
      </c>
      <c r="L57" s="6">
        <f t="shared" si="1"/>
        <v>0</v>
      </c>
      <c r="M57" s="185"/>
      <c r="N57" s="20"/>
      <c r="O57" s="215"/>
      <c r="U57" s="20"/>
      <c r="Y57" s="42"/>
    </row>
    <row r="58" spans="1:25" s="7" customFormat="1" ht="15">
      <c r="A58" s="21">
        <f t="shared" si="2"/>
        <v>51</v>
      </c>
      <c r="B58" t="s">
        <v>2372</v>
      </c>
      <c r="C58" t="s">
        <v>2598</v>
      </c>
      <c r="D58" s="196" t="e">
        <f>+#REF!</f>
        <v>#REF!</v>
      </c>
      <c r="E58" s="180" t="s">
        <v>405</v>
      </c>
      <c r="F58" s="22" t="str">
        <f>IFERROR(VLOOKUP($E58,Casilleros!$A$4:$I$830,4,FALSE),"")</f>
        <v>PASIVOS CORRIENTES</v>
      </c>
      <c r="G58" s="22" t="str">
        <f>IFERROR(VLOOKUP($E58,Casilleros!$A$4:$I$830,9,FALSE),"")</f>
        <v>PASIVOS CORRIENTES POR BENEFICIOS A LOS EMPLEADOS_Obligaciones con el IESS__</v>
      </c>
      <c r="H58" s="22" t="str">
        <f>IFERROR(VLOOKUP($E58,Casilleros!$A$4:$J$830,10,FALSE),"")</f>
        <v>Pasivos corrientes por beneficios a los empleados</v>
      </c>
      <c r="I58" s="6" t="e">
        <f>SUMIF(#REF!,$B58,#REF!)</f>
        <v>#REF!</v>
      </c>
      <c r="J58" s="6" t="e">
        <f>SUMIF(#REF!,$B58,#REF!)</f>
        <v>#REF!</v>
      </c>
      <c r="K58" s="6" t="e">
        <f t="shared" si="0"/>
        <v>#REF!</v>
      </c>
      <c r="L58" s="6">
        <f t="shared" si="1"/>
        <v>0</v>
      </c>
      <c r="M58" s="185"/>
      <c r="N58" s="20"/>
      <c r="O58" s="215"/>
      <c r="U58" s="20"/>
      <c r="Y58" s="42"/>
    </row>
    <row r="59" spans="1:25" s="7" customFormat="1" ht="15">
      <c r="A59" s="21">
        <f t="shared" si="2"/>
        <v>52</v>
      </c>
      <c r="B59" t="s">
        <v>2373</v>
      </c>
      <c r="C59" t="s">
        <v>2599</v>
      </c>
      <c r="D59" s="196" t="e">
        <f>+#REF!</f>
        <v>#REF!</v>
      </c>
      <c r="E59" s="180" t="s">
        <v>405</v>
      </c>
      <c r="F59" s="22" t="str">
        <f>IFERROR(VLOOKUP($E59,Casilleros!$A$4:$I$830,4,FALSE),"")</f>
        <v>PASIVOS CORRIENTES</v>
      </c>
      <c r="G59" s="22" t="str">
        <f>IFERROR(VLOOKUP($E59,Casilleros!$A$4:$I$830,9,FALSE),"")</f>
        <v>PASIVOS CORRIENTES POR BENEFICIOS A LOS EMPLEADOS_Obligaciones con el IESS__</v>
      </c>
      <c r="H59" s="22" t="str">
        <f>IFERROR(VLOOKUP($E59,Casilleros!$A$4:$J$830,10,FALSE),"")</f>
        <v>Pasivos corrientes por beneficios a los empleados</v>
      </c>
      <c r="I59" s="6" t="e">
        <f>SUMIF(#REF!,$B59,#REF!)</f>
        <v>#REF!</v>
      </c>
      <c r="J59" s="6" t="e">
        <f>SUMIF(#REF!,$B59,#REF!)</f>
        <v>#REF!</v>
      </c>
      <c r="K59" s="6" t="e">
        <f t="shared" si="0"/>
        <v>#REF!</v>
      </c>
      <c r="L59" s="6">
        <f t="shared" si="1"/>
        <v>0</v>
      </c>
      <c r="M59" s="185"/>
      <c r="N59" s="20"/>
      <c r="O59" s="215"/>
      <c r="U59" s="20"/>
      <c r="Y59" s="42"/>
    </row>
    <row r="60" spans="1:25" s="7" customFormat="1" ht="15">
      <c r="A60" s="21">
        <f t="shared" si="2"/>
        <v>53</v>
      </c>
      <c r="B60" t="s">
        <v>2374</v>
      </c>
      <c r="C60" t="s">
        <v>2600</v>
      </c>
      <c r="D60" s="196" t="e">
        <f>+#REF!</f>
        <v>#REF!</v>
      </c>
      <c r="E60" s="180" t="s">
        <v>405</v>
      </c>
      <c r="F60" s="22" t="str">
        <f>IFERROR(VLOOKUP($E60,Casilleros!$A$4:$I$830,4,FALSE),"")</f>
        <v>PASIVOS CORRIENTES</v>
      </c>
      <c r="G60" s="22" t="str">
        <f>IFERROR(VLOOKUP($E60,Casilleros!$A$4:$I$830,9,FALSE),"")</f>
        <v>PASIVOS CORRIENTES POR BENEFICIOS A LOS EMPLEADOS_Obligaciones con el IESS__</v>
      </c>
      <c r="H60" s="22" t="str">
        <f>IFERROR(VLOOKUP($E60,Casilleros!$A$4:$J$830,10,FALSE),"")</f>
        <v>Pasivos corrientes por beneficios a los empleados</v>
      </c>
      <c r="I60" s="6" t="e">
        <f>SUMIF(#REF!,$B60,#REF!)</f>
        <v>#REF!</v>
      </c>
      <c r="J60" s="6" t="e">
        <f>SUMIF(#REF!,$B60,#REF!)</f>
        <v>#REF!</v>
      </c>
      <c r="K60" s="6" t="e">
        <f t="shared" si="0"/>
        <v>#REF!</v>
      </c>
      <c r="L60" s="6">
        <f t="shared" si="1"/>
        <v>0</v>
      </c>
      <c r="M60" s="185"/>
      <c r="N60" s="20"/>
      <c r="O60" s="215"/>
      <c r="U60" s="20"/>
      <c r="Y60" s="42"/>
    </row>
    <row r="61" spans="1:25" s="7" customFormat="1" ht="15">
      <c r="A61" s="21">
        <f t="shared" si="2"/>
        <v>54</v>
      </c>
      <c r="B61" t="s">
        <v>2375</v>
      </c>
      <c r="C61" t="s">
        <v>2601</v>
      </c>
      <c r="D61" s="196" t="e">
        <f>+#REF!</f>
        <v>#REF!</v>
      </c>
      <c r="E61" s="180" t="s">
        <v>405</v>
      </c>
      <c r="F61" s="22" t="str">
        <f>IFERROR(VLOOKUP($E61,Casilleros!$A$4:$I$830,4,FALSE),"")</f>
        <v>PASIVOS CORRIENTES</v>
      </c>
      <c r="G61" s="22" t="str">
        <f>IFERROR(VLOOKUP($E61,Casilleros!$A$4:$I$830,9,FALSE),"")</f>
        <v>PASIVOS CORRIENTES POR BENEFICIOS A LOS EMPLEADOS_Obligaciones con el IESS__</v>
      </c>
      <c r="H61" s="22" t="str">
        <f>IFERROR(VLOOKUP($E61,Casilleros!$A$4:$J$830,10,FALSE),"")</f>
        <v>Pasivos corrientes por beneficios a los empleados</v>
      </c>
      <c r="I61" s="6" t="e">
        <f>SUMIF(#REF!,$B61,#REF!)</f>
        <v>#REF!</v>
      </c>
      <c r="J61" s="6" t="e">
        <f>SUMIF(#REF!,$B61,#REF!)</f>
        <v>#REF!</v>
      </c>
      <c r="K61" s="6" t="e">
        <f t="shared" si="0"/>
        <v>#REF!</v>
      </c>
      <c r="L61" s="6">
        <f t="shared" si="1"/>
        <v>0</v>
      </c>
      <c r="M61" s="185"/>
      <c r="N61" s="20"/>
      <c r="O61" s="215"/>
      <c r="U61" s="20"/>
      <c r="Y61" s="42"/>
    </row>
    <row r="62" spans="1:25" s="7" customFormat="1" ht="15">
      <c r="A62" s="21">
        <f t="shared" si="2"/>
        <v>55</v>
      </c>
      <c r="B62" s="225" t="s">
        <v>2648</v>
      </c>
      <c r="C62" s="225" t="s">
        <v>2649</v>
      </c>
      <c r="D62" s="226">
        <v>0</v>
      </c>
      <c r="E62" s="180" t="s">
        <v>409</v>
      </c>
      <c r="F62" s="22" t="str">
        <f>IFERROR(VLOOKUP($E62,Casilleros!$A$4:$I$830,4,FALSE),"")</f>
        <v>PASIVOS CORRIENTES</v>
      </c>
      <c r="G62" s="22" t="str">
        <f>IFERROR(VLOOKUP($E62,Casilleros!$A$4:$I$830,9,FALSE),"")</f>
        <v>PASIVOS CORRIENTES POR BENEFICIOS A LOS EMPLEADOS_Otros Pasivos Corrientes Por Beneficios a Empleados__</v>
      </c>
      <c r="H62" s="22" t="str">
        <f>IFERROR(VLOOKUP($E62,Casilleros!$A$4:$J$830,10,FALSE),"")</f>
        <v>Pasivos corrientes por beneficios a los empleados</v>
      </c>
      <c r="I62" s="6" t="e">
        <f>SUMIF(#REF!,$B62,#REF!)</f>
        <v>#REF!</v>
      </c>
      <c r="J62" s="6" t="e">
        <f>SUMIF(#REF!,$B62,#REF!)</f>
        <v>#REF!</v>
      </c>
      <c r="K62" s="6" t="e">
        <f t="shared" ref="K62" si="13">+D62+SUM(I62:J62)</f>
        <v>#REF!</v>
      </c>
      <c r="L62" s="6">
        <f t="shared" ref="L62" si="14">IF(E62="",K62,0)</f>
        <v>0</v>
      </c>
      <c r="M62" s="185"/>
      <c r="N62" s="20"/>
      <c r="O62" s="215"/>
      <c r="U62" s="20"/>
      <c r="Y62" s="42"/>
    </row>
    <row r="63" spans="1:25" s="7" customFormat="1" ht="15">
      <c r="A63" s="21">
        <f t="shared" si="2"/>
        <v>56</v>
      </c>
      <c r="B63" t="s">
        <v>2376</v>
      </c>
      <c r="C63" t="s">
        <v>2602</v>
      </c>
      <c r="D63" s="196" t="e">
        <f>+#REF!</f>
        <v>#REF!</v>
      </c>
      <c r="E63" s="180" t="s">
        <v>409</v>
      </c>
      <c r="F63" s="22" t="str">
        <f>IFERROR(VLOOKUP($E63,Casilleros!$A$4:$I$830,4,FALSE),"")</f>
        <v>PASIVOS CORRIENTES</v>
      </c>
      <c r="G63" s="22" t="str">
        <f>IFERROR(VLOOKUP($E63,Casilleros!$A$4:$I$830,9,FALSE),"")</f>
        <v>PASIVOS CORRIENTES POR BENEFICIOS A LOS EMPLEADOS_Otros Pasivos Corrientes Por Beneficios a Empleados__</v>
      </c>
      <c r="H63" s="22" t="str">
        <f>IFERROR(VLOOKUP($E63,Casilleros!$A$4:$J$830,10,FALSE),"")</f>
        <v>Pasivos corrientes por beneficios a los empleados</v>
      </c>
      <c r="I63" s="6" t="e">
        <f>SUMIF(#REF!,$B63,#REF!)</f>
        <v>#REF!</v>
      </c>
      <c r="J63" s="6" t="e">
        <f>SUMIF(#REF!,$B63,#REF!)</f>
        <v>#REF!</v>
      </c>
      <c r="K63" s="6" t="e">
        <f t="shared" si="0"/>
        <v>#REF!</v>
      </c>
      <c r="L63" s="6">
        <f t="shared" si="1"/>
        <v>0</v>
      </c>
      <c r="M63" s="185"/>
      <c r="N63" s="20"/>
      <c r="O63" s="215"/>
      <c r="U63" s="20"/>
      <c r="Y63" s="42"/>
    </row>
    <row r="64" spans="1:25" s="7" customFormat="1" ht="15">
      <c r="A64" s="21">
        <f t="shared" si="2"/>
        <v>57</v>
      </c>
      <c r="B64" t="s">
        <v>2377</v>
      </c>
      <c r="C64" t="s">
        <v>2603</v>
      </c>
      <c r="D64" s="196" t="e">
        <f>+#REF!</f>
        <v>#REF!</v>
      </c>
      <c r="E64" s="180" t="s">
        <v>409</v>
      </c>
      <c r="F64" s="22" t="str">
        <f>IFERROR(VLOOKUP($E64,Casilleros!$A$4:$I$830,4,FALSE),"")</f>
        <v>PASIVOS CORRIENTES</v>
      </c>
      <c r="G64" s="22" t="str">
        <f>IFERROR(VLOOKUP($E64,Casilleros!$A$4:$I$830,9,FALSE),"")</f>
        <v>PASIVOS CORRIENTES POR BENEFICIOS A LOS EMPLEADOS_Otros Pasivos Corrientes Por Beneficios a Empleados__</v>
      </c>
      <c r="H64" s="22" t="str">
        <f>IFERROR(VLOOKUP($E64,Casilleros!$A$4:$J$830,10,FALSE),"")</f>
        <v>Pasivos corrientes por beneficios a los empleados</v>
      </c>
      <c r="I64" s="6" t="e">
        <f>SUMIF(#REF!,$B64,#REF!)</f>
        <v>#REF!</v>
      </c>
      <c r="J64" s="6" t="e">
        <f>SUMIF(#REF!,$B64,#REF!)</f>
        <v>#REF!</v>
      </c>
      <c r="K64" s="6" t="e">
        <f t="shared" si="0"/>
        <v>#REF!</v>
      </c>
      <c r="L64" s="6">
        <f t="shared" si="1"/>
        <v>0</v>
      </c>
      <c r="M64" s="185"/>
      <c r="N64" s="20"/>
      <c r="O64" s="215"/>
      <c r="U64" s="20"/>
      <c r="Y64" s="42"/>
    </row>
    <row r="65" spans="1:25" s="7" customFormat="1" ht="15">
      <c r="A65" s="21">
        <f t="shared" si="2"/>
        <v>58</v>
      </c>
      <c r="B65" t="s">
        <v>2634</v>
      </c>
      <c r="C65" t="s">
        <v>2635</v>
      </c>
      <c r="D65" s="196" t="e">
        <f>+#REF!</f>
        <v>#REF!</v>
      </c>
      <c r="E65" s="180" t="s">
        <v>403</v>
      </c>
      <c r="F65" s="22" t="str">
        <f>IFERROR(VLOOKUP($E65,Casilleros!$A$4:$I$830,4,FALSE),"")</f>
        <v>PASIVOS CORRIENTES</v>
      </c>
      <c r="G65" s="22" t="str">
        <f>IFERROR(VLOOKUP($E65,Casilleros!$A$4:$I$830,9,FALSE),"")</f>
        <v>PASIVOS CORRIENTES POR BENEFICIOS A LOS EMPLEADOS_Participación trabajadores por pagar del ejercicio__</v>
      </c>
      <c r="H65" s="22" t="str">
        <f>IFERROR(VLOOKUP($E65,Casilleros!$A$4:$J$830,10,FALSE),"")</f>
        <v>Pasivos corrientes por beneficios a los empleados</v>
      </c>
      <c r="I65" s="6" t="e">
        <f>SUMIF(#REF!,$B65,#REF!)</f>
        <v>#REF!</v>
      </c>
      <c r="J65" s="6" t="e">
        <f>SUMIF(#REF!,$B65,#REF!)</f>
        <v>#REF!</v>
      </c>
      <c r="K65" s="6" t="e">
        <f t="shared" si="0"/>
        <v>#REF!</v>
      </c>
      <c r="L65" s="6">
        <f t="shared" si="1"/>
        <v>0</v>
      </c>
      <c r="M65" s="185"/>
      <c r="N65" s="20"/>
      <c r="O65" s="215"/>
      <c r="U65" s="20"/>
      <c r="Y65" s="42"/>
    </row>
    <row r="66" spans="1:25" s="7" customFormat="1" ht="15">
      <c r="A66" s="21">
        <f t="shared" si="2"/>
        <v>59</v>
      </c>
      <c r="B66" t="s">
        <v>2623</v>
      </c>
      <c r="C66" t="s">
        <v>2636</v>
      </c>
      <c r="D66" s="196" t="e">
        <f>+#REF!</f>
        <v>#REF!</v>
      </c>
      <c r="E66" s="180" t="s">
        <v>400</v>
      </c>
      <c r="F66" s="22" t="str">
        <f>IFERROR(VLOOKUP($E66,Casilleros!$A$4:$I$830,4,FALSE),"")</f>
        <v>PASIVOS CORRIENTES</v>
      </c>
      <c r="G66" s="22" t="str">
        <f>IFERROR(VLOOKUP($E66,Casilleros!$A$4:$I$830,9,FALSE),"")</f>
        <v>Impuesto A La Renta Por Pagar Del Ejercicio</v>
      </c>
      <c r="H66" s="22" t="str">
        <f>IFERROR(VLOOKUP($E66,Casilleros!$A$4:$J$830,10,FALSE),"")</f>
        <v>Impuesto a la renta por pagar del ejercicio</v>
      </c>
      <c r="I66" s="6" t="e">
        <f>SUMIF(#REF!,$B66,#REF!)</f>
        <v>#REF!</v>
      </c>
      <c r="J66" s="6" t="e">
        <f>SUMIF(#REF!,$B66,#REF!)</f>
        <v>#REF!</v>
      </c>
      <c r="K66" s="6" t="e">
        <f t="shared" ref="K66" si="15">+D66+SUM(I66:J66)</f>
        <v>#REF!</v>
      </c>
      <c r="L66" s="6">
        <f t="shared" ref="L66" si="16">IF(E66="",K66,0)</f>
        <v>0</v>
      </c>
      <c r="M66" s="185"/>
      <c r="N66" s="20"/>
      <c r="O66" s="215"/>
      <c r="U66" s="20"/>
      <c r="Y66" s="42"/>
    </row>
    <row r="67" spans="1:25" s="7" customFormat="1" ht="15">
      <c r="A67" s="21">
        <f t="shared" si="2"/>
        <v>60</v>
      </c>
      <c r="B67" t="s">
        <v>2378</v>
      </c>
      <c r="C67" t="s">
        <v>2604</v>
      </c>
      <c r="D67" s="196" t="e">
        <f>+#REF!</f>
        <v>#REF!</v>
      </c>
      <c r="E67" s="180" t="s">
        <v>429</v>
      </c>
      <c r="F67" s="22" t="str">
        <f>IFERROR(VLOOKUP($E67,Casilleros!$A$4:$I$830,4,FALSE),"")</f>
        <v>PASIVOS CORRIENTES</v>
      </c>
      <c r="G67" s="22" t="str">
        <f>IFERROR(VLOOKUP($E67,Casilleros!$A$4:$I$830,9,FALSE),"")</f>
        <v>PASIVOS POR INGRESOS DIFERIDOS_Anticipos de clientes__</v>
      </c>
      <c r="H67" s="22" t="str">
        <f>IFERROR(VLOOKUP($E67,Casilleros!$A$4:$J$830,10,FALSE),"")</f>
        <v>Pasivos por ingresos diferidos</v>
      </c>
      <c r="I67" s="6" t="e">
        <f>SUMIF(#REF!,$B67,#REF!)</f>
        <v>#REF!</v>
      </c>
      <c r="J67" s="6" t="e">
        <f>SUMIF(#REF!,$B67,#REF!)</f>
        <v>#REF!</v>
      </c>
      <c r="K67" s="6" t="e">
        <f t="shared" si="0"/>
        <v>#REF!</v>
      </c>
      <c r="L67" s="6">
        <f t="shared" si="1"/>
        <v>0</v>
      </c>
      <c r="M67" s="185"/>
      <c r="N67" s="20"/>
      <c r="O67" s="215"/>
      <c r="U67" s="20"/>
      <c r="Y67" s="42"/>
    </row>
    <row r="68" spans="1:25" s="7" customFormat="1" ht="15">
      <c r="A68" s="21">
        <f t="shared" si="2"/>
        <v>61</v>
      </c>
      <c r="B68" t="s">
        <v>2677</v>
      </c>
      <c r="C68" t="s">
        <v>2572</v>
      </c>
      <c r="D68" s="196" t="e">
        <f>+#REF!</f>
        <v>#REF!</v>
      </c>
      <c r="E68" s="180" t="s">
        <v>412</v>
      </c>
      <c r="F68" s="22" t="str">
        <f>IFERROR(VLOOKUP($E68,Casilleros!$A$4:$I$830,4,FALSE),"")</f>
        <v>PASIVOS CORRIENTES</v>
      </c>
      <c r="G68" s="22" t="str">
        <f>IFERROR(VLOOKUP($E68,Casilleros!$A$4:$I$830,9,FALSE),"")</f>
        <v>PROVISIONES CORRIENTES _Por garantías__</v>
      </c>
      <c r="H68" s="22" t="str">
        <f>IFERROR(VLOOKUP($E68,Casilleros!$A$4:$J$830,10,FALSE),"")</f>
        <v xml:space="preserve">Provisiones corrientes </v>
      </c>
      <c r="I68" s="6" t="e">
        <f>SUMIF(#REF!,$B68,#REF!)</f>
        <v>#REF!</v>
      </c>
      <c r="J68" s="6" t="e">
        <f>SUMIF(#REF!,$B68,#REF!)</f>
        <v>#REF!</v>
      </c>
      <c r="K68" s="6" t="e">
        <f t="shared" ref="K68" si="17">+D68+SUM(I68:J68)</f>
        <v>#REF!</v>
      </c>
      <c r="L68" s="6">
        <f t="shared" ref="L68" si="18">IF(E68="",K68,0)</f>
        <v>0</v>
      </c>
      <c r="M68" s="185"/>
      <c r="N68" s="20"/>
      <c r="O68" s="215"/>
      <c r="U68" s="20"/>
      <c r="Y68" s="42"/>
    </row>
    <row r="69" spans="1:25" s="7" customFormat="1" ht="15">
      <c r="A69" s="21">
        <f t="shared" si="2"/>
        <v>62</v>
      </c>
      <c r="B69" t="s">
        <v>2379</v>
      </c>
      <c r="C69" t="s">
        <v>2605</v>
      </c>
      <c r="D69" s="196">
        <v>-175552.95</v>
      </c>
      <c r="E69" s="180" t="s">
        <v>449</v>
      </c>
      <c r="F69" s="22" t="str">
        <f>IFERROR(VLOOKUP($E69,Casilleros!$A$4:$I$830,4,FALSE),"")</f>
        <v>PASIVOS NO CORRIENTES</v>
      </c>
      <c r="G69" s="22" t="str">
        <f>IFERROR(VLOOKUP($E69,Casilleros!$A$4:$I$830,9,FALSE),"")</f>
        <v>CUENTAS Y DOCUMENTOS POR PAGAR NO CORRIENTES_OTRAS CUENTAS Y DOCUMENTOS POR PAGAR NO CORRIENTES_A ACCIONISTAS, SOCIOS, PARTÍCIPES. BENEFICIARIOS U OTROS TITULARES DE DERECHOS REPRESENTATIVOS DE CAPITAL_Locales</v>
      </c>
      <c r="H69" s="22" t="str">
        <f>IFERROR(VLOOKUP($E69,Casilleros!$A$4:$J$830,10,FALSE),"")</f>
        <v>Cuentas y documentos por pagar no corrientes</v>
      </c>
      <c r="I69" s="6" t="e">
        <f>SUMIF(#REF!,$B69,#REF!)</f>
        <v>#REF!</v>
      </c>
      <c r="J69" s="6" t="e">
        <f>SUMIF(#REF!,$B69,#REF!)</f>
        <v>#REF!</v>
      </c>
      <c r="K69" s="6" t="e">
        <f t="shared" si="0"/>
        <v>#REF!</v>
      </c>
      <c r="L69" s="6">
        <f t="shared" si="1"/>
        <v>0</v>
      </c>
      <c r="M69" s="185"/>
      <c r="N69" s="20"/>
      <c r="O69" s="215"/>
      <c r="U69" s="20"/>
      <c r="Y69" s="42"/>
    </row>
    <row r="70" spans="1:25" s="7" customFormat="1" ht="15">
      <c r="A70" s="21">
        <f t="shared" si="2"/>
        <v>63</v>
      </c>
      <c r="B70" t="s">
        <v>2380</v>
      </c>
      <c r="C70" t="s">
        <v>2606</v>
      </c>
      <c r="D70" s="196">
        <v>-175552.95</v>
      </c>
      <c r="E70" s="180" t="s">
        <v>449</v>
      </c>
      <c r="F70" s="22" t="str">
        <f>IFERROR(VLOOKUP($E70,Casilleros!$A$4:$I$830,4,FALSE),"")</f>
        <v>PASIVOS NO CORRIENTES</v>
      </c>
      <c r="G70" s="22" t="str">
        <f>IFERROR(VLOOKUP($E70,Casilleros!$A$4:$I$830,9,FALSE),"")</f>
        <v>CUENTAS Y DOCUMENTOS POR PAGAR NO CORRIENTES_OTRAS CUENTAS Y DOCUMENTOS POR PAGAR NO CORRIENTES_A ACCIONISTAS, SOCIOS, PARTÍCIPES. BENEFICIARIOS U OTROS TITULARES DE DERECHOS REPRESENTATIVOS DE CAPITAL_Locales</v>
      </c>
      <c r="H70" s="22" t="str">
        <f>IFERROR(VLOOKUP($E70,Casilleros!$A$4:$J$830,10,FALSE),"")</f>
        <v>Cuentas y documentos por pagar no corrientes</v>
      </c>
      <c r="I70" s="6" t="e">
        <f>SUMIF(#REF!,$B70,#REF!)</f>
        <v>#REF!</v>
      </c>
      <c r="J70" s="6" t="e">
        <f>SUMIF(#REF!,$B70,#REF!)</f>
        <v>#REF!</v>
      </c>
      <c r="K70" s="6" t="e">
        <f t="shared" si="0"/>
        <v>#REF!</v>
      </c>
      <c r="L70" s="6">
        <f t="shared" si="1"/>
        <v>0</v>
      </c>
      <c r="M70" s="185"/>
      <c r="N70" s="20"/>
      <c r="O70" s="215"/>
      <c r="U70" s="20"/>
      <c r="Y70" s="42"/>
    </row>
    <row r="71" spans="1:25" s="7" customFormat="1" ht="15">
      <c r="A71" s="21">
        <f t="shared" si="2"/>
        <v>64</v>
      </c>
      <c r="B71" t="s">
        <v>2381</v>
      </c>
      <c r="C71" t="s">
        <v>2607</v>
      </c>
      <c r="D71" s="196" t="e">
        <f>+#REF!</f>
        <v>#REF!</v>
      </c>
      <c r="E71" s="180" t="s">
        <v>486</v>
      </c>
      <c r="F71" s="22" t="str">
        <f>IFERROR(VLOOKUP($E71,Casilleros!$A$4:$I$830,4,FALSE),"")</f>
        <v>PASIVOS NO CORRIENTES</v>
      </c>
      <c r="G71" s="22" t="str">
        <f>IFERROR(VLOOKUP($E71,Casilleros!$A$4:$I$830,9,FALSE),"")</f>
        <v>PASIVOS POR INGRESOS DIFERIDOS_Anticipos de clientes__</v>
      </c>
      <c r="H71" s="22" t="str">
        <f>IFERROR(VLOOKUP($E71,Casilleros!$A$4:$J$830,10,FALSE),"")</f>
        <v>Pasivos por ingresos diferidos no corrientes</v>
      </c>
      <c r="I71" s="6" t="e">
        <f>SUMIF(#REF!,$B71,#REF!)</f>
        <v>#REF!</v>
      </c>
      <c r="J71" s="6" t="e">
        <f>SUMIF(#REF!,$B71,#REF!)</f>
        <v>#REF!</v>
      </c>
      <c r="K71" s="6" t="e">
        <f t="shared" si="0"/>
        <v>#REF!</v>
      </c>
      <c r="L71" s="6">
        <f t="shared" si="1"/>
        <v>0</v>
      </c>
      <c r="M71" s="185"/>
      <c r="N71" s="20"/>
      <c r="O71" s="215"/>
      <c r="U71" s="20"/>
      <c r="Y71" s="42"/>
    </row>
    <row r="72" spans="1:25" s="7" customFormat="1" ht="15">
      <c r="A72" s="21">
        <f t="shared" si="2"/>
        <v>65</v>
      </c>
      <c r="B72" t="s">
        <v>2382</v>
      </c>
      <c r="C72" t="s">
        <v>2605</v>
      </c>
      <c r="D72" s="196" t="e">
        <f>+#REF!</f>
        <v>#REF!</v>
      </c>
      <c r="E72" s="180" t="s">
        <v>449</v>
      </c>
      <c r="F72" s="22" t="str">
        <f>IFERROR(VLOOKUP($E72,Casilleros!$A$4:$I$830,4,FALSE),"")</f>
        <v>PASIVOS NO CORRIENTES</v>
      </c>
      <c r="G72" s="22" t="str">
        <f>IFERROR(VLOOKUP($E72,Casilleros!$A$4:$I$830,9,FALSE),"")</f>
        <v>CUENTAS Y DOCUMENTOS POR PAGAR NO CORRIENTES_OTRAS CUENTAS Y DOCUMENTOS POR PAGAR NO CORRIENTES_A ACCIONISTAS, SOCIOS, PARTÍCIPES. BENEFICIARIOS U OTROS TITULARES DE DERECHOS REPRESENTATIVOS DE CAPITAL_Locales</v>
      </c>
      <c r="H72" s="22" t="str">
        <f>IFERROR(VLOOKUP($E72,Casilleros!$A$4:$J$830,10,FALSE),"")</f>
        <v>Cuentas y documentos por pagar no corrientes</v>
      </c>
      <c r="I72" s="6" t="e">
        <f>SUMIF(#REF!,$B72,#REF!)</f>
        <v>#REF!</v>
      </c>
      <c r="J72" s="6" t="e">
        <f>SUMIF(#REF!,$B72,#REF!)</f>
        <v>#REF!</v>
      </c>
      <c r="K72" s="6" t="e">
        <f t="shared" si="0"/>
        <v>#REF!</v>
      </c>
      <c r="L72" s="6">
        <f t="shared" si="1"/>
        <v>0</v>
      </c>
      <c r="M72" s="185"/>
      <c r="N72" s="20"/>
      <c r="O72" s="215"/>
      <c r="U72" s="20"/>
      <c r="Y72" s="42"/>
    </row>
    <row r="73" spans="1:25" s="7" customFormat="1" ht="15">
      <c r="A73" s="21">
        <f t="shared" si="2"/>
        <v>66</v>
      </c>
      <c r="B73" t="s">
        <v>2383</v>
      </c>
      <c r="C73" t="s">
        <v>2606</v>
      </c>
      <c r="D73" s="196" t="e">
        <f>+#REF!</f>
        <v>#REF!</v>
      </c>
      <c r="E73" s="180" t="s">
        <v>449</v>
      </c>
      <c r="F73" s="22" t="str">
        <f>IFERROR(VLOOKUP($E73,Casilleros!$A$4:$I$830,4,FALSE),"")</f>
        <v>PASIVOS NO CORRIENTES</v>
      </c>
      <c r="G73" s="22" t="str">
        <f>IFERROR(VLOOKUP($E73,Casilleros!$A$4:$I$830,9,FALSE),"")</f>
        <v>CUENTAS Y DOCUMENTOS POR PAGAR NO CORRIENTES_OTRAS CUENTAS Y DOCUMENTOS POR PAGAR NO CORRIENTES_A ACCIONISTAS, SOCIOS, PARTÍCIPES. BENEFICIARIOS U OTROS TITULARES DE DERECHOS REPRESENTATIVOS DE CAPITAL_Locales</v>
      </c>
      <c r="H73" s="22" t="str">
        <f>IFERROR(VLOOKUP($E73,Casilleros!$A$4:$J$830,10,FALSE),"")</f>
        <v>Cuentas y documentos por pagar no corrientes</v>
      </c>
      <c r="I73" s="6" t="e">
        <f>SUMIF(#REF!,$B73,#REF!)</f>
        <v>#REF!</v>
      </c>
      <c r="J73" s="6" t="e">
        <f>SUMIF(#REF!,$B73,#REF!)</f>
        <v>#REF!</v>
      </c>
      <c r="K73" s="6" t="e">
        <f t="shared" si="0"/>
        <v>#REF!</v>
      </c>
      <c r="L73" s="6">
        <f t="shared" si="1"/>
        <v>0</v>
      </c>
      <c r="M73" s="185"/>
      <c r="N73" s="20"/>
      <c r="O73" s="215"/>
      <c r="U73" s="20"/>
      <c r="Y73" s="42"/>
    </row>
    <row r="74" spans="1:25" s="7" customFormat="1" ht="15">
      <c r="A74" s="21">
        <f t="shared" si="2"/>
        <v>67</v>
      </c>
      <c r="B74" t="s">
        <v>2384</v>
      </c>
      <c r="C74" t="s">
        <v>2608</v>
      </c>
      <c r="D74" s="196" t="e">
        <f>+#REF!</f>
        <v>#REF!</v>
      </c>
      <c r="E74" s="180" t="s">
        <v>472</v>
      </c>
      <c r="F74" s="22" t="str">
        <f>IFERROR(VLOOKUP($E74,Casilleros!$A$4:$I$830,4,FALSE),"")</f>
        <v>PASIVOS NO CORRIENTES</v>
      </c>
      <c r="G74" s="22" t="str">
        <f>IFERROR(VLOOKUP($E74,Casilleros!$A$4:$I$830,9,FALSE),"")</f>
        <v>PASIVOS NO CORRIENTES POR BENEFICIOS A LOS EMPLEADOS_Jubilación Patronal__</v>
      </c>
      <c r="H74" s="22" t="str">
        <f>IFERROR(VLOOKUP($E74,Casilleros!$A$4:$J$830,10,FALSE),"")</f>
        <v>Pasivos no corrientes por beneficios a los empleados</v>
      </c>
      <c r="I74" s="6" t="e">
        <f>SUMIF(#REF!,$B74,#REF!)</f>
        <v>#REF!</v>
      </c>
      <c r="J74" s="6" t="e">
        <f>SUMIF(#REF!,$B74,#REF!)</f>
        <v>#REF!</v>
      </c>
      <c r="K74" s="6" t="e">
        <f t="shared" si="0"/>
        <v>#REF!</v>
      </c>
      <c r="L74" s="6">
        <f t="shared" si="1"/>
        <v>0</v>
      </c>
      <c r="M74" s="185"/>
      <c r="N74" s="20"/>
      <c r="O74" s="215"/>
      <c r="U74" s="20"/>
      <c r="Y74" s="42"/>
    </row>
    <row r="75" spans="1:25" s="7" customFormat="1" ht="15">
      <c r="A75" s="21">
        <f t="shared" si="2"/>
        <v>68</v>
      </c>
      <c r="B75" t="s">
        <v>2385</v>
      </c>
      <c r="C75" t="s">
        <v>2520</v>
      </c>
      <c r="D75" s="196" t="e">
        <f>+#REF!</f>
        <v>#REF!</v>
      </c>
      <c r="E75" s="180" t="s">
        <v>474</v>
      </c>
      <c r="F75" s="22" t="str">
        <f>IFERROR(VLOOKUP($E75,Casilleros!$A$4:$I$830,4,FALSE),"")</f>
        <v>PASIVOS NO CORRIENTES</v>
      </c>
      <c r="G75" s="22" t="str">
        <f>IFERROR(VLOOKUP($E75,Casilleros!$A$4:$I$830,9,FALSE),"")</f>
        <v>PASIVOS NO CORRIENTES POR BENEFICIOS A LOS EMPLEADOS_Desahucio__</v>
      </c>
      <c r="H75" s="22" t="str">
        <f>IFERROR(VLOOKUP($E75,Casilleros!$A$4:$J$830,10,FALSE),"")</f>
        <v>Pasivos no corrientes por beneficios a los empleados</v>
      </c>
      <c r="I75" s="6" t="e">
        <f>SUMIF(#REF!,$B75,#REF!)</f>
        <v>#REF!</v>
      </c>
      <c r="J75" s="6" t="e">
        <f>SUMIF(#REF!,$B75,#REF!)</f>
        <v>#REF!</v>
      </c>
      <c r="K75" s="6" t="e">
        <f t="shared" si="0"/>
        <v>#REF!</v>
      </c>
      <c r="L75" s="6">
        <f t="shared" si="1"/>
        <v>0</v>
      </c>
      <c r="M75" s="185"/>
      <c r="N75" s="20"/>
      <c r="O75" s="215"/>
      <c r="U75" s="20"/>
      <c r="Y75" s="42"/>
    </row>
    <row r="76" spans="1:25" s="7" customFormat="1" ht="15">
      <c r="A76" s="21">
        <f t="shared" si="2"/>
        <v>69</v>
      </c>
      <c r="B76" t="s">
        <v>2387</v>
      </c>
      <c r="C76" t="s">
        <v>2609</v>
      </c>
      <c r="D76" s="196" t="e">
        <f>+#REF!</f>
        <v>#REF!</v>
      </c>
      <c r="E76" s="180" t="s">
        <v>470</v>
      </c>
      <c r="F76" s="22" t="str">
        <f>IFERROR(VLOOKUP($E76,Casilleros!$A$4:$I$830,4,FALSE),"")</f>
        <v>PASIVOS NO CORRIENTES</v>
      </c>
      <c r="G76" s="22" t="str">
        <f>IFERROR(VLOOKUP($E76,Casilleros!$A$4:$I$830,9,FALSE),"")</f>
        <v>Pasivo por Impuesto a la Renta diferido</v>
      </c>
      <c r="H76" s="22" t="str">
        <f>IFERROR(VLOOKUP($E76,Casilleros!$A$4:$J$830,10,FALSE),"")</f>
        <v>Pasivo por impuesto a la renta diferido</v>
      </c>
      <c r="I76" s="6" t="e">
        <f>SUMIF(#REF!,$B76,#REF!)</f>
        <v>#REF!</v>
      </c>
      <c r="J76" s="6" t="e">
        <f>SUMIF(#REF!,$B76,#REF!)</f>
        <v>#REF!</v>
      </c>
      <c r="K76" s="6" t="e">
        <f t="shared" si="0"/>
        <v>#REF!</v>
      </c>
      <c r="L76" s="6">
        <f t="shared" si="1"/>
        <v>0</v>
      </c>
      <c r="M76" s="185"/>
      <c r="N76" s="20"/>
      <c r="O76" s="215"/>
      <c r="U76" s="20"/>
      <c r="Y76" s="42"/>
    </row>
    <row r="77" spans="1:25" s="7" customFormat="1" ht="15">
      <c r="A77" s="21">
        <f t="shared" si="2"/>
        <v>70</v>
      </c>
      <c r="B77" s="231" t="s">
        <v>2388</v>
      </c>
      <c r="C77" s="231" t="s">
        <v>2610</v>
      </c>
      <c r="D77" s="197" t="e">
        <f>+#REF!</f>
        <v>#REF!</v>
      </c>
      <c r="E77" s="180" t="s">
        <v>503</v>
      </c>
      <c r="F77" s="22" t="str">
        <f>IFERROR(VLOOKUP($E77,Casilleros!$A$4:$I$830,4,FALSE),"")</f>
        <v>Capital Suscrito y/o Asignado</v>
      </c>
      <c r="G77" s="22" t="str">
        <f>IFERROR(VLOOKUP($E77,Casilleros!$A$4:$I$830,9,FALSE),"")</f>
        <v xml:space="preserve">Capital Suscrito y/o Asignado </v>
      </c>
      <c r="H77" s="22" t="str">
        <f>IFERROR(VLOOKUP($E77,Casilleros!$A$4:$J$830,10,FALSE),"")</f>
        <v>Capital suscrito y/o asignado</v>
      </c>
      <c r="I77" s="6" t="e">
        <f>SUMIF(#REF!,$B77,#REF!)</f>
        <v>#REF!</v>
      </c>
      <c r="J77" s="6" t="e">
        <f>SUMIF(#REF!,$B77,#REF!)</f>
        <v>#REF!</v>
      </c>
      <c r="K77" s="6" t="e">
        <f t="shared" si="0"/>
        <v>#REF!</v>
      </c>
      <c r="L77" s="6">
        <f t="shared" si="1"/>
        <v>0</v>
      </c>
      <c r="M77" s="185"/>
      <c r="N77" s="20"/>
      <c r="O77" s="215"/>
      <c r="U77" s="20"/>
      <c r="Y77" s="42"/>
    </row>
    <row r="78" spans="1:25" s="7" customFormat="1" ht="15">
      <c r="A78" s="21">
        <f t="shared" si="2"/>
        <v>71</v>
      </c>
      <c r="B78" s="231" t="s">
        <v>2389</v>
      </c>
      <c r="C78" s="231" t="s">
        <v>2611</v>
      </c>
      <c r="D78" s="197" t="e">
        <f>+#REF!</f>
        <v>#REF!</v>
      </c>
      <c r="E78" s="180" t="s">
        <v>503</v>
      </c>
      <c r="F78" s="22" t="str">
        <f>IFERROR(VLOOKUP($E78,Casilleros!$A$4:$I$830,4,FALSE),"")</f>
        <v>Capital Suscrito y/o Asignado</v>
      </c>
      <c r="G78" s="22" t="str">
        <f>IFERROR(VLOOKUP($E78,Casilleros!$A$4:$I$830,9,FALSE),"")</f>
        <v xml:space="preserve">Capital Suscrito y/o Asignado </v>
      </c>
      <c r="H78" s="22" t="str">
        <f>IFERROR(VLOOKUP($E78,Casilleros!$A$4:$J$830,10,FALSE),"")</f>
        <v>Capital suscrito y/o asignado</v>
      </c>
      <c r="I78" s="6" t="e">
        <f>SUMIF(#REF!,$B78,#REF!)</f>
        <v>#REF!</v>
      </c>
      <c r="J78" s="6" t="e">
        <f>SUMIF(#REF!,$B78,#REF!)</f>
        <v>#REF!</v>
      </c>
      <c r="K78" s="6" t="e">
        <f t="shared" si="0"/>
        <v>#REF!</v>
      </c>
      <c r="L78" s="6">
        <f t="shared" si="1"/>
        <v>0</v>
      </c>
      <c r="M78" s="185"/>
      <c r="N78" s="20"/>
      <c r="O78" s="215"/>
      <c r="U78" s="20"/>
      <c r="Y78" s="42"/>
    </row>
    <row r="79" spans="1:25" s="7" customFormat="1" ht="15">
      <c r="A79" s="21">
        <f t="shared" si="2"/>
        <v>72</v>
      </c>
      <c r="B79" s="232" t="s">
        <v>2390</v>
      </c>
      <c r="C79" s="232" t="s">
        <v>2612</v>
      </c>
      <c r="D79" s="230" t="e">
        <f>+#REF!</f>
        <v>#REF!</v>
      </c>
      <c r="E79" s="180" t="s">
        <v>510</v>
      </c>
      <c r="F79" s="22" t="str">
        <f>IFERROR(VLOOKUP($E79,Casilleros!$A$4:$I$830,4,FALSE),"")</f>
        <v>RESERVAS</v>
      </c>
      <c r="G79" s="22" t="str">
        <f>IFERROR(VLOOKUP($E79,Casilleros!$A$4:$I$830,9,FALSE),"")</f>
        <v>RESERVAS Reserva legal</v>
      </c>
      <c r="H79" s="22" t="str">
        <f>IFERROR(VLOOKUP($E79,Casilleros!$A$4:$J$830,10,FALSE),"")</f>
        <v>Reservas</v>
      </c>
      <c r="I79" s="6" t="e">
        <f>SUMIF(#REF!,$B79,#REF!)</f>
        <v>#REF!</v>
      </c>
      <c r="J79" s="6" t="e">
        <f>SUMIF(#REF!,$B79,#REF!)</f>
        <v>#REF!</v>
      </c>
      <c r="K79" s="6" t="e">
        <f t="shared" ref="K79:K156" si="19">+D79+SUM(I79:J79)</f>
        <v>#REF!</v>
      </c>
      <c r="L79" s="6">
        <f t="shared" ref="L79:L156" si="20">IF(E79="",K79,0)</f>
        <v>0</v>
      </c>
      <c r="M79" s="185"/>
      <c r="N79" s="20"/>
      <c r="O79" s="215"/>
      <c r="U79" s="20"/>
      <c r="Y79" s="42"/>
    </row>
    <row r="80" spans="1:25" s="7" customFormat="1" ht="15">
      <c r="A80" s="21">
        <f t="shared" ref="A80:A194" si="21">ROW(A80)-7</f>
        <v>73</v>
      </c>
      <c r="B80" s="232" t="s">
        <v>2391</v>
      </c>
      <c r="C80" s="232" t="s">
        <v>2613</v>
      </c>
      <c r="D80" s="230" t="e">
        <f>+#REF!</f>
        <v>#REF!</v>
      </c>
      <c r="E80" s="180" t="s">
        <v>512</v>
      </c>
      <c r="F80" s="22" t="str">
        <f>IFERROR(VLOOKUP($E80,Casilleros!$A$4:$I$830,4,FALSE),"")</f>
        <v>RESERVAS</v>
      </c>
      <c r="G80" s="22" t="str">
        <f>IFERROR(VLOOKUP($E80,Casilleros!$A$4:$I$830,9,FALSE),"")</f>
        <v>RESERVAS Reserva facultativa</v>
      </c>
      <c r="H80" s="22" t="str">
        <f>IFERROR(VLOOKUP($E80,Casilleros!$A$4:$J$830,10,FALSE),"")</f>
        <v>Reservas</v>
      </c>
      <c r="I80" s="6" t="e">
        <f>SUMIF(#REF!,$B80,#REF!)</f>
        <v>#REF!</v>
      </c>
      <c r="J80" s="6" t="e">
        <f>SUMIF(#REF!,$B80,#REF!)</f>
        <v>#REF!</v>
      </c>
      <c r="K80" s="6" t="e">
        <f t="shared" si="19"/>
        <v>#REF!</v>
      </c>
      <c r="L80" s="6">
        <f t="shared" si="20"/>
        <v>0</v>
      </c>
      <c r="M80" s="185"/>
      <c r="N80" s="20"/>
      <c r="O80" s="215"/>
      <c r="U80" s="20"/>
      <c r="Y80" s="42"/>
    </row>
    <row r="81" spans="1:25" s="7" customFormat="1" ht="15">
      <c r="A81" s="21">
        <f t="shared" si="21"/>
        <v>74</v>
      </c>
      <c r="B81" s="232" t="s">
        <v>2392</v>
      </c>
      <c r="C81" s="232" t="s">
        <v>2614</v>
      </c>
      <c r="D81" s="230" t="e">
        <f>+#REF!</f>
        <v>#REF!</v>
      </c>
      <c r="E81" s="180" t="s">
        <v>516</v>
      </c>
      <c r="F81" s="22" t="str">
        <f>IFERROR(VLOOKUP($E81,Casilleros!$A$4:$I$830,4,FALSE),"")</f>
        <v>RESULTADOS ACUMULADOS</v>
      </c>
      <c r="G81" s="22" t="str">
        <f>IFERROR(VLOOKUP($E81,Casilleros!$A$4:$I$830,9,FALSE),"")</f>
        <v>RESULTADOS ACUMULADOS Reserva de capital</v>
      </c>
      <c r="H81" s="22" t="str">
        <f>IFERROR(VLOOKUP($E81,Casilleros!$A$4:$J$830,10,FALSE),"")</f>
        <v>Resultados acumulados</v>
      </c>
      <c r="I81" s="6" t="e">
        <f>SUMIF(#REF!,$B81,#REF!)</f>
        <v>#REF!</v>
      </c>
      <c r="J81" s="6" t="e">
        <f>SUMIF(#REF!,$B81,#REF!)</f>
        <v>#REF!</v>
      </c>
      <c r="K81" s="6" t="e">
        <f t="shared" si="19"/>
        <v>#REF!</v>
      </c>
      <c r="L81" s="6">
        <f t="shared" si="20"/>
        <v>0</v>
      </c>
      <c r="M81" s="185"/>
      <c r="N81" s="20"/>
      <c r="O81" s="215"/>
      <c r="U81" s="20"/>
      <c r="Y81" s="42"/>
    </row>
    <row r="82" spans="1:25" s="7" customFormat="1" ht="15">
      <c r="A82" s="21">
        <f t="shared" si="21"/>
        <v>75</v>
      </c>
      <c r="B82" s="232" t="s">
        <v>2393</v>
      </c>
      <c r="C82" s="232" t="s">
        <v>2615</v>
      </c>
      <c r="D82" s="230" t="e">
        <f>+#REF!</f>
        <v>#REF!</v>
      </c>
      <c r="E82" s="180" t="s">
        <v>540</v>
      </c>
      <c r="F82" s="22" t="str">
        <f>IFERROR(VLOOKUP($E82,Casilleros!$A$4:$I$830,4,FALSE),"")</f>
        <v>OTROS RESULTADOS INTEGRALES ACUMULADOS</v>
      </c>
      <c r="G82" s="22" t="str">
        <f>IFERROR(VLOOKUP($E82,Casilleros!$A$4:$I$830,9,FALSE),"")</f>
        <v>SUPERÁVIT DE REVALUACIÓN ACUMULADO_Propiedades, Planta y Equipo__</v>
      </c>
      <c r="H82" s="22" t="str">
        <f>IFERROR(VLOOKUP($E82,Casilleros!$A$4:$J$830,10,FALSE),"")</f>
        <v>Otros resultados integrales</v>
      </c>
      <c r="I82" s="6" t="e">
        <f>SUMIF(#REF!,$B82,#REF!)</f>
        <v>#REF!</v>
      </c>
      <c r="J82" s="6" t="e">
        <f>SUMIF(#REF!,$B82,#REF!)</f>
        <v>#REF!</v>
      </c>
      <c r="K82" s="6" t="e">
        <f t="shared" si="19"/>
        <v>#REF!</v>
      </c>
      <c r="L82" s="6">
        <f t="shared" si="20"/>
        <v>0</v>
      </c>
      <c r="M82" s="185"/>
      <c r="N82" s="20"/>
      <c r="O82" s="215"/>
      <c r="U82" s="20"/>
      <c r="Y82" s="42"/>
    </row>
    <row r="83" spans="1:25" s="7" customFormat="1" ht="15">
      <c r="A83" s="21">
        <f t="shared" si="21"/>
        <v>76</v>
      </c>
      <c r="B83" s="232" t="s">
        <v>2394</v>
      </c>
      <c r="C83" s="232" t="s">
        <v>2616</v>
      </c>
      <c r="D83" s="230" t="e">
        <f>+#REF!</f>
        <v>#REF!</v>
      </c>
      <c r="E83" s="180" t="s">
        <v>530</v>
      </c>
      <c r="F83" s="22" t="str">
        <f>IFERROR(VLOOKUP($E83,Casilleros!$A$4:$I$830,4,FALSE),"")</f>
        <v>RESULTADOS ACUMULADOS</v>
      </c>
      <c r="G83" s="22" t="str">
        <f>IFERROR(VLOOKUP($E83,Casilleros!$A$4:$I$830,9,FALSE),"")</f>
        <v>RESULTADOS ACUMULADOS Resultados acumulados por adopción por primera vez de las NIIF</v>
      </c>
      <c r="H83" s="22" t="str">
        <f>IFERROR(VLOOKUP($E83,Casilleros!$A$4:$J$830,10,FALSE),"")</f>
        <v>Resultados acumulados</v>
      </c>
      <c r="I83" s="6" t="e">
        <f>SUMIF(#REF!,$B83,#REF!)</f>
        <v>#REF!</v>
      </c>
      <c r="J83" s="6" t="e">
        <f>SUMIF(#REF!,$B83,#REF!)</f>
        <v>#REF!</v>
      </c>
      <c r="K83" s="6" t="e">
        <f t="shared" si="19"/>
        <v>#REF!</v>
      </c>
      <c r="L83" s="6">
        <f t="shared" si="20"/>
        <v>0</v>
      </c>
      <c r="M83" s="185"/>
      <c r="N83" s="20"/>
      <c r="O83" s="215"/>
      <c r="U83" s="20"/>
      <c r="Y83" s="42"/>
    </row>
    <row r="84" spans="1:25" s="7" customFormat="1" ht="15">
      <c r="A84" s="21">
        <f t="shared" si="21"/>
        <v>77</v>
      </c>
      <c r="B84" s="232" t="s">
        <v>2395</v>
      </c>
      <c r="C84" s="232" t="s">
        <v>2637</v>
      </c>
      <c r="D84" s="230" t="e">
        <f>+#REF!</f>
        <v>#REF!</v>
      </c>
      <c r="E84" s="180" t="s">
        <v>524</v>
      </c>
      <c r="F84" s="22" t="str">
        <f>IFERROR(VLOOKUP($E84,Casilleros!$A$4:$I$830,4,FALSE),"")</f>
        <v>RESULTADOS ACUMULADOS</v>
      </c>
      <c r="G84" s="22" t="str">
        <f>IFERROR(VLOOKUP($E84,Casilleros!$A$4:$I$830,9,FALSE),"")</f>
        <v>RESULTADOS ACUMULADOS Utilidades acumuladas de ejercicios anteriores</v>
      </c>
      <c r="H84" s="22" t="str">
        <f>IFERROR(VLOOKUP($E84,Casilleros!$A$4:$J$830,10,FALSE),"")</f>
        <v>Resultados acumulados</v>
      </c>
      <c r="I84" s="6" t="e">
        <f>SUMIF(#REF!,$B84,#REF!)</f>
        <v>#REF!</v>
      </c>
      <c r="J84" s="6" t="e">
        <f>SUMIF(#REF!,$B84,#REF!)</f>
        <v>#REF!</v>
      </c>
      <c r="K84" s="6" t="e">
        <f t="shared" si="19"/>
        <v>#REF!</v>
      </c>
      <c r="L84" s="6">
        <f t="shared" si="20"/>
        <v>0</v>
      </c>
      <c r="M84" s="185"/>
      <c r="N84" s="20"/>
      <c r="O84" s="215"/>
      <c r="U84" s="20"/>
      <c r="Y84" s="42"/>
    </row>
    <row r="85" spans="1:25" s="7" customFormat="1" ht="15">
      <c r="A85" s="21">
        <f t="shared" si="21"/>
        <v>78</v>
      </c>
      <c r="B85" s="232" t="s">
        <v>2396</v>
      </c>
      <c r="C85" s="232" t="s">
        <v>2617</v>
      </c>
      <c r="D85" s="230" t="e">
        <f>+#REF!</f>
        <v>#REF!</v>
      </c>
      <c r="E85" s="180" t="s">
        <v>524</v>
      </c>
      <c r="F85" s="22" t="str">
        <f>IFERROR(VLOOKUP($E85,Casilleros!$A$4:$I$830,4,FALSE),"")</f>
        <v>RESULTADOS ACUMULADOS</v>
      </c>
      <c r="G85" s="22" t="str">
        <f>IFERROR(VLOOKUP($E85,Casilleros!$A$4:$I$830,9,FALSE),"")</f>
        <v>RESULTADOS ACUMULADOS Utilidades acumuladas de ejercicios anteriores</v>
      </c>
      <c r="H85" s="22" t="str">
        <f>IFERROR(VLOOKUP($E85,Casilleros!$A$4:$J$830,10,FALSE),"")</f>
        <v>Resultados acumulados</v>
      </c>
      <c r="I85" s="6" t="e">
        <f>SUMIF(#REF!,$B85,#REF!)</f>
        <v>#REF!</v>
      </c>
      <c r="J85" s="6" t="e">
        <f>SUMIF(#REF!,$B85,#REF!)</f>
        <v>#REF!</v>
      </c>
      <c r="K85" s="6" t="e">
        <f t="shared" si="19"/>
        <v>#REF!</v>
      </c>
      <c r="L85" s="6">
        <f t="shared" si="20"/>
        <v>0</v>
      </c>
      <c r="M85" s="185"/>
      <c r="N85" s="20"/>
      <c r="O85" s="215"/>
      <c r="U85" s="20"/>
      <c r="Y85" s="42"/>
    </row>
    <row r="86" spans="1:25" s="7" customFormat="1" ht="15">
      <c r="A86" s="21">
        <f t="shared" si="21"/>
        <v>79</v>
      </c>
      <c r="B86" s="232" t="s">
        <v>2397</v>
      </c>
      <c r="C86" s="232" t="s">
        <v>2618</v>
      </c>
      <c r="D86" s="230" t="e">
        <f>+#REF!</f>
        <v>#REF!</v>
      </c>
      <c r="E86" s="180" t="s">
        <v>524</v>
      </c>
      <c r="F86" s="22" t="str">
        <f>IFERROR(VLOOKUP($E86,Casilleros!$A$4:$I$830,4,FALSE),"")</f>
        <v>RESULTADOS ACUMULADOS</v>
      </c>
      <c r="G86" s="22" t="str">
        <f>IFERROR(VLOOKUP($E86,Casilleros!$A$4:$I$830,9,FALSE),"")</f>
        <v>RESULTADOS ACUMULADOS Utilidades acumuladas de ejercicios anteriores</v>
      </c>
      <c r="H86" s="22" t="str">
        <f>IFERROR(VLOOKUP($E86,Casilleros!$A$4:$J$830,10,FALSE),"")</f>
        <v>Resultados acumulados</v>
      </c>
      <c r="I86" s="6" t="e">
        <f>SUMIF(#REF!,$B86,#REF!)</f>
        <v>#REF!</v>
      </c>
      <c r="J86" s="6" t="e">
        <f>SUMIF(#REF!,$B86,#REF!)</f>
        <v>#REF!</v>
      </c>
      <c r="K86" s="6" t="e">
        <f t="shared" si="19"/>
        <v>#REF!</v>
      </c>
      <c r="L86" s="6">
        <f t="shared" si="20"/>
        <v>0</v>
      </c>
      <c r="M86" s="185"/>
      <c r="N86" s="20"/>
      <c r="O86" s="215"/>
      <c r="U86" s="20"/>
      <c r="Y86" s="42"/>
    </row>
    <row r="87" spans="1:25" s="7" customFormat="1" ht="15">
      <c r="A87" s="21">
        <f t="shared" si="21"/>
        <v>80</v>
      </c>
      <c r="B87" s="232" t="s">
        <v>2398</v>
      </c>
      <c r="C87" s="232" t="s">
        <v>2619</v>
      </c>
      <c r="D87" s="230" t="e">
        <f>+#REF!</f>
        <v>#REF!</v>
      </c>
      <c r="E87" s="180" t="s">
        <v>524</v>
      </c>
      <c r="F87" s="22" t="str">
        <f>IFERROR(VLOOKUP($E87,Casilleros!$A$4:$I$830,4,FALSE),"")</f>
        <v>RESULTADOS ACUMULADOS</v>
      </c>
      <c r="G87" s="22" t="str">
        <f>IFERROR(VLOOKUP($E87,Casilleros!$A$4:$I$830,9,FALSE),"")</f>
        <v>RESULTADOS ACUMULADOS Utilidades acumuladas de ejercicios anteriores</v>
      </c>
      <c r="H87" s="22" t="str">
        <f>IFERROR(VLOOKUP($E87,Casilleros!$A$4:$J$830,10,FALSE),"")</f>
        <v>Resultados acumulados</v>
      </c>
      <c r="I87" s="6" t="e">
        <f>SUMIF(#REF!,$B87,#REF!)</f>
        <v>#REF!</v>
      </c>
      <c r="J87" s="6" t="e">
        <f>SUMIF(#REF!,$B87,#REF!)</f>
        <v>#REF!</v>
      </c>
      <c r="K87" s="6" t="e">
        <f t="shared" si="19"/>
        <v>#REF!</v>
      </c>
      <c r="L87" s="6">
        <f t="shared" si="20"/>
        <v>0</v>
      </c>
      <c r="M87" s="185"/>
      <c r="N87" s="20"/>
      <c r="O87" s="215"/>
      <c r="U87" s="20"/>
      <c r="Y87" s="42"/>
    </row>
    <row r="88" spans="1:25" s="7" customFormat="1" ht="15">
      <c r="A88" s="21">
        <f t="shared" si="21"/>
        <v>81</v>
      </c>
      <c r="B88" s="232" t="s">
        <v>2399</v>
      </c>
      <c r="C88" s="232" t="s">
        <v>2620</v>
      </c>
      <c r="D88" s="230" t="e">
        <f>+#REF!</f>
        <v>#REF!</v>
      </c>
      <c r="E88" s="180" t="s">
        <v>524</v>
      </c>
      <c r="F88" s="22" t="str">
        <f>IFERROR(VLOOKUP($E88,Casilleros!$A$4:$I$830,4,FALSE),"")</f>
        <v>RESULTADOS ACUMULADOS</v>
      </c>
      <c r="G88" s="22" t="str">
        <f>IFERROR(VLOOKUP($E88,Casilleros!$A$4:$I$830,9,FALSE),"")</f>
        <v>RESULTADOS ACUMULADOS Utilidades acumuladas de ejercicios anteriores</v>
      </c>
      <c r="H88" s="22" t="str">
        <f>IFERROR(VLOOKUP($E88,Casilleros!$A$4:$J$830,10,FALSE),"")</f>
        <v>Resultados acumulados</v>
      </c>
      <c r="I88" s="6" t="e">
        <f>SUMIF(#REF!,$B88,#REF!)</f>
        <v>#REF!</v>
      </c>
      <c r="J88" s="6" t="e">
        <f>SUMIF(#REF!,$B88,#REF!)</f>
        <v>#REF!</v>
      </c>
      <c r="K88" s="6" t="e">
        <f t="shared" si="19"/>
        <v>#REF!</v>
      </c>
      <c r="L88" s="6">
        <f t="shared" si="20"/>
        <v>0</v>
      </c>
      <c r="M88" s="185"/>
      <c r="N88" s="20"/>
      <c r="O88" s="215"/>
      <c r="U88" s="20"/>
      <c r="Y88" s="42"/>
    </row>
    <row r="89" spans="1:25" s="7" customFormat="1" ht="15">
      <c r="A89" s="21">
        <f t="shared" si="21"/>
        <v>82</v>
      </c>
      <c r="B89" s="232" t="s">
        <v>2638</v>
      </c>
      <c r="C89" s="232" t="s">
        <v>2639</v>
      </c>
      <c r="D89" s="230" t="e">
        <f>+#REF!</f>
        <v>#REF!</v>
      </c>
      <c r="E89" s="180" t="s">
        <v>524</v>
      </c>
      <c r="F89" s="22" t="str">
        <f>IFERROR(VLOOKUP($E89,Casilleros!$A$4:$I$830,4,FALSE),"")</f>
        <v>RESULTADOS ACUMULADOS</v>
      </c>
      <c r="G89" s="22" t="str">
        <f>IFERROR(VLOOKUP($E89,Casilleros!$A$4:$I$830,9,FALSE),"")</f>
        <v>RESULTADOS ACUMULADOS Utilidades acumuladas de ejercicios anteriores</v>
      </c>
      <c r="H89" s="22" t="str">
        <f>IFERROR(VLOOKUP($E89,Casilleros!$A$4:$J$830,10,FALSE),"")</f>
        <v>Resultados acumulados</v>
      </c>
      <c r="I89" s="6" t="e">
        <f>SUMIF(#REF!,$B89,#REF!)</f>
        <v>#REF!</v>
      </c>
      <c r="J89" s="6" t="e">
        <f>SUMIF(#REF!,$B89,#REF!)</f>
        <v>#REF!</v>
      </c>
      <c r="K89" s="6" t="e">
        <f t="shared" si="19"/>
        <v>#REF!</v>
      </c>
      <c r="L89" s="6">
        <f t="shared" si="20"/>
        <v>0</v>
      </c>
      <c r="M89" s="185"/>
      <c r="N89" s="20"/>
      <c r="O89" s="215"/>
      <c r="U89" s="20"/>
      <c r="Y89" s="42"/>
    </row>
    <row r="90" spans="1:25" s="7" customFormat="1" ht="15">
      <c r="A90" s="21">
        <f t="shared" si="21"/>
        <v>83</v>
      </c>
      <c r="B90" s="232" t="s">
        <v>2650</v>
      </c>
      <c r="C90" s="232" t="s">
        <v>2651</v>
      </c>
      <c r="D90" s="230" t="e">
        <f>+#REF!</f>
        <v>#REF!</v>
      </c>
      <c r="E90" s="180" t="s">
        <v>524</v>
      </c>
      <c r="F90" s="22" t="str">
        <f>IFERROR(VLOOKUP($E90,Casilleros!$A$4:$I$830,4,FALSE),"")</f>
        <v>RESULTADOS ACUMULADOS</v>
      </c>
      <c r="G90" s="22" t="str">
        <f>IFERROR(VLOOKUP($E90,Casilleros!$A$4:$I$830,9,FALSE),"")</f>
        <v>RESULTADOS ACUMULADOS Utilidades acumuladas de ejercicios anteriores</v>
      </c>
      <c r="H90" s="22" t="str">
        <f>IFERROR(VLOOKUP($E90,Casilleros!$A$4:$J$830,10,FALSE),"")</f>
        <v>Resultados acumulados</v>
      </c>
      <c r="I90" s="6" t="e">
        <f>SUMIF(#REF!,$B90,#REF!)</f>
        <v>#REF!</v>
      </c>
      <c r="J90" s="6" t="e">
        <f>SUMIF(#REF!,$B90,#REF!)</f>
        <v>#REF!</v>
      </c>
      <c r="K90" s="6" t="e">
        <f t="shared" si="19"/>
        <v>#REF!</v>
      </c>
      <c r="L90" s="6">
        <f t="shared" si="20"/>
        <v>0</v>
      </c>
      <c r="M90" s="185"/>
      <c r="N90" s="20"/>
      <c r="O90" s="215"/>
      <c r="U90" s="20"/>
      <c r="Y90" s="42"/>
    </row>
    <row r="91" spans="1:25" s="7" customFormat="1" ht="15">
      <c r="A91" s="21">
        <f t="shared" si="21"/>
        <v>84</v>
      </c>
      <c r="B91" s="232" t="s">
        <v>2650</v>
      </c>
      <c r="C91" s="232" t="s">
        <v>2671</v>
      </c>
      <c r="D91" s="230" t="e">
        <f>+#REF!</f>
        <v>#REF!</v>
      </c>
      <c r="E91" s="180" t="s">
        <v>524</v>
      </c>
      <c r="F91" s="22" t="str">
        <f>IFERROR(VLOOKUP($E91,Casilleros!$A$4:$I$830,4,FALSE),"")</f>
        <v>RESULTADOS ACUMULADOS</v>
      </c>
      <c r="G91" s="22" t="str">
        <f>IFERROR(VLOOKUP($E91,Casilleros!$A$4:$I$830,9,FALSE),"")</f>
        <v>RESULTADOS ACUMULADOS Utilidades acumuladas de ejercicios anteriores</v>
      </c>
      <c r="H91" s="22" t="str">
        <f>IFERROR(VLOOKUP($E91,Casilleros!$A$4:$J$830,10,FALSE),"")</f>
        <v>Resultados acumulados</v>
      </c>
      <c r="I91" s="6" t="e">
        <f>SUMIF(#REF!,$B91,#REF!)</f>
        <v>#REF!</v>
      </c>
      <c r="J91" s="6" t="e">
        <f>SUMIF(#REF!,$B91,#REF!)</f>
        <v>#REF!</v>
      </c>
      <c r="K91" s="6" t="e">
        <f t="shared" ref="K91" si="22">+D91+SUM(I91:J91)</f>
        <v>#REF!</v>
      </c>
      <c r="L91" s="6">
        <f t="shared" ref="L91" si="23">IF(E91="",K91,0)</f>
        <v>0</v>
      </c>
      <c r="M91" s="185"/>
      <c r="N91" s="20"/>
      <c r="O91" s="215"/>
      <c r="U91" s="20"/>
      <c r="Y91" s="42"/>
    </row>
    <row r="92" spans="1:25" s="7" customFormat="1" ht="15">
      <c r="A92" s="21">
        <f t="shared" si="21"/>
        <v>85</v>
      </c>
      <c r="B92" s="216" t="s">
        <v>2672</v>
      </c>
      <c r="C92" s="216" t="s">
        <v>2730</v>
      </c>
      <c r="D92" s="230" t="e">
        <f>+#REF!</f>
        <v>#REF!</v>
      </c>
      <c r="E92" s="180" t="s">
        <v>524</v>
      </c>
      <c r="F92" s="22" t="str">
        <f>IFERROR(VLOOKUP($E92,Casilleros!$A$4:$I$830,4,FALSE),"")</f>
        <v>RESULTADOS ACUMULADOS</v>
      </c>
      <c r="G92" s="22" t="str">
        <f>IFERROR(VLOOKUP($E92,Casilleros!$A$4:$I$830,9,FALSE),"")</f>
        <v>RESULTADOS ACUMULADOS Utilidades acumuladas de ejercicios anteriores</v>
      </c>
      <c r="H92" s="22" t="str">
        <f>IFERROR(VLOOKUP($E92,Casilleros!$A$4:$J$830,10,FALSE),"")</f>
        <v>Resultados acumulados</v>
      </c>
      <c r="I92" s="6" t="e">
        <f>SUMIF(#REF!,$B92,#REF!)</f>
        <v>#REF!</v>
      </c>
      <c r="J92" s="6" t="e">
        <f>SUMIF(#REF!,$B92,#REF!)</f>
        <v>#REF!</v>
      </c>
      <c r="K92" s="6" t="e">
        <f t="shared" ref="K92" si="24">+D92+SUM(I92:J92)</f>
        <v>#REF!</v>
      </c>
      <c r="L92" s="6">
        <f t="shared" ref="L92" si="25">IF(E92="",K92,0)</f>
        <v>0</v>
      </c>
      <c r="M92" s="185"/>
      <c r="N92" s="20"/>
      <c r="O92" s="215"/>
      <c r="U92" s="20"/>
      <c r="Y92" s="42"/>
    </row>
    <row r="93" spans="1:25" s="7" customFormat="1" ht="15">
      <c r="A93" s="21">
        <f t="shared" si="21"/>
        <v>86</v>
      </c>
      <c r="B93" s="216"/>
      <c r="C93" s="216" t="e">
        <f>+#REF!</f>
        <v>#REF!</v>
      </c>
      <c r="D93" s="217" t="e">
        <f>-+#REF!</f>
        <v>#REF!</v>
      </c>
      <c r="E93" s="180" t="s">
        <v>532</v>
      </c>
      <c r="F93" s="22" t="str">
        <f>IFERROR(VLOOKUP($E93,Casilleros!$A$4:$I$830,4,FALSE),"")</f>
        <v>RESULTADOS ACUMULADOS</v>
      </c>
      <c r="G93" s="22" t="str">
        <f>IFERROR(VLOOKUP($E93,Casilleros!$A$4:$I$830,9,FALSE),"")</f>
        <v>RESULTADOS ACUMULADOS Utilidad del ejercicio</v>
      </c>
      <c r="H93" s="22" t="str">
        <f>IFERROR(VLOOKUP($E93,Casilleros!$A$4:$J$830,10,FALSE),"")</f>
        <v>Resultados acumulados</v>
      </c>
      <c r="I93" s="6" t="e">
        <f>SUMIF(#REF!,$B93,#REF!)</f>
        <v>#REF!</v>
      </c>
      <c r="J93" s="6" t="e">
        <f>SUMIF(#REF!,$B93,#REF!)</f>
        <v>#REF!</v>
      </c>
      <c r="K93" s="6" t="e">
        <f t="shared" ref="K93" si="26">+D93+SUM(I93:J93)</f>
        <v>#REF!</v>
      </c>
      <c r="L93" s="6">
        <f t="shared" ref="L93" si="27">IF(E93="",K93,0)</f>
        <v>0</v>
      </c>
      <c r="M93" s="185"/>
      <c r="N93" s="20"/>
      <c r="O93" s="215"/>
      <c r="U93" s="20"/>
      <c r="Y93" s="42"/>
    </row>
    <row r="94" spans="1:25" s="7" customFormat="1" ht="15">
      <c r="A94" s="21">
        <f t="shared" si="21"/>
        <v>87</v>
      </c>
      <c r="B94" s="225" t="s">
        <v>2400</v>
      </c>
      <c r="C94" s="225" t="s">
        <v>2503</v>
      </c>
      <c r="D94" s="227" t="e">
        <f>+#REF!</f>
        <v>#REF!</v>
      </c>
      <c r="E94" s="180" t="s">
        <v>576</v>
      </c>
      <c r="F94" s="22" t="str">
        <f>IFERROR(VLOOKUP($E94,Casilleros!$A$4:$I$830,4,FALSE),"")</f>
        <v>INGRESOS DE ACTIVIDADES ORDINARIAS</v>
      </c>
      <c r="G94" s="22" t="str">
        <f>IFERROR(VLOOKUP($E94,Casilleros!$A$4:$I$830,9,FALSE),"")</f>
        <v>PRESTACIONES LOCALES DE SERVICIOS_Gravadas con tarifa 0% de iva o exentas de IVA__</v>
      </c>
      <c r="H94" s="22" t="str">
        <f>IFERROR(VLOOKUP($E94,Casilleros!$A$4:$J$830,10,FALSE),"")</f>
        <v>Ingresos de actividades ordinarias</v>
      </c>
      <c r="I94" s="6" t="e">
        <f>SUMIF(#REF!,$B94,#REF!)</f>
        <v>#REF!</v>
      </c>
      <c r="J94" s="6" t="e">
        <f>SUMIF(#REF!,$B94,#REF!)</f>
        <v>#REF!</v>
      </c>
      <c r="K94" s="6" t="e">
        <f t="shared" si="19"/>
        <v>#REF!</v>
      </c>
      <c r="L94" s="6">
        <f t="shared" si="20"/>
        <v>0</v>
      </c>
      <c r="M94" s="185"/>
      <c r="N94" s="20"/>
      <c r="O94" s="215"/>
      <c r="U94" s="20"/>
      <c r="Y94" s="42"/>
    </row>
    <row r="95" spans="1:25" s="7" customFormat="1" ht="15">
      <c r="A95" s="21">
        <f t="shared" si="21"/>
        <v>88</v>
      </c>
      <c r="B95" s="225" t="s">
        <v>2401</v>
      </c>
      <c r="C95" s="225" t="s">
        <v>2504</v>
      </c>
      <c r="D95" s="227" t="e">
        <f>+#REF!</f>
        <v>#REF!</v>
      </c>
      <c r="E95" s="180" t="s">
        <v>576</v>
      </c>
      <c r="F95" s="22" t="str">
        <f>IFERROR(VLOOKUP($E95,Casilleros!$A$4:$I$830,4,FALSE),"")</f>
        <v>INGRESOS DE ACTIVIDADES ORDINARIAS</v>
      </c>
      <c r="G95" s="22" t="str">
        <f>IFERROR(VLOOKUP($E95,Casilleros!$A$4:$I$830,9,FALSE),"")</f>
        <v>PRESTACIONES LOCALES DE SERVICIOS_Gravadas con tarifa 0% de iva o exentas de IVA__</v>
      </c>
      <c r="H95" s="22" t="str">
        <f>IFERROR(VLOOKUP($E95,Casilleros!$A$4:$J$830,10,FALSE),"")</f>
        <v>Ingresos de actividades ordinarias</v>
      </c>
      <c r="I95" s="6" t="e">
        <f>SUMIF(#REF!,$B95,#REF!)</f>
        <v>#REF!</v>
      </c>
      <c r="J95" s="6" t="e">
        <f>SUMIF(#REF!,$B95,#REF!)</f>
        <v>#REF!</v>
      </c>
      <c r="K95" s="6" t="e">
        <f t="shared" si="19"/>
        <v>#REF!</v>
      </c>
      <c r="L95" s="6">
        <f t="shared" si="20"/>
        <v>0</v>
      </c>
      <c r="M95" s="185"/>
      <c r="N95" s="20"/>
      <c r="O95" s="215"/>
      <c r="U95" s="20"/>
      <c r="Y95" s="42"/>
    </row>
    <row r="96" spans="1:25" s="7" customFormat="1" ht="15">
      <c r="A96" s="21">
        <f t="shared" si="21"/>
        <v>89</v>
      </c>
      <c r="B96" s="225" t="s">
        <v>2402</v>
      </c>
      <c r="C96" s="225" t="s">
        <v>2505</v>
      </c>
      <c r="D96" s="227" t="e">
        <f>+#REF!</f>
        <v>#REF!</v>
      </c>
      <c r="E96" s="180" t="s">
        <v>576</v>
      </c>
      <c r="F96" s="22" t="str">
        <f>IFERROR(VLOOKUP($E96,Casilleros!$A$4:$I$830,4,FALSE),"")</f>
        <v>INGRESOS DE ACTIVIDADES ORDINARIAS</v>
      </c>
      <c r="G96" s="22" t="str">
        <f>IFERROR(VLOOKUP($E96,Casilleros!$A$4:$I$830,9,FALSE),"")</f>
        <v>PRESTACIONES LOCALES DE SERVICIOS_Gravadas con tarifa 0% de iva o exentas de IVA__</v>
      </c>
      <c r="H96" s="22" t="str">
        <f>IFERROR(VLOOKUP($E96,Casilleros!$A$4:$J$830,10,FALSE),"")</f>
        <v>Ingresos de actividades ordinarias</v>
      </c>
      <c r="I96" s="6" t="e">
        <f>SUMIF(#REF!,$B96,#REF!)</f>
        <v>#REF!</v>
      </c>
      <c r="J96" s="6" t="e">
        <f>SUMIF(#REF!,$B96,#REF!)</f>
        <v>#REF!</v>
      </c>
      <c r="K96" s="6" t="e">
        <f t="shared" si="19"/>
        <v>#REF!</v>
      </c>
      <c r="L96" s="6">
        <f t="shared" si="20"/>
        <v>0</v>
      </c>
      <c r="M96" s="185"/>
      <c r="N96" s="20"/>
      <c r="O96" s="215"/>
      <c r="U96" s="20"/>
      <c r="Y96" s="42"/>
    </row>
    <row r="97" spans="1:25" s="7" customFormat="1" ht="15">
      <c r="A97" s="21">
        <f t="shared" si="21"/>
        <v>90</v>
      </c>
      <c r="B97" s="225" t="s">
        <v>2403</v>
      </c>
      <c r="C97" s="225" t="s">
        <v>2503</v>
      </c>
      <c r="D97" s="227" t="e">
        <f>+#REF!</f>
        <v>#REF!</v>
      </c>
      <c r="E97" s="180" t="s">
        <v>576</v>
      </c>
      <c r="F97" s="22" t="str">
        <f>IFERROR(VLOOKUP($E97,Casilleros!$A$4:$I$830,4,FALSE),"")</f>
        <v>INGRESOS DE ACTIVIDADES ORDINARIAS</v>
      </c>
      <c r="G97" s="22" t="str">
        <f>IFERROR(VLOOKUP($E97,Casilleros!$A$4:$I$830,9,FALSE),"")</f>
        <v>PRESTACIONES LOCALES DE SERVICIOS_Gravadas con tarifa 0% de iva o exentas de IVA__</v>
      </c>
      <c r="H97" s="22" t="str">
        <f>IFERROR(VLOOKUP($E97,Casilleros!$A$4:$J$830,10,FALSE),"")</f>
        <v>Ingresos de actividades ordinarias</v>
      </c>
      <c r="I97" s="6" t="e">
        <f>SUMIF(#REF!,$B97,#REF!)</f>
        <v>#REF!</v>
      </c>
      <c r="J97" s="6" t="e">
        <f>SUMIF(#REF!,$B97,#REF!)</f>
        <v>#REF!</v>
      </c>
      <c r="K97" s="6" t="e">
        <f t="shared" si="19"/>
        <v>#REF!</v>
      </c>
      <c r="L97" s="6">
        <f t="shared" si="20"/>
        <v>0</v>
      </c>
      <c r="M97" s="185"/>
      <c r="N97" s="20"/>
      <c r="O97" s="215"/>
      <c r="U97" s="20"/>
      <c r="Y97" s="42"/>
    </row>
    <row r="98" spans="1:25" s="7" customFormat="1" ht="15">
      <c r="A98" s="21">
        <f t="shared" si="21"/>
        <v>91</v>
      </c>
      <c r="B98" s="225" t="s">
        <v>2404</v>
      </c>
      <c r="C98" s="225" t="s">
        <v>2503</v>
      </c>
      <c r="D98" s="227" t="e">
        <f>+#REF!</f>
        <v>#REF!</v>
      </c>
      <c r="E98" s="180" t="s">
        <v>576</v>
      </c>
      <c r="F98" s="22" t="str">
        <f>IFERROR(VLOOKUP($E98,Casilleros!$A$4:$I$830,4,FALSE),"")</f>
        <v>INGRESOS DE ACTIVIDADES ORDINARIAS</v>
      </c>
      <c r="G98" s="22" t="str">
        <f>IFERROR(VLOOKUP($E98,Casilleros!$A$4:$I$830,9,FALSE),"")</f>
        <v>PRESTACIONES LOCALES DE SERVICIOS_Gravadas con tarifa 0% de iva o exentas de IVA__</v>
      </c>
      <c r="H98" s="22" t="str">
        <f>IFERROR(VLOOKUP($E98,Casilleros!$A$4:$J$830,10,FALSE),"")</f>
        <v>Ingresos de actividades ordinarias</v>
      </c>
      <c r="I98" s="6" t="e">
        <f>SUMIF(#REF!,$B98,#REF!)</f>
        <v>#REF!</v>
      </c>
      <c r="J98" s="6" t="e">
        <f>SUMIF(#REF!,$B98,#REF!)</f>
        <v>#REF!</v>
      </c>
      <c r="K98" s="6" t="e">
        <f t="shared" si="19"/>
        <v>#REF!</v>
      </c>
      <c r="L98" s="6">
        <f t="shared" si="20"/>
        <v>0</v>
      </c>
      <c r="M98" s="185"/>
      <c r="N98" s="20"/>
      <c r="O98" s="215"/>
      <c r="U98" s="20"/>
      <c r="Y98" s="42"/>
    </row>
    <row r="99" spans="1:25" s="7" customFormat="1" ht="15">
      <c r="A99" s="21">
        <f t="shared" si="21"/>
        <v>92</v>
      </c>
      <c r="B99" s="225" t="e">
        <f>+#REF!</f>
        <v>#REF!</v>
      </c>
      <c r="C99" s="225" t="e">
        <f>+#REF!</f>
        <v>#REF!</v>
      </c>
      <c r="D99" s="227" t="e">
        <f>+#REF!</f>
        <v>#REF!</v>
      </c>
      <c r="E99" s="180" t="s">
        <v>576</v>
      </c>
      <c r="F99" s="22" t="str">
        <f>IFERROR(VLOOKUP($E99,Casilleros!$A$4:$I$830,4,FALSE),"")</f>
        <v>INGRESOS DE ACTIVIDADES ORDINARIAS</v>
      </c>
      <c r="G99" s="22" t="str">
        <f>IFERROR(VLOOKUP($E99,Casilleros!$A$4:$I$830,9,FALSE),"")</f>
        <v>PRESTACIONES LOCALES DE SERVICIOS_Gravadas con tarifa 0% de iva o exentas de IVA__</v>
      </c>
      <c r="H99" s="22" t="str">
        <f>IFERROR(VLOOKUP($E99,Casilleros!$A$4:$J$830,10,FALSE),"")</f>
        <v>Ingresos de actividades ordinarias</v>
      </c>
      <c r="I99" s="6" t="e">
        <f>SUMIF(#REF!,$B99,#REF!)</f>
        <v>#REF!</v>
      </c>
      <c r="J99" s="6" t="e">
        <f>SUMIF(#REF!,$B99,#REF!)</f>
        <v>#REF!</v>
      </c>
      <c r="K99" s="6" t="e">
        <f t="shared" ref="K99" si="28">+D99+SUM(I99:J99)</f>
        <v>#REF!</v>
      </c>
      <c r="L99" s="6">
        <f t="shared" ref="L99" si="29">IF(E99="",K99,0)</f>
        <v>0</v>
      </c>
      <c r="M99" s="185"/>
      <c r="N99" s="20"/>
      <c r="O99" s="215"/>
      <c r="U99" s="20"/>
      <c r="Y99" s="42"/>
    </row>
    <row r="100" spans="1:25" s="7" customFormat="1" ht="15">
      <c r="A100" s="21">
        <f t="shared" si="21"/>
        <v>93</v>
      </c>
      <c r="B100" s="225" t="s">
        <v>2405</v>
      </c>
      <c r="C100" s="225" t="s">
        <v>2506</v>
      </c>
      <c r="D100" s="227" t="e">
        <f>+#REF!</f>
        <v>#REF!</v>
      </c>
      <c r="E100" s="180" t="s">
        <v>576</v>
      </c>
      <c r="F100" s="22" t="str">
        <f>IFERROR(VLOOKUP($E100,Casilleros!$A$4:$I$830,4,FALSE),"")</f>
        <v>INGRESOS DE ACTIVIDADES ORDINARIAS</v>
      </c>
      <c r="G100" s="22" t="str">
        <f>IFERROR(VLOOKUP($E100,Casilleros!$A$4:$I$830,9,FALSE),"")</f>
        <v>PRESTACIONES LOCALES DE SERVICIOS_Gravadas con tarifa 0% de iva o exentas de IVA__</v>
      </c>
      <c r="H100" s="22" t="str">
        <f>IFERROR(VLOOKUP($E100,Casilleros!$A$4:$J$830,10,FALSE),"")</f>
        <v>Ingresos de actividades ordinarias</v>
      </c>
      <c r="I100" s="6" t="e">
        <f>SUMIF(#REF!,$B100,#REF!)</f>
        <v>#REF!</v>
      </c>
      <c r="J100" s="6" t="e">
        <f>SUMIF(#REF!,$B100,#REF!)</f>
        <v>#REF!</v>
      </c>
      <c r="K100" s="6" t="e">
        <f t="shared" si="19"/>
        <v>#REF!</v>
      </c>
      <c r="L100" s="6">
        <f t="shared" si="20"/>
        <v>0</v>
      </c>
      <c r="M100" s="185"/>
      <c r="N100" s="20"/>
      <c r="O100" s="215"/>
      <c r="U100" s="20"/>
      <c r="Y100" s="42"/>
    </row>
    <row r="101" spans="1:25" s="7" customFormat="1" ht="15">
      <c r="A101" s="21">
        <f t="shared" si="21"/>
        <v>94</v>
      </c>
      <c r="B101" t="s">
        <v>2678</v>
      </c>
      <c r="C101" t="s">
        <v>2679</v>
      </c>
      <c r="D101" s="227" t="e">
        <f>+#REF!</f>
        <v>#REF!</v>
      </c>
      <c r="E101" s="180" t="s">
        <v>576</v>
      </c>
      <c r="F101" s="22" t="str">
        <f>IFERROR(VLOOKUP($E101,Casilleros!$A$4:$I$830,4,FALSE),"")</f>
        <v>INGRESOS DE ACTIVIDADES ORDINARIAS</v>
      </c>
      <c r="G101" s="22" t="str">
        <f>IFERROR(VLOOKUP($E101,Casilleros!$A$4:$I$830,9,FALSE),"")</f>
        <v>PRESTACIONES LOCALES DE SERVICIOS_Gravadas con tarifa 0% de iva o exentas de IVA__</v>
      </c>
      <c r="H101" s="22" t="str">
        <f>IFERROR(VLOOKUP($E101,Casilleros!$A$4:$J$830,10,FALSE),"")</f>
        <v>Ingresos de actividades ordinarias</v>
      </c>
      <c r="I101" s="6" t="e">
        <f>SUMIF(#REF!,$B101,#REF!)</f>
        <v>#REF!</v>
      </c>
      <c r="J101" s="6" t="e">
        <f>SUMIF(#REF!,$B101,#REF!)</f>
        <v>#REF!</v>
      </c>
      <c r="K101" s="6" t="e">
        <f t="shared" ref="K101" si="30">+D101+SUM(I101:J101)</f>
        <v>#REF!</v>
      </c>
      <c r="L101" s="6">
        <f t="shared" ref="L101" si="31">IF(E101="",K101,0)</f>
        <v>0</v>
      </c>
      <c r="M101" s="185"/>
      <c r="N101" s="20"/>
      <c r="O101" s="215"/>
      <c r="U101" s="20"/>
      <c r="Y101" s="42"/>
    </row>
    <row r="102" spans="1:25" s="7" customFormat="1" ht="15">
      <c r="A102" s="21">
        <f t="shared" si="21"/>
        <v>95</v>
      </c>
      <c r="B102" t="s">
        <v>2678</v>
      </c>
      <c r="C102" t="s">
        <v>2679</v>
      </c>
      <c r="D102" s="227" t="e">
        <f>+#REF!</f>
        <v>#REF!</v>
      </c>
      <c r="E102" s="180" t="s">
        <v>576</v>
      </c>
      <c r="F102" s="22" t="str">
        <f>IFERROR(VLOOKUP($E102,Casilleros!$A$4:$I$830,4,FALSE),"")</f>
        <v>INGRESOS DE ACTIVIDADES ORDINARIAS</v>
      </c>
      <c r="G102" s="22" t="str">
        <f>IFERROR(VLOOKUP($E102,Casilleros!$A$4:$I$830,9,FALSE),"")</f>
        <v>PRESTACIONES LOCALES DE SERVICIOS_Gravadas con tarifa 0% de iva o exentas de IVA__</v>
      </c>
      <c r="H102" s="22" t="str">
        <f>IFERROR(VLOOKUP($E102,Casilleros!$A$4:$J$830,10,FALSE),"")</f>
        <v>Ingresos de actividades ordinarias</v>
      </c>
      <c r="I102" s="6" t="e">
        <f>SUMIF(#REF!,$B102,#REF!)</f>
        <v>#REF!</v>
      </c>
      <c r="J102" s="6" t="e">
        <f>SUMIF(#REF!,$B102,#REF!)</f>
        <v>#REF!</v>
      </c>
      <c r="K102" s="6" t="e">
        <f t="shared" ref="K102" si="32">+D102+SUM(I102:J102)</f>
        <v>#REF!</v>
      </c>
      <c r="L102" s="6">
        <f t="shared" ref="L102" si="33">IF(E102="",K102,0)</f>
        <v>0</v>
      </c>
      <c r="M102" s="185"/>
      <c r="N102" s="20"/>
      <c r="O102" s="215"/>
      <c r="U102" s="20"/>
      <c r="Y102" s="42"/>
    </row>
    <row r="103" spans="1:25" s="7" customFormat="1" ht="15">
      <c r="A103" s="21">
        <f t="shared" si="21"/>
        <v>96</v>
      </c>
      <c r="B103" s="225" t="s">
        <v>2406</v>
      </c>
      <c r="C103" s="225" t="s">
        <v>2507</v>
      </c>
      <c r="D103" s="227" t="e">
        <f>+#REF!</f>
        <v>#REF!</v>
      </c>
      <c r="E103" s="180" t="s">
        <v>576</v>
      </c>
      <c r="F103" s="22" t="str">
        <f>IFERROR(VLOOKUP($E103,Casilleros!$A$4:$I$830,4,FALSE),"")</f>
        <v>INGRESOS DE ACTIVIDADES ORDINARIAS</v>
      </c>
      <c r="G103" s="22" t="str">
        <f>IFERROR(VLOOKUP($E103,Casilleros!$A$4:$I$830,9,FALSE),"")</f>
        <v>PRESTACIONES LOCALES DE SERVICIOS_Gravadas con tarifa 0% de iva o exentas de IVA__</v>
      </c>
      <c r="H103" s="22" t="str">
        <f>IFERROR(VLOOKUP($E103,Casilleros!$A$4:$J$830,10,FALSE),"")</f>
        <v>Ingresos de actividades ordinarias</v>
      </c>
      <c r="I103" s="6" t="e">
        <f>SUMIF(#REF!,$B103,#REF!)</f>
        <v>#REF!</v>
      </c>
      <c r="J103" s="6" t="e">
        <f>SUMIF(#REF!,$B103,#REF!)</f>
        <v>#REF!</v>
      </c>
      <c r="K103" s="6" t="e">
        <f t="shared" si="19"/>
        <v>#REF!</v>
      </c>
      <c r="L103" s="6">
        <f t="shared" si="20"/>
        <v>0</v>
      </c>
      <c r="M103" s="185"/>
      <c r="N103" s="20"/>
      <c r="O103" s="215"/>
      <c r="U103" s="20"/>
      <c r="Y103" s="42"/>
    </row>
    <row r="104" spans="1:25" s="7" customFormat="1" ht="15">
      <c r="A104" s="21">
        <f t="shared" si="21"/>
        <v>97</v>
      </c>
      <c r="B104" s="225" t="e">
        <f>+#REF!</f>
        <v>#REF!</v>
      </c>
      <c r="C104" s="225" t="e">
        <f>+#REF!</f>
        <v>#REF!</v>
      </c>
      <c r="D104" s="227" t="e">
        <f>+#REF!</f>
        <v>#REF!</v>
      </c>
      <c r="E104" s="180" t="s">
        <v>576</v>
      </c>
      <c r="F104" s="22" t="str">
        <f>IFERROR(VLOOKUP($E104,Casilleros!$A$4:$I$830,4,FALSE),"")</f>
        <v>INGRESOS DE ACTIVIDADES ORDINARIAS</v>
      </c>
      <c r="G104" s="22" t="str">
        <f>IFERROR(VLOOKUP($E104,Casilleros!$A$4:$I$830,9,FALSE),"")</f>
        <v>PRESTACIONES LOCALES DE SERVICIOS_Gravadas con tarifa 0% de iva o exentas de IVA__</v>
      </c>
      <c r="H104" s="22" t="str">
        <f>IFERROR(VLOOKUP($E104,Casilleros!$A$4:$J$830,10,FALSE),"")</f>
        <v>Ingresos de actividades ordinarias</v>
      </c>
      <c r="I104" s="6" t="e">
        <f>SUMIF(#REF!,$B104,#REF!)</f>
        <v>#REF!</v>
      </c>
      <c r="J104" s="6" t="e">
        <f>SUMIF(#REF!,$B104,#REF!)</f>
        <v>#REF!</v>
      </c>
      <c r="K104" s="6" t="e">
        <f t="shared" ref="K104" si="34">+D104+SUM(I104:J104)</f>
        <v>#REF!</v>
      </c>
      <c r="L104" s="6">
        <f t="shared" ref="L104" si="35">IF(E104="",K104,0)</f>
        <v>0</v>
      </c>
      <c r="M104" s="185"/>
      <c r="N104" s="20"/>
      <c r="O104" s="215"/>
      <c r="U104" s="20"/>
      <c r="Y104" s="42"/>
    </row>
    <row r="105" spans="1:25" s="7" customFormat="1" ht="15">
      <c r="A105" s="21">
        <f t="shared" si="21"/>
        <v>98</v>
      </c>
      <c r="B105" s="225" t="s">
        <v>2407</v>
      </c>
      <c r="C105" s="225" t="s">
        <v>2509</v>
      </c>
      <c r="D105" s="227" t="e">
        <f>+#REF!</f>
        <v>#REF!</v>
      </c>
      <c r="E105" s="180" t="s">
        <v>574</v>
      </c>
      <c r="F105" s="22" t="str">
        <f>IFERROR(VLOOKUP($E105,Casilleros!$A$4:$I$830,4,FALSE),"")</f>
        <v>INGRESOS DE ACTIVIDADES ORDINARIAS</v>
      </c>
      <c r="G105" s="22" t="str">
        <f>IFERROR(VLOOKUP($E105,Casilleros!$A$4:$I$830,9,FALSE),"")</f>
        <v>PRESTACIONES LOCALES DE SERVICIOS_Gravadas con tarifa diferente de 0% de IVA__</v>
      </c>
      <c r="H105" s="22" t="str">
        <f>IFERROR(VLOOKUP($E105,Casilleros!$A$4:$J$830,10,FALSE),"")</f>
        <v>Ingresos de actividades ordinarias</v>
      </c>
      <c r="I105" s="6" t="e">
        <f>SUMIF(#REF!,$B105,#REF!)</f>
        <v>#REF!</v>
      </c>
      <c r="J105" s="6" t="e">
        <f>SUMIF(#REF!,$B105,#REF!)</f>
        <v>#REF!</v>
      </c>
      <c r="K105" s="6" t="e">
        <f t="shared" si="19"/>
        <v>#REF!</v>
      </c>
      <c r="L105" s="6">
        <f t="shared" si="20"/>
        <v>0</v>
      </c>
      <c r="M105" s="185"/>
      <c r="N105" s="20"/>
      <c r="O105" s="215"/>
      <c r="U105" s="20"/>
      <c r="Y105" s="42"/>
    </row>
    <row r="106" spans="1:25" s="7" customFormat="1" ht="15">
      <c r="A106" s="21">
        <f t="shared" si="21"/>
        <v>99</v>
      </c>
      <c r="B106" s="225" t="s">
        <v>2408</v>
      </c>
      <c r="C106" s="225" t="s">
        <v>2510</v>
      </c>
      <c r="D106" s="227" t="e">
        <f>+#REF!</f>
        <v>#REF!</v>
      </c>
      <c r="E106" s="180" t="s">
        <v>574</v>
      </c>
      <c r="F106" s="22" t="str">
        <f>IFERROR(VLOOKUP($E106,Casilleros!$A$4:$I$830,4,FALSE),"")</f>
        <v>INGRESOS DE ACTIVIDADES ORDINARIAS</v>
      </c>
      <c r="G106" s="22" t="str">
        <f>IFERROR(VLOOKUP($E106,Casilleros!$A$4:$I$830,9,FALSE),"")</f>
        <v>PRESTACIONES LOCALES DE SERVICIOS_Gravadas con tarifa diferente de 0% de IVA__</v>
      </c>
      <c r="H106" s="22" t="str">
        <f>IFERROR(VLOOKUP($E106,Casilleros!$A$4:$J$830,10,FALSE),"")</f>
        <v>Ingresos de actividades ordinarias</v>
      </c>
      <c r="I106" s="6" t="e">
        <f>SUMIF(#REF!,$B106,#REF!)</f>
        <v>#REF!</v>
      </c>
      <c r="J106" s="6" t="e">
        <f>SUMIF(#REF!,$B106,#REF!)</f>
        <v>#REF!</v>
      </c>
      <c r="K106" s="6" t="e">
        <f t="shared" si="19"/>
        <v>#REF!</v>
      </c>
      <c r="L106" s="6">
        <f t="shared" si="20"/>
        <v>0</v>
      </c>
      <c r="M106" s="185"/>
      <c r="N106" s="20"/>
      <c r="O106" s="215"/>
      <c r="U106" s="20"/>
      <c r="Y106" s="42"/>
    </row>
    <row r="107" spans="1:25" s="7" customFormat="1" ht="15">
      <c r="A107" s="21">
        <f t="shared" si="21"/>
        <v>100</v>
      </c>
      <c r="B107" t="s">
        <v>2680</v>
      </c>
      <c r="C107" t="s">
        <v>2681</v>
      </c>
      <c r="D107" s="227" t="e">
        <f>+#REF!</f>
        <v>#REF!</v>
      </c>
      <c r="E107" s="180" t="s">
        <v>574</v>
      </c>
      <c r="F107" s="22" t="str">
        <f>IFERROR(VLOOKUP($E107,Casilleros!$A$4:$I$830,4,FALSE),"")</f>
        <v>INGRESOS DE ACTIVIDADES ORDINARIAS</v>
      </c>
      <c r="G107" s="22" t="str">
        <f>IFERROR(VLOOKUP($E107,Casilleros!$A$4:$I$830,9,FALSE),"")</f>
        <v>PRESTACIONES LOCALES DE SERVICIOS_Gravadas con tarifa diferente de 0% de IVA__</v>
      </c>
      <c r="H107" s="22" t="str">
        <f>IFERROR(VLOOKUP($E107,Casilleros!$A$4:$J$830,10,FALSE),"")</f>
        <v>Ingresos de actividades ordinarias</v>
      </c>
      <c r="I107" s="6" t="e">
        <f>SUMIF(#REF!,$B107,#REF!)</f>
        <v>#REF!</v>
      </c>
      <c r="J107" s="6" t="e">
        <f>SUMIF(#REF!,$B107,#REF!)</f>
        <v>#REF!</v>
      </c>
      <c r="K107" s="6" t="e">
        <f t="shared" si="19"/>
        <v>#REF!</v>
      </c>
      <c r="L107" s="6">
        <f t="shared" si="20"/>
        <v>0</v>
      </c>
      <c r="M107" s="185"/>
      <c r="N107" s="20"/>
      <c r="O107" s="215"/>
      <c r="U107" s="20"/>
      <c r="Y107" s="42"/>
    </row>
    <row r="108" spans="1:25" s="7" customFormat="1" ht="15">
      <c r="A108" s="21">
        <f t="shared" si="21"/>
        <v>101</v>
      </c>
      <c r="B108" t="s">
        <v>2682</v>
      </c>
      <c r="C108" t="s">
        <v>2683</v>
      </c>
      <c r="D108" s="227" t="e">
        <f>+#REF!</f>
        <v>#REF!</v>
      </c>
      <c r="E108" s="180" t="s">
        <v>574</v>
      </c>
      <c r="F108" s="22" t="str">
        <f>IFERROR(VLOOKUP($E108,Casilleros!$A$4:$I$830,4,FALSE),"")</f>
        <v>INGRESOS DE ACTIVIDADES ORDINARIAS</v>
      </c>
      <c r="G108" s="22" t="str">
        <f>IFERROR(VLOOKUP($E108,Casilleros!$A$4:$I$830,9,FALSE),"")</f>
        <v>PRESTACIONES LOCALES DE SERVICIOS_Gravadas con tarifa diferente de 0% de IVA__</v>
      </c>
      <c r="H108" s="22" t="str">
        <f>IFERROR(VLOOKUP($E108,Casilleros!$A$4:$J$830,10,FALSE),"")</f>
        <v>Ingresos de actividades ordinarias</v>
      </c>
      <c r="I108" s="6" t="e">
        <f>SUMIF(#REF!,$B108,#REF!)</f>
        <v>#REF!</v>
      </c>
      <c r="J108" s="6" t="e">
        <f>SUMIF(#REF!,$B108,#REF!)</f>
        <v>#REF!</v>
      </c>
      <c r="K108" s="6" t="e">
        <f t="shared" si="19"/>
        <v>#REF!</v>
      </c>
      <c r="L108" s="6">
        <f t="shared" si="20"/>
        <v>0</v>
      </c>
      <c r="M108" s="185"/>
      <c r="N108" s="20"/>
      <c r="O108" s="215"/>
      <c r="U108" s="20"/>
      <c r="Y108" s="42"/>
    </row>
    <row r="109" spans="1:25" s="7" customFormat="1" ht="15">
      <c r="A109" s="21">
        <f t="shared" si="21"/>
        <v>102</v>
      </c>
      <c r="B109" t="s">
        <v>2652</v>
      </c>
      <c r="C109" t="s">
        <v>2508</v>
      </c>
      <c r="D109" s="227" t="e">
        <f>+#REF!</f>
        <v>#REF!</v>
      </c>
      <c r="E109" s="180" t="s">
        <v>728</v>
      </c>
      <c r="F109" s="22" t="str">
        <f>IFERROR(VLOOKUP($E109,Casilleros!$A$4:$I$830,4,FALSE),"")</f>
        <v>INGRESOS FINANCIEROS Y OTROS NO OPERACIONALES</v>
      </c>
      <c r="G109" s="22" t="str">
        <f>IFERROR(VLOOKUP($E109,Casilleros!$A$4:$I$830,9,FALSE),"")</f>
        <v>INGRESOS FINANCIEROS_INTERESES CON INSTITUCIONES FINANCIERAS_NO RELACIONADAS_Local</v>
      </c>
      <c r="H109" s="22" t="str">
        <f>IFERROR(VLOOKUP($E109,Casilleros!$A$4:$J$830,10,FALSE),"")</f>
        <v>Ingresos financieros y otros no operacionales</v>
      </c>
      <c r="I109" s="6" t="e">
        <f>SUMIF(#REF!,$B109,#REF!)</f>
        <v>#REF!</v>
      </c>
      <c r="J109" s="6" t="e">
        <f>SUMIF(#REF!,$B109,#REF!)</f>
        <v>#REF!</v>
      </c>
      <c r="K109" s="6" t="e">
        <f t="shared" ref="K109" si="36">+D109+SUM(I109:J109)</f>
        <v>#REF!</v>
      </c>
      <c r="L109" s="6">
        <f t="shared" ref="L109" si="37">IF(E109="",K109,0)</f>
        <v>0</v>
      </c>
      <c r="M109" s="185"/>
      <c r="N109" s="20"/>
      <c r="O109" s="215"/>
      <c r="U109" s="20"/>
      <c r="Y109" s="42"/>
    </row>
    <row r="110" spans="1:25" s="7" customFormat="1" ht="15">
      <c r="A110" s="21">
        <f t="shared" si="21"/>
        <v>103</v>
      </c>
      <c r="B110" s="225" t="s">
        <v>2409</v>
      </c>
      <c r="C110" s="225" t="s">
        <v>2511</v>
      </c>
      <c r="D110" s="227" t="e">
        <f>+#REF!</f>
        <v>#REF!</v>
      </c>
      <c r="E110" s="180" t="s">
        <v>750</v>
      </c>
      <c r="F110" s="22" t="str">
        <f>IFERROR(VLOOKUP($E110,Casilleros!$A$4:$I$830,4,FALSE),"")</f>
        <v>INGRESOS FINANCIEROS Y OTROS NO OPERACIONALES</v>
      </c>
      <c r="G110" s="22" t="str">
        <f>IFERROR(VLOOKUP($E110,Casilleros!$A$4:$I$830,9,FALSE),"")</f>
        <v>Otros</v>
      </c>
      <c r="H110" s="22" t="str">
        <f>IFERROR(VLOOKUP($E110,Casilleros!$A$4:$J$830,10,FALSE),"")</f>
        <v>Ingresos financieros y otros no operacionales</v>
      </c>
      <c r="I110" s="6" t="e">
        <f>SUMIF(#REF!,$B110,#REF!)</f>
        <v>#REF!</v>
      </c>
      <c r="J110" s="6" t="e">
        <f>SUMIF(#REF!,$B110,#REF!)</f>
        <v>#REF!</v>
      </c>
      <c r="K110" s="6" t="e">
        <f t="shared" si="19"/>
        <v>#REF!</v>
      </c>
      <c r="L110" s="6">
        <f t="shared" si="20"/>
        <v>0</v>
      </c>
      <c r="M110" s="185"/>
      <c r="N110" s="20"/>
      <c r="O110" s="215"/>
      <c r="U110" s="20"/>
      <c r="Y110" s="42"/>
    </row>
    <row r="111" spans="1:25" s="7" customFormat="1" ht="15">
      <c r="A111" s="21">
        <f t="shared" si="21"/>
        <v>104</v>
      </c>
      <c r="B111" s="216" t="s">
        <v>2410</v>
      </c>
      <c r="C111" s="216" t="s">
        <v>2411</v>
      </c>
      <c r="D111" s="227" t="e">
        <f>+#REF!</f>
        <v>#REF!</v>
      </c>
      <c r="E111" s="180" t="s">
        <v>976</v>
      </c>
      <c r="F111" s="22" t="str">
        <f>IFERROR(VLOOKUP($E111,Casilleros!$A$4:$I$830,4,FALSE),"")</f>
        <v>OTROS GASTOS</v>
      </c>
      <c r="G111" s="22" t="str">
        <f>IFERROR(VLOOKUP($E111,Casilleros!$A$4:$I$830,9,FALSE),"")</f>
        <v>OTROS GASTOS_Transporte_Gasto</v>
      </c>
      <c r="H111" s="22" t="str">
        <f>IFERROR(VLOOKUP($E111,Casilleros!$A$4:$J$830,10,FALSE),"")</f>
        <v>Otros gastos_Gasto</v>
      </c>
      <c r="I111" s="6" t="e">
        <f>SUMIF(#REF!,$B111,#REF!)</f>
        <v>#REF!</v>
      </c>
      <c r="J111" s="6" t="e">
        <f>SUMIF(#REF!,$B111,#REF!)</f>
        <v>#REF!</v>
      </c>
      <c r="K111" s="6" t="e">
        <f t="shared" si="19"/>
        <v>#REF!</v>
      </c>
      <c r="L111" s="6">
        <f t="shared" si="20"/>
        <v>0</v>
      </c>
      <c r="M111" s="185"/>
      <c r="N111" s="20"/>
      <c r="O111" s="215"/>
      <c r="U111" s="20"/>
      <c r="Y111" s="42"/>
    </row>
    <row r="112" spans="1:25" s="7" customFormat="1" ht="15">
      <c r="A112" s="21">
        <f t="shared" si="21"/>
        <v>105</v>
      </c>
      <c r="B112" s="216" t="s">
        <v>2412</v>
      </c>
      <c r="C112" s="216" t="s">
        <v>2413</v>
      </c>
      <c r="D112" s="229" t="e">
        <f>+#REF!</f>
        <v>#REF!</v>
      </c>
      <c r="E112" s="180" t="s">
        <v>826</v>
      </c>
      <c r="F112" s="22" t="str">
        <f>IFERROR(VLOOKUP($E112,Casilleros!$A$4:$I$830,4,FALSE),"")</f>
        <v>GASTOS POR BENEFICIOS A LOS EMPLEADOS Y HONORARIOS</v>
      </c>
      <c r="G112" s="22" t="str">
        <f>IFERROR(VLOOKUP($E112,Casilleros!$A$4:$I$830,9,FALSE),"")</f>
        <v>GASTOS POR BENEFICIOS A LOS EMPLEADOS Y HONORARIOS_Sueldos, salarios y demás remuneraciones que constituyen materia gravada del iess_Gasto</v>
      </c>
      <c r="H112" s="22" t="str">
        <f>IFERROR(VLOOKUP($E112,Casilleros!$A$4:$J$830,10,FALSE),"")</f>
        <v>Gastos por beneficios a los empleados_Gasto</v>
      </c>
      <c r="I112" s="6" t="e">
        <f>SUMIF(#REF!,$B112,#REF!)</f>
        <v>#REF!</v>
      </c>
      <c r="J112" s="6" t="e">
        <f>SUMIF(#REF!,$B112,#REF!)</f>
        <v>#REF!</v>
      </c>
      <c r="K112" s="6" t="e">
        <f t="shared" si="19"/>
        <v>#REF!</v>
      </c>
      <c r="L112" s="6">
        <f t="shared" si="20"/>
        <v>0</v>
      </c>
      <c r="M112" s="185"/>
      <c r="N112" s="20"/>
      <c r="O112" s="215"/>
      <c r="U112" s="20"/>
      <c r="Y112" s="42"/>
    </row>
    <row r="113" spans="1:25" s="7" customFormat="1" ht="15">
      <c r="A113" s="21">
        <f t="shared" si="21"/>
        <v>106</v>
      </c>
      <c r="B113" s="216" t="s">
        <v>2414</v>
      </c>
      <c r="C113" s="216" t="s">
        <v>2415</v>
      </c>
      <c r="D113" s="229" t="e">
        <f>+#REF!</f>
        <v>#REF!</v>
      </c>
      <c r="E113" s="180" t="s">
        <v>834</v>
      </c>
      <c r="F113" s="22" t="str">
        <f>IFERROR(VLOOKUP($E113,Casilleros!$A$4:$I$830,4,FALSE),"")</f>
        <v>GASTOS POR BENEFICIOS A LOS EMPLEADOS Y HONORARIOS</v>
      </c>
      <c r="G113" s="22" t="str">
        <f>IFERROR(VLOOKUP($E113,Casilleros!$A$4:$I$830,9,FALSE),"")</f>
        <v>GASTOS POR BENEFICIOS A LOS EMPLEADOS Y HONORARIOS_Aporte a la seguridad social (incluye fondo de reserva)_Gasto</v>
      </c>
      <c r="H113" s="22" t="str">
        <f>IFERROR(VLOOKUP($E113,Casilleros!$A$4:$J$830,10,FALSE),"")</f>
        <v>Gastos por beneficios a los empleados_Gasto</v>
      </c>
      <c r="I113" s="6" t="e">
        <f>SUMIF(#REF!,$B113,#REF!)</f>
        <v>#REF!</v>
      </c>
      <c r="J113" s="6" t="e">
        <f>SUMIF(#REF!,$B113,#REF!)</f>
        <v>#REF!</v>
      </c>
      <c r="K113" s="6" t="e">
        <f t="shared" si="19"/>
        <v>#REF!</v>
      </c>
      <c r="L113" s="6">
        <f t="shared" si="20"/>
        <v>0</v>
      </c>
      <c r="M113" s="185"/>
      <c r="N113" s="20"/>
      <c r="O113" s="215"/>
      <c r="U113" s="20"/>
      <c r="Y113" s="42"/>
    </row>
    <row r="114" spans="1:25" s="7" customFormat="1" ht="15">
      <c r="A114" s="21">
        <f t="shared" si="21"/>
        <v>107</v>
      </c>
      <c r="B114" s="225" t="s">
        <v>2416</v>
      </c>
      <c r="C114" s="225" t="s">
        <v>2512</v>
      </c>
      <c r="D114" s="229" t="e">
        <f>+#REF!</f>
        <v>#REF!</v>
      </c>
      <c r="E114" s="180" t="s">
        <v>830</v>
      </c>
      <c r="F114" s="22" t="str">
        <f>IFERROR(VLOOKUP($E114,Casilleros!$A$4:$I$830,4,FALSE),"")</f>
        <v>GASTOS POR BENEFICIOS A LOS EMPLEADOS Y HONORARIOS</v>
      </c>
      <c r="G114" s="22" t="str">
        <f>IFERROR(VLOOKUP($E114,Casilleros!$A$4:$I$830,9,FALSE),"")</f>
        <v>GASTOS POR BENEFICIOS A LOS EMPLEADOS Y HONORARIOS_Beneficios sociales, indemnizaciones y otras remuneraciones que no constituyen materia gravada del IESS_Gasto</v>
      </c>
      <c r="H114" s="22" t="str">
        <f>IFERROR(VLOOKUP($E114,Casilleros!$A$4:$J$830,10,FALSE),"")</f>
        <v>Gastos por beneficios a los empleados_Gasto</v>
      </c>
      <c r="I114" s="6" t="e">
        <f>SUMIF(#REF!,$B114,#REF!)</f>
        <v>#REF!</v>
      </c>
      <c r="J114" s="6" t="e">
        <f>SUMIF(#REF!,$B114,#REF!)</f>
        <v>#REF!</v>
      </c>
      <c r="K114" s="6" t="e">
        <f t="shared" si="19"/>
        <v>#REF!</v>
      </c>
      <c r="L114" s="6">
        <f t="shared" si="20"/>
        <v>0</v>
      </c>
      <c r="M114" s="185"/>
      <c r="N114" s="20"/>
      <c r="O114" s="215"/>
      <c r="U114" s="20"/>
      <c r="Y114" s="42"/>
    </row>
    <row r="115" spans="1:25" s="7" customFormat="1" ht="15">
      <c r="A115" s="21">
        <f t="shared" si="21"/>
        <v>108</v>
      </c>
      <c r="B115" s="225" t="s">
        <v>2417</v>
      </c>
      <c r="C115" s="225" t="s">
        <v>2513</v>
      </c>
      <c r="D115" s="233" t="e">
        <f>+#REF!</f>
        <v>#REF!</v>
      </c>
      <c r="E115" s="180" t="s">
        <v>830</v>
      </c>
      <c r="F115" s="22" t="str">
        <f>IFERROR(VLOOKUP($E115,Casilleros!$A$4:$I$830,4,FALSE),"")</f>
        <v>GASTOS POR BENEFICIOS A LOS EMPLEADOS Y HONORARIOS</v>
      </c>
      <c r="G115" s="22" t="str">
        <f>IFERROR(VLOOKUP($E115,Casilleros!$A$4:$I$830,9,FALSE),"")</f>
        <v>GASTOS POR BENEFICIOS A LOS EMPLEADOS Y HONORARIOS_Beneficios sociales, indemnizaciones y otras remuneraciones que no constituyen materia gravada del IESS_Gasto</v>
      </c>
      <c r="H115" s="22" t="str">
        <f>IFERROR(VLOOKUP($E115,Casilleros!$A$4:$J$830,10,FALSE),"")</f>
        <v>Gastos por beneficios a los empleados_Gasto</v>
      </c>
      <c r="I115" s="6" t="e">
        <f>SUMIF(#REF!,$B115,#REF!)</f>
        <v>#REF!</v>
      </c>
      <c r="J115" s="6" t="e">
        <f>SUMIF(#REF!,$B115,#REF!)</f>
        <v>#REF!</v>
      </c>
      <c r="K115" s="6" t="e">
        <f t="shared" si="19"/>
        <v>#REF!</v>
      </c>
      <c r="L115" s="6">
        <f t="shared" si="20"/>
        <v>0</v>
      </c>
      <c r="M115" s="185"/>
      <c r="N115" s="20"/>
      <c r="O115" s="215"/>
      <c r="U115" s="20"/>
      <c r="Y115" s="42"/>
    </row>
    <row r="116" spans="1:25" s="7" customFormat="1" ht="15">
      <c r="A116" s="21">
        <f t="shared" si="21"/>
        <v>109</v>
      </c>
      <c r="B116" s="225" t="s">
        <v>2418</v>
      </c>
      <c r="C116" s="225" t="s">
        <v>2514</v>
      </c>
      <c r="D116" s="227" t="e">
        <f>+#REF!</f>
        <v>#REF!</v>
      </c>
      <c r="E116" s="180" t="s">
        <v>834</v>
      </c>
      <c r="F116" s="22" t="str">
        <f>IFERROR(VLOOKUP($E116,Casilleros!$A$4:$I$830,4,FALSE),"")</f>
        <v>GASTOS POR BENEFICIOS A LOS EMPLEADOS Y HONORARIOS</v>
      </c>
      <c r="G116" s="22" t="str">
        <f>IFERROR(VLOOKUP($E116,Casilleros!$A$4:$I$830,9,FALSE),"")</f>
        <v>GASTOS POR BENEFICIOS A LOS EMPLEADOS Y HONORARIOS_Aporte a la seguridad social (incluye fondo de reserva)_Gasto</v>
      </c>
      <c r="H116" s="22" t="str">
        <f>IFERROR(VLOOKUP($E116,Casilleros!$A$4:$J$830,10,FALSE),"")</f>
        <v>Gastos por beneficios a los empleados_Gasto</v>
      </c>
      <c r="I116" s="6" t="e">
        <f>SUMIF(#REF!,$B116,#REF!)</f>
        <v>#REF!</v>
      </c>
      <c r="J116" s="6" t="e">
        <f>SUMIF(#REF!,$B116,#REF!)</f>
        <v>#REF!</v>
      </c>
      <c r="K116" s="6" t="e">
        <f t="shared" ref="K116" si="38">+D116+SUM(I116:J116)</f>
        <v>#REF!</v>
      </c>
      <c r="L116" s="6">
        <f t="shared" ref="L116" si="39">IF(E116="",K116,0)</f>
        <v>0</v>
      </c>
      <c r="M116" s="185"/>
      <c r="N116" s="20"/>
      <c r="O116" s="215"/>
      <c r="U116" s="20"/>
      <c r="Y116" s="42"/>
    </row>
    <row r="117" spans="1:25" s="7" customFormat="1" ht="15">
      <c r="A117" s="21">
        <f t="shared" si="21"/>
        <v>110</v>
      </c>
      <c r="B117" s="225" t="s">
        <v>2419</v>
      </c>
      <c r="C117" s="225" t="s">
        <v>2515</v>
      </c>
      <c r="D117" s="233" t="e">
        <f>+#REF!</f>
        <v>#REF!</v>
      </c>
      <c r="E117" s="200" t="s">
        <v>830</v>
      </c>
      <c r="F117" s="22" t="str">
        <f>IFERROR(VLOOKUP($E117,Casilleros!$A$4:$I$830,4,FALSE),"")</f>
        <v>GASTOS POR BENEFICIOS A LOS EMPLEADOS Y HONORARIOS</v>
      </c>
      <c r="G117" s="22" t="str">
        <f>IFERROR(VLOOKUP($E117,Casilleros!$A$4:$I$830,9,FALSE),"")</f>
        <v>GASTOS POR BENEFICIOS A LOS EMPLEADOS Y HONORARIOS_Beneficios sociales, indemnizaciones y otras remuneraciones que no constituyen materia gravada del IESS_Gasto</v>
      </c>
      <c r="H117" s="22" t="str">
        <f>IFERROR(VLOOKUP($E117,Casilleros!$A$4:$J$830,10,FALSE),"")</f>
        <v>Gastos por beneficios a los empleados_Gasto</v>
      </c>
      <c r="I117" s="6" t="e">
        <f>SUMIF(#REF!,$B117,#REF!)</f>
        <v>#REF!</v>
      </c>
      <c r="J117" s="6" t="e">
        <f>SUMIF(#REF!,$B117,#REF!)</f>
        <v>#REF!</v>
      </c>
      <c r="K117" s="6" t="e">
        <f t="shared" si="19"/>
        <v>#REF!</v>
      </c>
      <c r="L117" s="6">
        <f t="shared" si="20"/>
        <v>0</v>
      </c>
      <c r="M117" s="185"/>
      <c r="N117" s="20"/>
      <c r="O117" s="215"/>
      <c r="U117" s="20"/>
      <c r="Y117" s="42"/>
    </row>
    <row r="118" spans="1:25" s="7" customFormat="1" ht="15">
      <c r="A118" s="21">
        <f t="shared" si="21"/>
        <v>111</v>
      </c>
      <c r="B118" t="s">
        <v>2420</v>
      </c>
      <c r="C118" t="s">
        <v>2516</v>
      </c>
      <c r="D118" s="233" t="e">
        <f>+#REF!</f>
        <v>#REF!</v>
      </c>
      <c r="E118" s="180" t="s">
        <v>830</v>
      </c>
      <c r="F118" s="22" t="str">
        <f>IFERROR(VLOOKUP($E118,Casilleros!$A$4:$I$830,4,FALSE),"")</f>
        <v>GASTOS POR BENEFICIOS A LOS EMPLEADOS Y HONORARIOS</v>
      </c>
      <c r="G118" s="22" t="str">
        <f>IFERROR(VLOOKUP($E118,Casilleros!$A$4:$I$830,9,FALSE),"")</f>
        <v>GASTOS POR BENEFICIOS A LOS EMPLEADOS Y HONORARIOS_Beneficios sociales, indemnizaciones y otras remuneraciones que no constituyen materia gravada del IESS_Gasto</v>
      </c>
      <c r="H118" s="22" t="str">
        <f>IFERROR(VLOOKUP($E118,Casilleros!$A$4:$J$830,10,FALSE),"")</f>
        <v>Gastos por beneficios a los empleados_Gasto</v>
      </c>
      <c r="I118" s="6" t="e">
        <f>SUMIF(#REF!,$B118,#REF!)</f>
        <v>#REF!</v>
      </c>
      <c r="J118" s="6" t="e">
        <f>SUMIF(#REF!,$B118,#REF!)</f>
        <v>#REF!</v>
      </c>
      <c r="K118" s="6" t="e">
        <f t="shared" ref="K118" si="40">+D118+SUM(I118:J118)</f>
        <v>#REF!</v>
      </c>
      <c r="L118" s="6">
        <f t="shared" ref="L118" si="41">IF(E118="",K118,0)</f>
        <v>0</v>
      </c>
      <c r="M118" s="185"/>
      <c r="N118" s="20"/>
      <c r="O118" s="215"/>
      <c r="U118" s="20"/>
      <c r="Y118" s="42"/>
    </row>
    <row r="119" spans="1:25" s="7" customFormat="1" ht="15">
      <c r="A119" s="21">
        <f t="shared" si="21"/>
        <v>112</v>
      </c>
      <c r="B119" s="225" t="s">
        <v>2421</v>
      </c>
      <c r="C119" s="225" t="s">
        <v>2517</v>
      </c>
      <c r="D119" s="233" t="e">
        <f>+#REF!</f>
        <v>#REF!</v>
      </c>
      <c r="E119" s="180" t="s">
        <v>830</v>
      </c>
      <c r="F119" s="22" t="str">
        <f>IFERROR(VLOOKUP($E119,Casilleros!$A$4:$I$830,4,FALSE),"")</f>
        <v>GASTOS POR BENEFICIOS A LOS EMPLEADOS Y HONORARIOS</v>
      </c>
      <c r="G119" s="22" t="str">
        <f>IFERROR(VLOOKUP($E119,Casilleros!$A$4:$I$830,9,FALSE),"")</f>
        <v>GASTOS POR BENEFICIOS A LOS EMPLEADOS Y HONORARIOS_Beneficios sociales, indemnizaciones y otras remuneraciones que no constituyen materia gravada del IESS_Gasto</v>
      </c>
      <c r="H119" s="22" t="str">
        <f>IFERROR(VLOOKUP($E119,Casilleros!$A$4:$J$830,10,FALSE),"")</f>
        <v>Gastos por beneficios a los empleados_Gasto</v>
      </c>
      <c r="I119" s="6" t="e">
        <f>SUMIF(#REF!,$B119,#REF!)</f>
        <v>#REF!</v>
      </c>
      <c r="J119" s="6" t="e">
        <f>SUMIF(#REF!,$B119,#REF!)</f>
        <v>#REF!</v>
      </c>
      <c r="K119" s="6" t="e">
        <f t="shared" si="19"/>
        <v>#REF!</v>
      </c>
      <c r="L119" s="6">
        <f t="shared" si="20"/>
        <v>0</v>
      </c>
      <c r="M119" s="185"/>
      <c r="N119" s="20"/>
      <c r="O119" s="215"/>
      <c r="U119" s="20"/>
      <c r="Y119" s="42"/>
    </row>
    <row r="120" spans="1:25" s="7" customFormat="1" ht="15">
      <c r="A120" s="21">
        <f t="shared" si="21"/>
        <v>113</v>
      </c>
      <c r="B120" s="225" t="s">
        <v>2422</v>
      </c>
      <c r="C120" s="225" t="s">
        <v>2518</v>
      </c>
      <c r="D120" s="227" t="e">
        <f>+#REF!</f>
        <v>#REF!</v>
      </c>
      <c r="E120" s="180" t="s">
        <v>826</v>
      </c>
      <c r="F120" s="22" t="str">
        <f>IFERROR(VLOOKUP($E120,Casilleros!$A$4:$I$830,4,FALSE),"")</f>
        <v>GASTOS POR BENEFICIOS A LOS EMPLEADOS Y HONORARIOS</v>
      </c>
      <c r="G120" s="22" t="str">
        <f>IFERROR(VLOOKUP($E120,Casilleros!$A$4:$I$830,9,FALSE),"")</f>
        <v>GASTOS POR BENEFICIOS A LOS EMPLEADOS Y HONORARIOS_Sueldos, salarios y demás remuneraciones que constituyen materia gravada del iess_Gasto</v>
      </c>
      <c r="H120" s="22" t="str">
        <f>IFERROR(VLOOKUP($E120,Casilleros!$A$4:$J$830,10,FALSE),"")</f>
        <v>Gastos por beneficios a los empleados_Gasto</v>
      </c>
      <c r="I120" s="6" t="e">
        <f>SUMIF(#REF!,$B120,#REF!)</f>
        <v>#REF!</v>
      </c>
      <c r="J120" s="6" t="e">
        <f>SUMIF(#REF!,$B120,#REF!)</f>
        <v>#REF!</v>
      </c>
      <c r="K120" s="6" t="e">
        <f t="shared" si="19"/>
        <v>#REF!</v>
      </c>
      <c r="L120" s="6">
        <f t="shared" si="20"/>
        <v>0</v>
      </c>
      <c r="M120" s="185"/>
      <c r="N120" s="20"/>
      <c r="O120" s="215"/>
      <c r="U120" s="20"/>
      <c r="Y120" s="42"/>
    </row>
    <row r="121" spans="1:25" s="7" customFormat="1" ht="15">
      <c r="A121" s="21">
        <f t="shared" si="21"/>
        <v>114</v>
      </c>
      <c r="B121" s="216" t="s">
        <v>2423</v>
      </c>
      <c r="C121" s="216" t="s">
        <v>2424</v>
      </c>
      <c r="D121" s="233" t="e">
        <f>+#REF!</f>
        <v>#REF!</v>
      </c>
      <c r="E121" s="180" t="s">
        <v>830</v>
      </c>
      <c r="F121" s="22" t="str">
        <f>IFERROR(VLOOKUP($E121,Casilleros!$A$4:$I$830,4,FALSE),"")</f>
        <v>GASTOS POR BENEFICIOS A LOS EMPLEADOS Y HONORARIOS</v>
      </c>
      <c r="G121" s="22" t="str">
        <f>IFERROR(VLOOKUP($E121,Casilleros!$A$4:$I$830,9,FALSE),"")</f>
        <v>GASTOS POR BENEFICIOS A LOS EMPLEADOS Y HONORARIOS_Beneficios sociales, indemnizaciones y otras remuneraciones que no constituyen materia gravada del IESS_Gasto</v>
      </c>
      <c r="H121" s="22" t="str">
        <f>IFERROR(VLOOKUP($E121,Casilleros!$A$4:$J$830,10,FALSE),"")</f>
        <v>Gastos por beneficios a los empleados_Gasto</v>
      </c>
      <c r="I121" s="6" t="e">
        <f>SUMIF(#REF!,$B121,#REF!)</f>
        <v>#REF!</v>
      </c>
      <c r="J121" s="6" t="e">
        <f>SUMIF(#REF!,$B121,#REF!)</f>
        <v>#REF!</v>
      </c>
      <c r="K121" s="6" t="e">
        <f t="shared" si="19"/>
        <v>#REF!</v>
      </c>
      <c r="L121" s="6">
        <f t="shared" si="20"/>
        <v>0</v>
      </c>
      <c r="M121" s="185"/>
      <c r="N121" s="20"/>
      <c r="O121" s="215"/>
      <c r="U121" s="20"/>
      <c r="Y121" s="42"/>
    </row>
    <row r="122" spans="1:25" s="7" customFormat="1" ht="15">
      <c r="A122" s="21">
        <f t="shared" si="21"/>
        <v>115</v>
      </c>
      <c r="B122" s="225" t="s">
        <v>2425</v>
      </c>
      <c r="C122" s="225" t="s">
        <v>2519</v>
      </c>
      <c r="D122" s="233" t="e">
        <f>+#REF!</f>
        <v>#REF!</v>
      </c>
      <c r="E122" s="180" t="s">
        <v>830</v>
      </c>
      <c r="F122" s="22" t="str">
        <f>IFERROR(VLOOKUP($E122,Casilleros!$A$4:$I$830,4,FALSE),"")</f>
        <v>GASTOS POR BENEFICIOS A LOS EMPLEADOS Y HONORARIOS</v>
      </c>
      <c r="G122" s="22" t="str">
        <f>IFERROR(VLOOKUP($E122,Casilleros!$A$4:$I$830,9,FALSE),"")</f>
        <v>GASTOS POR BENEFICIOS A LOS EMPLEADOS Y HONORARIOS_Beneficios sociales, indemnizaciones y otras remuneraciones que no constituyen materia gravada del IESS_Gasto</v>
      </c>
      <c r="H122" s="22" t="str">
        <f>IFERROR(VLOOKUP($E122,Casilleros!$A$4:$J$830,10,FALSE),"")</f>
        <v>Gastos por beneficios a los empleados_Gasto</v>
      </c>
      <c r="I122" s="6" t="e">
        <f>SUMIF(#REF!,$B122,#REF!)</f>
        <v>#REF!</v>
      </c>
      <c r="J122" s="6" t="e">
        <f>SUMIF(#REF!,$B122,#REF!)</f>
        <v>#REF!</v>
      </c>
      <c r="K122" s="6" t="e">
        <f t="shared" ref="K122" si="42">+D122+SUM(I122:J122)</f>
        <v>#REF!</v>
      </c>
      <c r="L122" s="6">
        <f t="shared" ref="L122" si="43">IF(E122="",K122,0)</f>
        <v>0</v>
      </c>
      <c r="M122" s="185"/>
      <c r="N122" s="20"/>
      <c r="O122" s="215"/>
      <c r="U122" s="20"/>
      <c r="Y122" s="42"/>
    </row>
    <row r="123" spans="1:25" s="7" customFormat="1" ht="15">
      <c r="A123" s="21">
        <f t="shared" si="21"/>
        <v>116</v>
      </c>
      <c r="B123" s="216" t="s">
        <v>2426</v>
      </c>
      <c r="C123" s="216" t="s">
        <v>2386</v>
      </c>
      <c r="D123" s="227" t="e">
        <f>+#REF!</f>
        <v>#REF!</v>
      </c>
      <c r="E123" s="180" t="s">
        <v>849</v>
      </c>
      <c r="F123" s="22" t="str">
        <f>IFERROR(VLOOKUP($E123,Casilleros!$A$4:$I$830,4,FALSE),"")</f>
        <v>GASTOS POR BENEFICIOS A LOS EMPLEADOS Y HONORARIOS</v>
      </c>
      <c r="G123" s="22" t="str">
        <f>IFERROR(VLOOKUP($E123,Casilleros!$A$4:$I$830,9,FALSE),"")</f>
        <v>GASTOS POR BENEFICIOS A LOS EMPLEADOS Y HONORARIOS_Desahucio_Gasto</v>
      </c>
      <c r="H123" s="22" t="str">
        <f>IFERROR(VLOOKUP($E123,Casilleros!$A$4:$J$830,10,FALSE),"")</f>
        <v>Gastos por beneficios a los empleados_Gasto</v>
      </c>
      <c r="I123" s="6" t="e">
        <f>SUMIF(#REF!,$B123,#REF!)</f>
        <v>#REF!</v>
      </c>
      <c r="J123" s="6" t="e">
        <f>SUMIF(#REF!,$B123,#REF!)</f>
        <v>#REF!</v>
      </c>
      <c r="K123" s="6" t="e">
        <f t="shared" si="19"/>
        <v>#REF!</v>
      </c>
      <c r="L123" s="6">
        <f t="shared" si="20"/>
        <v>0</v>
      </c>
      <c r="M123" s="185"/>
      <c r="N123" s="20"/>
      <c r="O123" s="215"/>
      <c r="U123" s="20"/>
      <c r="Y123" s="42"/>
    </row>
    <row r="124" spans="1:25" s="7" customFormat="1" ht="15">
      <c r="A124" s="21">
        <f t="shared" si="21"/>
        <v>117</v>
      </c>
      <c r="B124" s="225" t="s">
        <v>2427</v>
      </c>
      <c r="C124" s="225" t="s">
        <v>2521</v>
      </c>
      <c r="D124" s="227" t="e">
        <f>+#REF!</f>
        <v>#REF!</v>
      </c>
      <c r="E124" s="180" t="s">
        <v>838</v>
      </c>
      <c r="F124" s="22" t="str">
        <f>IFERROR(VLOOKUP($E124,Casilleros!$A$4:$I$830,4,FALSE),"")</f>
        <v>GASTOS POR BENEFICIOS A LOS EMPLEADOS Y HONORARIOS</v>
      </c>
      <c r="G124" s="22" t="str">
        <f>IFERROR(VLOOKUP($E124,Casilleros!$A$4:$I$830,9,FALSE),"")</f>
        <v>GASTOS POR BENEFICIOS A LOS EMPLEADOS Y HONORARIOS_Honorarios profesionales y dietas_Gasto</v>
      </c>
      <c r="H124" s="22" t="str">
        <f>IFERROR(VLOOKUP($E124,Casilleros!$A$4:$J$830,10,FALSE),"")</f>
        <v>Gastos por beneficios a los empleados_Gasto</v>
      </c>
      <c r="I124" s="6" t="e">
        <f>SUMIF(#REF!,$B124,#REF!)</f>
        <v>#REF!</v>
      </c>
      <c r="J124" s="6" t="e">
        <f>SUMIF(#REF!,$B124,#REF!)</f>
        <v>#REF!</v>
      </c>
      <c r="K124" s="6" t="e">
        <f t="shared" si="19"/>
        <v>#REF!</v>
      </c>
      <c r="L124" s="6">
        <f t="shared" si="20"/>
        <v>0</v>
      </c>
      <c r="M124" s="185"/>
      <c r="N124" s="20"/>
      <c r="O124" s="215"/>
      <c r="U124" s="20"/>
      <c r="Y124" s="42"/>
    </row>
    <row r="125" spans="1:25" s="7" customFormat="1" ht="15">
      <c r="A125" s="21">
        <f t="shared" si="21"/>
        <v>118</v>
      </c>
      <c r="B125" t="s">
        <v>2428</v>
      </c>
      <c r="C125" t="s">
        <v>2684</v>
      </c>
      <c r="D125" s="227" t="e">
        <f>+#REF!</f>
        <v>#REF!</v>
      </c>
      <c r="E125" s="180" t="s">
        <v>838</v>
      </c>
      <c r="F125" s="22" t="str">
        <f>IFERROR(VLOOKUP($E125,Casilleros!$A$4:$I$830,4,FALSE),"")</f>
        <v>GASTOS POR BENEFICIOS A LOS EMPLEADOS Y HONORARIOS</v>
      </c>
      <c r="G125" s="22" t="str">
        <f>IFERROR(VLOOKUP($E125,Casilleros!$A$4:$I$830,9,FALSE),"")</f>
        <v>GASTOS POR BENEFICIOS A LOS EMPLEADOS Y HONORARIOS_Honorarios profesionales y dietas_Gasto</v>
      </c>
      <c r="H125" s="22" t="str">
        <f>IFERROR(VLOOKUP($E125,Casilleros!$A$4:$J$830,10,FALSE),"")</f>
        <v>Gastos por beneficios a los empleados_Gasto</v>
      </c>
      <c r="I125" s="6" t="e">
        <f>SUMIF(#REF!,$B125,#REF!)</f>
        <v>#REF!</v>
      </c>
      <c r="J125" s="6" t="e">
        <f>SUMIF(#REF!,$B125,#REF!)</f>
        <v>#REF!</v>
      </c>
      <c r="K125" s="6" t="e">
        <f t="shared" si="19"/>
        <v>#REF!</v>
      </c>
      <c r="L125" s="6">
        <f t="shared" si="20"/>
        <v>0</v>
      </c>
      <c r="M125" s="185"/>
      <c r="N125" s="20"/>
      <c r="O125" s="215"/>
      <c r="U125" s="20"/>
      <c r="Y125" s="42"/>
    </row>
    <row r="126" spans="1:25" s="7" customFormat="1" ht="15">
      <c r="A126" s="21">
        <f t="shared" si="21"/>
        <v>119</v>
      </c>
      <c r="B126" t="e">
        <f>+#REF!</f>
        <v>#REF!</v>
      </c>
      <c r="C126" t="e">
        <f>+#REF!</f>
        <v>#REF!</v>
      </c>
      <c r="D126" s="227" t="e">
        <f>+#REF!</f>
        <v>#REF!</v>
      </c>
      <c r="E126" s="180" t="s">
        <v>838</v>
      </c>
      <c r="F126" s="22" t="str">
        <f>IFERROR(VLOOKUP($E126,Casilleros!$A$4:$I$830,4,FALSE),"")</f>
        <v>GASTOS POR BENEFICIOS A LOS EMPLEADOS Y HONORARIOS</v>
      </c>
      <c r="G126" s="22" t="str">
        <f>IFERROR(VLOOKUP($E126,Casilleros!$A$4:$I$830,9,FALSE),"")</f>
        <v>GASTOS POR BENEFICIOS A LOS EMPLEADOS Y HONORARIOS_Honorarios profesionales y dietas_Gasto</v>
      </c>
      <c r="H126" s="22" t="str">
        <f>IFERROR(VLOOKUP($E126,Casilleros!$A$4:$J$830,10,FALSE),"")</f>
        <v>Gastos por beneficios a los empleados_Gasto</v>
      </c>
      <c r="I126" s="6" t="e">
        <f>SUMIF(#REF!,$B126,#REF!)</f>
        <v>#REF!</v>
      </c>
      <c r="J126" s="6" t="e">
        <f>SUMIF(#REF!,$B126,#REF!)</f>
        <v>#REF!</v>
      </c>
      <c r="K126" s="6" t="e">
        <f t="shared" ref="K126" si="44">+D126+SUM(I126:J126)</f>
        <v>#REF!</v>
      </c>
      <c r="L126" s="6">
        <f t="shared" ref="L126" si="45">IF(E126="",K126,0)</f>
        <v>0</v>
      </c>
      <c r="M126" s="185"/>
      <c r="N126" s="20"/>
      <c r="O126" s="215"/>
      <c r="U126" s="20"/>
      <c r="Y126" s="42"/>
    </row>
    <row r="127" spans="1:25" s="7" customFormat="1" ht="15">
      <c r="A127" s="21">
        <f t="shared" si="21"/>
        <v>120</v>
      </c>
      <c r="B127" t="e">
        <f>+#REF!</f>
        <v>#REF!</v>
      </c>
      <c r="C127" t="e">
        <f>+#REF!</f>
        <v>#REF!</v>
      </c>
      <c r="D127" s="227" t="e">
        <f>+#REF!</f>
        <v>#REF!</v>
      </c>
      <c r="E127" s="180" t="s">
        <v>838</v>
      </c>
      <c r="F127" s="22" t="str">
        <f>IFERROR(VLOOKUP($E127,Casilleros!$A$4:$I$830,4,FALSE),"")</f>
        <v>GASTOS POR BENEFICIOS A LOS EMPLEADOS Y HONORARIOS</v>
      </c>
      <c r="G127" s="22" t="str">
        <f>IFERROR(VLOOKUP($E127,Casilleros!$A$4:$I$830,9,FALSE),"")</f>
        <v>GASTOS POR BENEFICIOS A LOS EMPLEADOS Y HONORARIOS_Honorarios profesionales y dietas_Gasto</v>
      </c>
      <c r="H127" s="22" t="str">
        <f>IFERROR(VLOOKUP($E127,Casilleros!$A$4:$J$830,10,FALSE),"")</f>
        <v>Gastos por beneficios a los empleados_Gasto</v>
      </c>
      <c r="I127" s="6" t="e">
        <f>SUMIF(#REF!,$B127,#REF!)</f>
        <v>#REF!</v>
      </c>
      <c r="J127" s="6" t="e">
        <f>SUMIF(#REF!,$B127,#REF!)</f>
        <v>#REF!</v>
      </c>
      <c r="K127" s="6" t="e">
        <f t="shared" ref="K127" si="46">+D127+SUM(I127:J127)</f>
        <v>#REF!</v>
      </c>
      <c r="L127" s="6">
        <f t="shared" ref="L127" si="47">IF(E127="",K127,0)</f>
        <v>0</v>
      </c>
      <c r="M127" s="185"/>
      <c r="N127" s="20"/>
      <c r="O127" s="215"/>
      <c r="U127" s="20"/>
      <c r="Y127" s="42"/>
    </row>
    <row r="128" spans="1:25" s="7" customFormat="1" ht="15">
      <c r="A128" s="21">
        <f t="shared" si="21"/>
        <v>121</v>
      </c>
      <c r="B128" s="213" t="s">
        <v>2429</v>
      </c>
      <c r="C128" s="213" t="s">
        <v>2523</v>
      </c>
      <c r="D128" s="227" t="e">
        <f>+#REF!</f>
        <v>#REF!</v>
      </c>
      <c r="E128" s="180" t="s">
        <v>998</v>
      </c>
      <c r="F128" s="22" t="str">
        <f>IFERROR(VLOOKUP($E128,Casilleros!$A$4:$I$830,4,FALSE),"")</f>
        <v>OTROS GASTOS</v>
      </c>
      <c r="G128" s="22" t="str">
        <f>IFERROR(VLOOKUP($E128,Casilleros!$A$4:$I$830,9,FALSE),"")</f>
        <v>OTROS GASTOS_Mantenimiento y reparaciones_Gasto</v>
      </c>
      <c r="H128" s="22" t="str">
        <f>IFERROR(VLOOKUP($E128,Casilleros!$A$4:$J$830,10,FALSE),"")</f>
        <v>Otros gastos_Gasto</v>
      </c>
      <c r="I128" s="6" t="e">
        <f>SUMIF(#REF!,$B128,#REF!)</f>
        <v>#REF!</v>
      </c>
      <c r="J128" s="6" t="e">
        <f>SUMIF(#REF!,$B128,#REF!)</f>
        <v>#REF!</v>
      </c>
      <c r="K128" s="6" t="e">
        <f t="shared" si="19"/>
        <v>#REF!</v>
      </c>
      <c r="L128" s="6">
        <f t="shared" si="20"/>
        <v>0</v>
      </c>
      <c r="M128" s="185"/>
      <c r="N128" s="20"/>
      <c r="O128" s="215"/>
      <c r="U128" s="20"/>
      <c r="Y128" s="42"/>
    </row>
    <row r="129" spans="1:25" s="7" customFormat="1" ht="15">
      <c r="A129" s="21">
        <f t="shared" si="21"/>
        <v>122</v>
      </c>
      <c r="B129" s="213" t="s">
        <v>2430</v>
      </c>
      <c r="C129" s="213" t="s">
        <v>2524</v>
      </c>
      <c r="D129" s="227" t="e">
        <f>+#REF!</f>
        <v>#REF!</v>
      </c>
      <c r="E129" s="180" t="s">
        <v>998</v>
      </c>
      <c r="F129" s="22" t="str">
        <f>IFERROR(VLOOKUP($E129,Casilleros!$A$4:$I$830,4,FALSE),"")</f>
        <v>OTROS GASTOS</v>
      </c>
      <c r="G129" s="22" t="str">
        <f>IFERROR(VLOOKUP($E129,Casilleros!$A$4:$I$830,9,FALSE),"")</f>
        <v>OTROS GASTOS_Mantenimiento y reparaciones_Gasto</v>
      </c>
      <c r="H129" s="22" t="str">
        <f>IFERROR(VLOOKUP($E129,Casilleros!$A$4:$J$830,10,FALSE),"")</f>
        <v>Otros gastos_Gasto</v>
      </c>
      <c r="I129" s="6" t="e">
        <f>SUMIF(#REF!,$B129,#REF!)</f>
        <v>#REF!</v>
      </c>
      <c r="J129" s="6" t="e">
        <f>SUMIF(#REF!,$B129,#REF!)</f>
        <v>#REF!</v>
      </c>
      <c r="K129" s="6" t="e">
        <f t="shared" si="19"/>
        <v>#REF!</v>
      </c>
      <c r="L129" s="6">
        <f t="shared" si="20"/>
        <v>0</v>
      </c>
      <c r="M129" s="185"/>
      <c r="N129" s="20"/>
      <c r="O129" s="215"/>
      <c r="U129" s="20"/>
      <c r="Y129" s="42"/>
    </row>
    <row r="130" spans="1:25" s="7" customFormat="1" ht="15">
      <c r="A130" s="21">
        <f t="shared" si="21"/>
        <v>123</v>
      </c>
      <c r="B130" s="213" t="s">
        <v>2431</v>
      </c>
      <c r="C130" s="213" t="s">
        <v>2525</v>
      </c>
      <c r="D130" s="227" t="e">
        <f>+#REF!</f>
        <v>#REF!</v>
      </c>
      <c r="E130" s="180" t="s">
        <v>998</v>
      </c>
      <c r="F130" s="22" t="str">
        <f>IFERROR(VLOOKUP($E130,Casilleros!$A$4:$I$830,4,FALSE),"")</f>
        <v>OTROS GASTOS</v>
      </c>
      <c r="G130" s="22" t="str">
        <f>IFERROR(VLOOKUP($E130,Casilleros!$A$4:$I$830,9,FALSE),"")</f>
        <v>OTROS GASTOS_Mantenimiento y reparaciones_Gasto</v>
      </c>
      <c r="H130" s="22" t="str">
        <f>IFERROR(VLOOKUP($E130,Casilleros!$A$4:$J$830,10,FALSE),"")</f>
        <v>Otros gastos_Gasto</v>
      </c>
      <c r="I130" s="6" t="e">
        <f>SUMIF(#REF!,$B130,#REF!)</f>
        <v>#REF!</v>
      </c>
      <c r="J130" s="6" t="e">
        <f>SUMIF(#REF!,$B130,#REF!)</f>
        <v>#REF!</v>
      </c>
      <c r="K130" s="6" t="e">
        <f t="shared" si="19"/>
        <v>#REF!</v>
      </c>
      <c r="L130" s="6">
        <f t="shared" si="20"/>
        <v>0</v>
      </c>
      <c r="M130" s="185"/>
      <c r="N130" s="20"/>
      <c r="O130" s="215"/>
      <c r="U130" s="20"/>
      <c r="Y130" s="42"/>
    </row>
    <row r="131" spans="1:25" s="7" customFormat="1" ht="15">
      <c r="A131" s="21">
        <f t="shared" si="21"/>
        <v>124</v>
      </c>
      <c r="B131" s="225" t="s">
        <v>2653</v>
      </c>
      <c r="C131" s="225" t="s">
        <v>2654</v>
      </c>
      <c r="D131" s="227" t="e">
        <f>+#REF!</f>
        <v>#REF!</v>
      </c>
      <c r="E131" s="180" t="s">
        <v>998</v>
      </c>
      <c r="F131" s="22" t="str">
        <f>IFERROR(VLOOKUP($E131,Casilleros!$A$4:$I$830,4,FALSE),"")</f>
        <v>OTROS GASTOS</v>
      </c>
      <c r="G131" s="22" t="str">
        <f>IFERROR(VLOOKUP($E131,Casilleros!$A$4:$I$830,9,FALSE),"")</f>
        <v>OTROS GASTOS_Mantenimiento y reparaciones_Gasto</v>
      </c>
      <c r="H131" s="22" t="str">
        <f>IFERROR(VLOOKUP($E131,Casilleros!$A$4:$J$830,10,FALSE),"")</f>
        <v>Otros gastos_Gasto</v>
      </c>
      <c r="I131" s="6" t="e">
        <f>SUMIF(#REF!,$B131,#REF!)</f>
        <v>#REF!</v>
      </c>
      <c r="J131" s="6" t="e">
        <f>SUMIF(#REF!,$B131,#REF!)</f>
        <v>#REF!</v>
      </c>
      <c r="K131" s="6" t="e">
        <f t="shared" ref="K131" si="48">+D131+SUM(I131:J131)</f>
        <v>#REF!</v>
      </c>
      <c r="L131" s="6">
        <f t="shared" ref="L131" si="49">IF(E131="",K131,0)</f>
        <v>0</v>
      </c>
      <c r="M131" s="185"/>
      <c r="N131" s="20"/>
      <c r="O131" s="215"/>
      <c r="U131" s="20"/>
      <c r="Y131" s="42"/>
    </row>
    <row r="132" spans="1:25" s="7" customFormat="1" ht="15">
      <c r="A132" s="21">
        <f t="shared" si="21"/>
        <v>125</v>
      </c>
      <c r="B132" s="213" t="s">
        <v>2432</v>
      </c>
      <c r="C132" s="213" t="s">
        <v>2526</v>
      </c>
      <c r="D132" s="227" t="e">
        <f>+#REF!</f>
        <v>#REF!</v>
      </c>
      <c r="E132" s="180" t="s">
        <v>1058</v>
      </c>
      <c r="F132" s="22" t="str">
        <f>IFERROR(VLOOKUP($E132,Casilleros!$A$4:$I$830,4,FALSE),"")</f>
        <v>OTROS GASTOS</v>
      </c>
      <c r="G132" s="22" t="str">
        <f>IFERROR(VLOOKUP($E132,Casilleros!$A$4:$I$830,9,FALSE),"")</f>
        <v>OTROS GASTOS_Otros_Gasto</v>
      </c>
      <c r="H132" s="22" t="str">
        <f>IFERROR(VLOOKUP($E132,Casilleros!$A$4:$J$830,10,FALSE),"")</f>
        <v>Otros gastos_Gasto</v>
      </c>
      <c r="I132" s="6" t="e">
        <f>SUMIF(#REF!,$B132,#REF!)</f>
        <v>#REF!</v>
      </c>
      <c r="J132" s="6" t="e">
        <f>SUMIF(#REF!,$B132,#REF!)</f>
        <v>#REF!</v>
      </c>
      <c r="K132" s="6" t="e">
        <f t="shared" si="19"/>
        <v>#REF!</v>
      </c>
      <c r="L132" s="6">
        <f t="shared" si="20"/>
        <v>0</v>
      </c>
      <c r="M132" s="185"/>
      <c r="N132" s="20"/>
      <c r="O132" s="215"/>
      <c r="U132" s="20"/>
      <c r="Y132" s="42"/>
    </row>
    <row r="133" spans="1:25" s="7" customFormat="1" ht="15">
      <c r="A133" s="21">
        <f t="shared" si="21"/>
        <v>126</v>
      </c>
      <c r="B133" s="213" t="s">
        <v>2433</v>
      </c>
      <c r="C133" s="213" t="s">
        <v>2522</v>
      </c>
      <c r="D133" s="227" t="e">
        <f>+#REF!</f>
        <v>#REF!</v>
      </c>
      <c r="E133" s="180" t="s">
        <v>998</v>
      </c>
      <c r="F133" s="22" t="str">
        <f>IFERROR(VLOOKUP($E133,Casilleros!$A$4:$I$830,4,FALSE),"")</f>
        <v>OTROS GASTOS</v>
      </c>
      <c r="G133" s="22" t="str">
        <f>IFERROR(VLOOKUP($E133,Casilleros!$A$4:$I$830,9,FALSE),"")</f>
        <v>OTROS GASTOS_Mantenimiento y reparaciones_Gasto</v>
      </c>
      <c r="H133" s="22" t="str">
        <f>IFERROR(VLOOKUP($E133,Casilleros!$A$4:$J$830,10,FALSE),"")</f>
        <v>Otros gastos_Gasto</v>
      </c>
      <c r="I133" s="6" t="e">
        <f>SUMIF(#REF!,$B133,#REF!)</f>
        <v>#REF!</v>
      </c>
      <c r="J133" s="6" t="e">
        <f>SUMIF(#REF!,$B133,#REF!)</f>
        <v>#REF!</v>
      </c>
      <c r="K133" s="6" t="e">
        <f t="shared" si="19"/>
        <v>#REF!</v>
      </c>
      <c r="L133" s="6">
        <f t="shared" si="20"/>
        <v>0</v>
      </c>
      <c r="M133" s="185"/>
      <c r="N133" s="20"/>
      <c r="O133" s="215"/>
      <c r="U133" s="20"/>
      <c r="Y133" s="42"/>
    </row>
    <row r="134" spans="1:25" s="7" customFormat="1" ht="15">
      <c r="A134" s="21">
        <f t="shared" si="21"/>
        <v>127</v>
      </c>
      <c r="B134" s="225" t="s">
        <v>2655</v>
      </c>
      <c r="C134" s="225" t="s">
        <v>2656</v>
      </c>
      <c r="D134" s="227" t="e">
        <f>+#REF!</f>
        <v>#REF!</v>
      </c>
      <c r="E134" s="180" t="s">
        <v>998</v>
      </c>
      <c r="F134" s="22" t="str">
        <f>IFERROR(VLOOKUP($E134,Casilleros!$A$4:$I$830,4,FALSE),"")</f>
        <v>OTROS GASTOS</v>
      </c>
      <c r="G134" s="22" t="str">
        <f>IFERROR(VLOOKUP($E134,Casilleros!$A$4:$I$830,9,FALSE),"")</f>
        <v>OTROS GASTOS_Mantenimiento y reparaciones_Gasto</v>
      </c>
      <c r="H134" s="22" t="str">
        <f>IFERROR(VLOOKUP($E134,Casilleros!$A$4:$J$830,10,FALSE),"")</f>
        <v>Otros gastos_Gasto</v>
      </c>
      <c r="I134" s="6" t="e">
        <f>SUMIF(#REF!,$B134,#REF!)</f>
        <v>#REF!</v>
      </c>
      <c r="J134" s="6" t="e">
        <f>SUMIF(#REF!,$B134,#REF!)</f>
        <v>#REF!</v>
      </c>
      <c r="K134" s="6" t="e">
        <f t="shared" ref="K134" si="50">+D134+SUM(I134:J134)</f>
        <v>#REF!</v>
      </c>
      <c r="L134" s="6">
        <f t="shared" ref="L134" si="51">IF(E134="",K134,0)</f>
        <v>0</v>
      </c>
      <c r="M134" s="185"/>
      <c r="N134" s="20"/>
      <c r="O134" s="215"/>
      <c r="U134" s="20"/>
      <c r="Y134" s="42"/>
    </row>
    <row r="135" spans="1:25" s="7" customFormat="1" ht="15">
      <c r="A135" s="21">
        <f t="shared" si="21"/>
        <v>128</v>
      </c>
      <c r="B135" s="225" t="s">
        <v>2657</v>
      </c>
      <c r="C135" s="225" t="s">
        <v>2658</v>
      </c>
      <c r="D135" s="227"/>
      <c r="E135" s="180" t="s">
        <v>998</v>
      </c>
      <c r="F135" s="22" t="str">
        <f>IFERROR(VLOOKUP($E135,Casilleros!$A$4:$I$830,4,FALSE),"")</f>
        <v>OTROS GASTOS</v>
      </c>
      <c r="G135" s="22" t="str">
        <f>IFERROR(VLOOKUP($E135,Casilleros!$A$4:$I$830,9,FALSE),"")</f>
        <v>OTROS GASTOS_Mantenimiento y reparaciones_Gasto</v>
      </c>
      <c r="H135" s="22" t="str">
        <f>IFERROR(VLOOKUP($E135,Casilleros!$A$4:$J$830,10,FALSE),"")</f>
        <v>Otros gastos_Gasto</v>
      </c>
      <c r="I135" s="6" t="e">
        <f>SUMIF(#REF!,$B135,#REF!)</f>
        <v>#REF!</v>
      </c>
      <c r="J135" s="6" t="e">
        <f>SUMIF(#REF!,$B135,#REF!)</f>
        <v>#REF!</v>
      </c>
      <c r="K135" s="6" t="e">
        <f t="shared" ref="K135:K139" si="52">+D135+SUM(I135:J135)</f>
        <v>#REF!</v>
      </c>
      <c r="L135" s="6">
        <f t="shared" ref="L135:L139" si="53">IF(E135="",K135,0)</f>
        <v>0</v>
      </c>
      <c r="M135" s="185"/>
      <c r="N135" s="20"/>
      <c r="O135" s="215"/>
      <c r="U135" s="20"/>
      <c r="Y135" s="42"/>
    </row>
    <row r="136" spans="1:25" s="7" customFormat="1" ht="15">
      <c r="A136" s="21">
        <f t="shared" si="21"/>
        <v>129</v>
      </c>
      <c r="B136" t="s">
        <v>2685</v>
      </c>
      <c r="C136" t="s">
        <v>2686</v>
      </c>
      <c r="D136" s="227" t="e">
        <f>+#REF!</f>
        <v>#REF!</v>
      </c>
      <c r="E136" s="180" t="s">
        <v>998</v>
      </c>
      <c r="F136" s="22" t="str">
        <f>IFERROR(VLOOKUP($E136,Casilleros!$A$4:$I$830,4,FALSE),"")</f>
        <v>OTROS GASTOS</v>
      </c>
      <c r="G136" s="22" t="str">
        <f>IFERROR(VLOOKUP($E136,Casilleros!$A$4:$I$830,9,FALSE),"")</f>
        <v>OTROS GASTOS_Mantenimiento y reparaciones_Gasto</v>
      </c>
      <c r="H136" s="22" t="str">
        <f>IFERROR(VLOOKUP($E136,Casilleros!$A$4:$J$830,10,FALSE),"")</f>
        <v>Otros gastos_Gasto</v>
      </c>
      <c r="I136" s="6" t="e">
        <f>SUMIF(#REF!,$B136,#REF!)</f>
        <v>#REF!</v>
      </c>
      <c r="J136" s="6" t="e">
        <f>SUMIF(#REF!,$B136,#REF!)</f>
        <v>#REF!</v>
      </c>
      <c r="K136" s="6" t="e">
        <f t="shared" ref="K136:K137" si="54">+D136+SUM(I136:J136)</f>
        <v>#REF!</v>
      </c>
      <c r="L136" s="6">
        <f t="shared" ref="L136:L137" si="55">IF(E136="",K136,0)</f>
        <v>0</v>
      </c>
      <c r="M136" s="185"/>
      <c r="N136" s="20"/>
      <c r="O136" s="215"/>
      <c r="U136" s="20"/>
      <c r="Y136" s="42"/>
    </row>
    <row r="137" spans="1:25" s="7" customFormat="1" ht="15">
      <c r="A137" s="21">
        <f t="shared" si="21"/>
        <v>130</v>
      </c>
      <c r="B137" t="s">
        <v>2687</v>
      </c>
      <c r="C137" t="s">
        <v>2688</v>
      </c>
      <c r="D137" s="227" t="e">
        <f>+#REF!</f>
        <v>#REF!</v>
      </c>
      <c r="E137" s="180" t="s">
        <v>998</v>
      </c>
      <c r="F137" s="22" t="str">
        <f>IFERROR(VLOOKUP($E137,Casilleros!$A$4:$I$830,4,FALSE),"")</f>
        <v>OTROS GASTOS</v>
      </c>
      <c r="G137" s="22" t="str">
        <f>IFERROR(VLOOKUP($E137,Casilleros!$A$4:$I$830,9,FALSE),"")</f>
        <v>OTROS GASTOS_Mantenimiento y reparaciones_Gasto</v>
      </c>
      <c r="H137" s="22" t="str">
        <f>IFERROR(VLOOKUP($E137,Casilleros!$A$4:$J$830,10,FALSE),"")</f>
        <v>Otros gastos_Gasto</v>
      </c>
      <c r="I137" s="6" t="e">
        <f>SUMIF(#REF!,$B137,#REF!)</f>
        <v>#REF!</v>
      </c>
      <c r="J137" s="6" t="e">
        <f>SUMIF(#REF!,$B137,#REF!)</f>
        <v>#REF!</v>
      </c>
      <c r="K137" s="6" t="e">
        <f t="shared" si="54"/>
        <v>#REF!</v>
      </c>
      <c r="L137" s="6">
        <f t="shared" si="55"/>
        <v>0</v>
      </c>
      <c r="M137" s="185"/>
      <c r="N137" s="20"/>
      <c r="O137" s="215"/>
      <c r="U137" s="20"/>
      <c r="Y137" s="42"/>
    </row>
    <row r="138" spans="1:25" s="7" customFormat="1" ht="15">
      <c r="A138" s="21">
        <f t="shared" si="21"/>
        <v>131</v>
      </c>
      <c r="B138" t="s">
        <v>2687</v>
      </c>
      <c r="C138" t="s">
        <v>2688</v>
      </c>
      <c r="D138" s="227" t="e">
        <f>+#REF!</f>
        <v>#REF!</v>
      </c>
      <c r="E138" s="180" t="s">
        <v>998</v>
      </c>
      <c r="F138" s="22" t="str">
        <f>IFERROR(VLOOKUP($E138,Casilleros!$A$4:$I$830,4,FALSE),"")</f>
        <v>OTROS GASTOS</v>
      </c>
      <c r="G138" s="22" t="str">
        <f>IFERROR(VLOOKUP($E138,Casilleros!$A$4:$I$830,9,FALSE),"")</f>
        <v>OTROS GASTOS_Mantenimiento y reparaciones_Gasto</v>
      </c>
      <c r="H138" s="22" t="str">
        <f>IFERROR(VLOOKUP($E138,Casilleros!$A$4:$J$830,10,FALSE),"")</f>
        <v>Otros gastos_Gasto</v>
      </c>
      <c r="I138" s="6" t="e">
        <f>SUMIF(#REF!,$B138,#REF!)</f>
        <v>#REF!</v>
      </c>
      <c r="J138" s="6" t="e">
        <f>SUMIF(#REF!,$B138,#REF!)</f>
        <v>#REF!</v>
      </c>
      <c r="K138" s="6" t="e">
        <f t="shared" ref="K138" si="56">+D138+SUM(I138:J138)</f>
        <v>#REF!</v>
      </c>
      <c r="L138" s="6">
        <f t="shared" ref="L138" si="57">IF(E138="",K138,0)</f>
        <v>0</v>
      </c>
      <c r="M138" s="185"/>
      <c r="N138" s="20"/>
      <c r="O138" s="215"/>
      <c r="U138" s="20"/>
      <c r="Y138" s="42"/>
    </row>
    <row r="139" spans="1:25" s="7" customFormat="1" ht="15">
      <c r="A139" s="21">
        <f t="shared" si="21"/>
        <v>132</v>
      </c>
      <c r="B139" s="213" t="s">
        <v>2434</v>
      </c>
      <c r="C139" s="213" t="s">
        <v>2527</v>
      </c>
      <c r="D139" s="227"/>
      <c r="E139" s="180" t="s">
        <v>1058</v>
      </c>
      <c r="F139" s="22" t="str">
        <f>IFERROR(VLOOKUP($E139,Casilleros!$A$4:$I$830,4,FALSE),"")</f>
        <v>OTROS GASTOS</v>
      </c>
      <c r="G139" s="22" t="str">
        <f>IFERROR(VLOOKUP($E139,Casilleros!$A$4:$I$830,9,FALSE),"")</f>
        <v>OTROS GASTOS_Otros_Gasto</v>
      </c>
      <c r="H139" s="22" t="str">
        <f>IFERROR(VLOOKUP($E139,Casilleros!$A$4:$J$830,10,FALSE),"")</f>
        <v>Otros gastos_Gasto</v>
      </c>
      <c r="I139" s="6" t="e">
        <f>SUMIF(#REF!,$B139,#REF!)</f>
        <v>#REF!</v>
      </c>
      <c r="J139" s="6" t="e">
        <f>SUMIF(#REF!,$B139,#REF!)</f>
        <v>#REF!</v>
      </c>
      <c r="K139" s="6" t="e">
        <f t="shared" si="52"/>
        <v>#REF!</v>
      </c>
      <c r="L139" s="6">
        <f t="shared" si="53"/>
        <v>0</v>
      </c>
      <c r="M139" s="185"/>
      <c r="N139" s="20"/>
      <c r="O139" s="215"/>
      <c r="U139" s="20"/>
      <c r="Y139" s="42"/>
    </row>
    <row r="140" spans="1:25" s="7" customFormat="1" ht="15">
      <c r="A140" s="21">
        <f t="shared" si="21"/>
        <v>133</v>
      </c>
      <c r="B140" s="213" t="s">
        <v>2435</v>
      </c>
      <c r="C140" s="213" t="s">
        <v>2528</v>
      </c>
      <c r="D140" s="227" t="e">
        <f>+#REF!</f>
        <v>#REF!</v>
      </c>
      <c r="E140" s="180" t="s">
        <v>1058</v>
      </c>
      <c r="F140" s="22" t="str">
        <f>IFERROR(VLOOKUP($E140,Casilleros!$A$4:$I$830,4,FALSE),"")</f>
        <v>OTROS GASTOS</v>
      </c>
      <c r="G140" s="22" t="str">
        <f>IFERROR(VLOOKUP($E140,Casilleros!$A$4:$I$830,9,FALSE),"")</f>
        <v>OTROS GASTOS_Otros_Gasto</v>
      </c>
      <c r="H140" s="22" t="str">
        <f>IFERROR(VLOOKUP($E140,Casilleros!$A$4:$J$830,10,FALSE),"")</f>
        <v>Otros gastos_Gasto</v>
      </c>
      <c r="I140" s="6" t="e">
        <f>SUMIF(#REF!,$B140,#REF!)</f>
        <v>#REF!</v>
      </c>
      <c r="J140" s="6" t="e">
        <f>SUMIF(#REF!,$B140,#REF!)</f>
        <v>#REF!</v>
      </c>
      <c r="K140" s="6" t="e">
        <f t="shared" si="19"/>
        <v>#REF!</v>
      </c>
      <c r="L140" s="6">
        <f t="shared" si="20"/>
        <v>0</v>
      </c>
      <c r="M140" s="185"/>
      <c r="N140" s="20"/>
      <c r="O140" s="215"/>
      <c r="U140" s="20"/>
      <c r="Y140" s="42"/>
    </row>
    <row r="141" spans="1:25" s="7" customFormat="1" ht="15">
      <c r="A141" s="21">
        <f t="shared" si="21"/>
        <v>134</v>
      </c>
      <c r="B141" s="225" t="s">
        <v>2659</v>
      </c>
      <c r="C141" s="225" t="s">
        <v>2660</v>
      </c>
      <c r="D141" s="227"/>
      <c r="E141" s="180" t="s">
        <v>1058</v>
      </c>
      <c r="F141" s="22" t="str">
        <f>IFERROR(VLOOKUP($E141,Casilleros!$A$4:$I$830,4,FALSE),"")</f>
        <v>OTROS GASTOS</v>
      </c>
      <c r="G141" s="22" t="str">
        <f>IFERROR(VLOOKUP($E141,Casilleros!$A$4:$I$830,9,FALSE),"")</f>
        <v>OTROS GASTOS_Otros_Gasto</v>
      </c>
      <c r="H141" s="22" t="str">
        <f>IFERROR(VLOOKUP($E141,Casilleros!$A$4:$J$830,10,FALSE),"")</f>
        <v>Otros gastos_Gasto</v>
      </c>
      <c r="I141" s="6" t="e">
        <f>SUMIF(#REF!,$B141,#REF!)</f>
        <v>#REF!</v>
      </c>
      <c r="J141" s="6" t="e">
        <f>SUMIF(#REF!,$B141,#REF!)</f>
        <v>#REF!</v>
      </c>
      <c r="K141" s="6" t="e">
        <f t="shared" si="19"/>
        <v>#REF!</v>
      </c>
      <c r="L141" s="6">
        <f t="shared" si="20"/>
        <v>0</v>
      </c>
      <c r="M141" s="185"/>
      <c r="N141" s="20"/>
      <c r="O141" s="215"/>
      <c r="U141" s="20"/>
      <c r="Y141" s="42"/>
    </row>
    <row r="142" spans="1:25" s="7" customFormat="1" ht="15">
      <c r="A142" s="21">
        <f t="shared" si="21"/>
        <v>135</v>
      </c>
      <c r="B142" s="216" t="s">
        <v>2436</v>
      </c>
      <c r="C142" s="216" t="s">
        <v>2437</v>
      </c>
      <c r="D142" s="227" t="e">
        <f>+#REF!</f>
        <v>#REF!</v>
      </c>
      <c r="E142" s="180" t="s">
        <v>973</v>
      </c>
      <c r="F142" s="22" t="str">
        <f>IFERROR(VLOOKUP($E142,Casilleros!$A$4:$I$830,4,FALSE),"")</f>
        <v>OTROS GASTOS</v>
      </c>
      <c r="G142" s="22" t="str">
        <f>IFERROR(VLOOKUP($E142,Casilleros!$A$4:$I$830,9,FALSE),"")</f>
        <v>OTROS GASTOS_Promoción y publicidad_Gasto</v>
      </c>
      <c r="H142" s="22" t="str">
        <f>IFERROR(VLOOKUP($E142,Casilleros!$A$4:$J$830,10,FALSE),"")</f>
        <v>Otros gastos_Gasto</v>
      </c>
      <c r="I142" s="6" t="e">
        <f>SUMIF(#REF!,$B142,#REF!)</f>
        <v>#REF!</v>
      </c>
      <c r="J142" s="6" t="e">
        <f>SUMIF(#REF!,$B142,#REF!)</f>
        <v>#REF!</v>
      </c>
      <c r="K142" s="6" t="e">
        <f t="shared" si="19"/>
        <v>#REF!</v>
      </c>
      <c r="L142" s="6">
        <f t="shared" si="20"/>
        <v>0</v>
      </c>
      <c r="M142" s="185"/>
      <c r="N142" s="20"/>
      <c r="O142" s="215"/>
      <c r="U142" s="20"/>
      <c r="Y142" s="42"/>
    </row>
    <row r="143" spans="1:25" s="7" customFormat="1" ht="15">
      <c r="A143" s="21">
        <f t="shared" si="21"/>
        <v>136</v>
      </c>
      <c r="B143" s="216" t="s">
        <v>2438</v>
      </c>
      <c r="C143" s="216" t="s">
        <v>2439</v>
      </c>
      <c r="D143" s="227" t="e">
        <f>+#REF!</f>
        <v>#REF!</v>
      </c>
      <c r="E143" s="180" t="s">
        <v>1006</v>
      </c>
      <c r="F143" s="22" t="str">
        <f>IFERROR(VLOOKUP($E143,Casilleros!$A$4:$I$830,4,FALSE),"")</f>
        <v>OTROS GASTOS</v>
      </c>
      <c r="G143" s="22" t="str">
        <f>IFERROR(VLOOKUP($E143,Casilleros!$A$4:$I$830,9,FALSE),"")</f>
        <v>OTROS GASTOS_Seguros y reaseguros (primas y cesiones) _Gasto</v>
      </c>
      <c r="H143" s="22" t="str">
        <f>IFERROR(VLOOKUP($E143,Casilleros!$A$4:$J$830,10,FALSE),"")</f>
        <v>Otros gastos_Gasto</v>
      </c>
      <c r="I143" s="6" t="e">
        <f>SUMIF(#REF!,$B143,#REF!)</f>
        <v>#REF!</v>
      </c>
      <c r="J143" s="6" t="e">
        <f>SUMIF(#REF!,$B143,#REF!)</f>
        <v>#REF!</v>
      </c>
      <c r="K143" s="6" t="e">
        <f t="shared" si="19"/>
        <v>#REF!</v>
      </c>
      <c r="L143" s="6">
        <f t="shared" si="20"/>
        <v>0</v>
      </c>
      <c r="M143" s="185"/>
      <c r="N143" s="20"/>
      <c r="O143" s="215"/>
      <c r="U143" s="20"/>
      <c r="Y143" s="42"/>
    </row>
    <row r="144" spans="1:25" s="7" customFormat="1" ht="15">
      <c r="A144" s="21">
        <f t="shared" si="21"/>
        <v>137</v>
      </c>
      <c r="B144" s="216" t="s">
        <v>2440</v>
      </c>
      <c r="C144" s="216" t="s">
        <v>2441</v>
      </c>
      <c r="D144" s="227" t="e">
        <f>+#REF!</f>
        <v>#REF!</v>
      </c>
      <c r="E144" s="180" t="s">
        <v>1058</v>
      </c>
      <c r="F144" s="22" t="str">
        <f>IFERROR(VLOOKUP($E144,Casilleros!$A$4:$I$830,4,FALSE),"")</f>
        <v>OTROS GASTOS</v>
      </c>
      <c r="G144" s="22" t="str">
        <f>IFERROR(VLOOKUP($E144,Casilleros!$A$4:$I$830,9,FALSE),"")</f>
        <v>OTROS GASTOS_Otros_Gasto</v>
      </c>
      <c r="H144" s="22" t="str">
        <f>IFERROR(VLOOKUP($E144,Casilleros!$A$4:$J$830,10,FALSE),"")</f>
        <v>Otros gastos_Gasto</v>
      </c>
      <c r="I144" s="6" t="e">
        <f>SUMIF(#REF!,$B144,#REF!)</f>
        <v>#REF!</v>
      </c>
      <c r="J144" s="6" t="e">
        <f>SUMIF(#REF!,$B144,#REF!)</f>
        <v>#REF!</v>
      </c>
      <c r="K144" s="6" t="e">
        <f t="shared" si="19"/>
        <v>#REF!</v>
      </c>
      <c r="L144" s="6">
        <f t="shared" si="20"/>
        <v>0</v>
      </c>
      <c r="M144" s="185"/>
      <c r="N144" s="20"/>
      <c r="O144" s="215"/>
      <c r="U144" s="20"/>
      <c r="Y144" s="42"/>
    </row>
    <row r="145" spans="1:25" s="7" customFormat="1" ht="15">
      <c r="A145" s="21">
        <f t="shared" si="21"/>
        <v>138</v>
      </c>
      <c r="B145" t="s">
        <v>2442</v>
      </c>
      <c r="C145" t="s">
        <v>2530</v>
      </c>
      <c r="D145" s="227" t="e">
        <f>+#REF!</f>
        <v>#REF!</v>
      </c>
      <c r="E145" s="198" t="s">
        <v>1058</v>
      </c>
      <c r="F145" s="22" t="str">
        <f>IFERROR(VLOOKUP($E145,Casilleros!$A$4:$I$830,4,FALSE),"")</f>
        <v>OTROS GASTOS</v>
      </c>
      <c r="G145" s="22" t="str">
        <f>IFERROR(VLOOKUP($E145,Casilleros!$A$4:$I$830,9,FALSE),"")</f>
        <v>OTROS GASTOS_Otros_Gasto</v>
      </c>
      <c r="H145" s="22" t="str">
        <f>IFERROR(VLOOKUP($E145,Casilleros!$A$4:$J$830,10,FALSE),"")</f>
        <v>Otros gastos_Gasto</v>
      </c>
      <c r="I145" s="6" t="e">
        <f>SUMIF(#REF!,$B145,#REF!)</f>
        <v>#REF!</v>
      </c>
      <c r="J145" s="6" t="e">
        <f>SUMIF(#REF!,$B145,#REF!)</f>
        <v>#REF!</v>
      </c>
      <c r="K145" s="6" t="e">
        <f t="shared" si="19"/>
        <v>#REF!</v>
      </c>
      <c r="L145" s="6">
        <f t="shared" si="20"/>
        <v>0</v>
      </c>
      <c r="M145" s="185"/>
      <c r="N145" s="20"/>
      <c r="O145" s="215"/>
      <c r="U145" s="20"/>
      <c r="Y145" s="42"/>
    </row>
    <row r="146" spans="1:25" s="7" customFormat="1" ht="15">
      <c r="A146" s="21">
        <f t="shared" si="21"/>
        <v>139</v>
      </c>
      <c r="B146" t="e">
        <f>+#REF!</f>
        <v>#REF!</v>
      </c>
      <c r="C146" t="e">
        <f>+#REF!</f>
        <v>#REF!</v>
      </c>
      <c r="D146" s="227" t="e">
        <f>+#REF!</f>
        <v>#REF!</v>
      </c>
      <c r="E146" s="198" t="s">
        <v>1058</v>
      </c>
      <c r="F146" s="22" t="str">
        <f>IFERROR(VLOOKUP($E146,Casilleros!$A$4:$I$830,4,FALSE),"")</f>
        <v>OTROS GASTOS</v>
      </c>
      <c r="G146" s="22" t="str">
        <f>IFERROR(VLOOKUP($E146,Casilleros!$A$4:$I$830,9,FALSE),"")</f>
        <v>OTROS GASTOS_Otros_Gasto</v>
      </c>
      <c r="H146" s="22" t="str">
        <f>IFERROR(VLOOKUP($E146,Casilleros!$A$4:$J$830,10,FALSE),"")</f>
        <v>Otros gastos_Gasto</v>
      </c>
      <c r="I146" s="6" t="e">
        <f>SUMIF(#REF!,$B146,#REF!)</f>
        <v>#REF!</v>
      </c>
      <c r="J146" s="6" t="e">
        <f>SUMIF(#REF!,$B146,#REF!)</f>
        <v>#REF!</v>
      </c>
      <c r="K146" s="6" t="e">
        <f t="shared" ref="K146" si="58">+D146+SUM(I146:J146)</f>
        <v>#REF!</v>
      </c>
      <c r="L146" s="6">
        <f t="shared" ref="L146" si="59">IF(E146="",K146,0)</f>
        <v>0</v>
      </c>
      <c r="M146" s="185"/>
      <c r="N146" s="20"/>
      <c r="O146" s="215"/>
      <c r="U146" s="20"/>
      <c r="Y146" s="42"/>
    </row>
    <row r="147" spans="1:25" s="7" customFormat="1" ht="15">
      <c r="A147" s="21">
        <f t="shared" si="21"/>
        <v>140</v>
      </c>
      <c r="B147" t="s">
        <v>2443</v>
      </c>
      <c r="C147" t="s">
        <v>2531</v>
      </c>
      <c r="D147" s="227" t="e">
        <f>+#REF!</f>
        <v>#REF!</v>
      </c>
      <c r="E147" s="198" t="s">
        <v>1058</v>
      </c>
      <c r="F147" s="22" t="str">
        <f>IFERROR(VLOOKUP($E147,Casilleros!$A$4:$I$830,4,FALSE),"")</f>
        <v>OTROS GASTOS</v>
      </c>
      <c r="G147" s="22" t="str">
        <f>IFERROR(VLOOKUP($E147,Casilleros!$A$4:$I$830,9,FALSE),"")</f>
        <v>OTROS GASTOS_Otros_Gasto</v>
      </c>
      <c r="H147" s="22" t="str">
        <f>IFERROR(VLOOKUP($E147,Casilleros!$A$4:$J$830,10,FALSE),"")</f>
        <v>Otros gastos_Gasto</v>
      </c>
      <c r="I147" s="6" t="e">
        <f>SUMIF(#REF!,$B147,#REF!)</f>
        <v>#REF!</v>
      </c>
      <c r="J147" s="6" t="e">
        <f>SUMIF(#REF!,$B147,#REF!)</f>
        <v>#REF!</v>
      </c>
      <c r="K147" s="6" t="e">
        <f t="shared" si="19"/>
        <v>#REF!</v>
      </c>
      <c r="L147" s="6">
        <f t="shared" si="20"/>
        <v>0</v>
      </c>
      <c r="M147" s="185"/>
      <c r="N147" s="20"/>
      <c r="O147" s="215"/>
      <c r="U147" s="20"/>
      <c r="Y147" s="42"/>
    </row>
    <row r="148" spans="1:25" s="7" customFormat="1" ht="15">
      <c r="A148" s="21">
        <f t="shared" si="21"/>
        <v>141</v>
      </c>
      <c r="B148" t="s">
        <v>2689</v>
      </c>
      <c r="C148" t="s">
        <v>2690</v>
      </c>
      <c r="D148" s="227" t="e">
        <f>+#REF!</f>
        <v>#REF!</v>
      </c>
      <c r="E148" s="198" t="s">
        <v>1058</v>
      </c>
      <c r="F148" s="22" t="str">
        <f>IFERROR(VLOOKUP($E148,Casilleros!$A$4:$I$830,4,FALSE),"")</f>
        <v>OTROS GASTOS</v>
      </c>
      <c r="G148" s="22" t="str">
        <f>IFERROR(VLOOKUP($E148,Casilleros!$A$4:$I$830,9,FALSE),"")</f>
        <v>OTROS GASTOS_Otros_Gasto</v>
      </c>
      <c r="H148" s="22" t="str">
        <f>IFERROR(VLOOKUP($E148,Casilleros!$A$4:$J$830,10,FALSE),"")</f>
        <v>Otros gastos_Gasto</v>
      </c>
      <c r="I148" s="6" t="e">
        <f>SUMIF(#REF!,$B148,#REF!)</f>
        <v>#REF!</v>
      </c>
      <c r="J148" s="6" t="e">
        <f>SUMIF(#REF!,$B148,#REF!)</f>
        <v>#REF!</v>
      </c>
      <c r="K148" s="6" t="e">
        <f t="shared" si="19"/>
        <v>#REF!</v>
      </c>
      <c r="L148" s="6">
        <f t="shared" si="20"/>
        <v>0</v>
      </c>
      <c r="M148" s="185"/>
      <c r="N148" s="20"/>
      <c r="O148" s="215"/>
      <c r="U148" s="20"/>
      <c r="Y148" s="42"/>
    </row>
    <row r="149" spans="1:25" s="7" customFormat="1" ht="15">
      <c r="A149" s="21">
        <f t="shared" si="21"/>
        <v>142</v>
      </c>
      <c r="B149" t="e">
        <f>+#REF!</f>
        <v>#REF!</v>
      </c>
      <c r="C149" t="e">
        <f>+#REF!</f>
        <v>#REF!</v>
      </c>
      <c r="D149" s="227" t="e">
        <f>+#REF!</f>
        <v>#REF!</v>
      </c>
      <c r="E149" s="198" t="s">
        <v>1058</v>
      </c>
      <c r="F149" s="22" t="str">
        <f>IFERROR(VLOOKUP($E149,Casilleros!$A$4:$I$830,4,FALSE),"")</f>
        <v>OTROS GASTOS</v>
      </c>
      <c r="G149" s="22" t="str">
        <f>IFERROR(VLOOKUP($E149,Casilleros!$A$4:$I$830,9,FALSE),"")</f>
        <v>OTROS GASTOS_Otros_Gasto</v>
      </c>
      <c r="H149" s="22" t="str">
        <f>IFERROR(VLOOKUP($E149,Casilleros!$A$4:$J$830,10,FALSE),"")</f>
        <v>Otros gastos_Gasto</v>
      </c>
      <c r="I149" s="6" t="e">
        <f>SUMIF(#REF!,$B149,#REF!)</f>
        <v>#REF!</v>
      </c>
      <c r="J149" s="6" t="e">
        <f>SUMIF(#REF!,$B149,#REF!)</f>
        <v>#REF!</v>
      </c>
      <c r="K149" s="6" t="e">
        <f t="shared" ref="K149" si="60">+D149+SUM(I149:J149)</f>
        <v>#REF!</v>
      </c>
      <c r="L149" s="6">
        <f t="shared" ref="L149" si="61">IF(E149="",K149,0)</f>
        <v>0</v>
      </c>
      <c r="M149" s="185"/>
      <c r="N149" s="20"/>
      <c r="O149" s="215"/>
      <c r="U149" s="20"/>
      <c r="Y149" s="42"/>
    </row>
    <row r="150" spans="1:25" s="7" customFormat="1" ht="15">
      <c r="A150" s="21">
        <f t="shared" si="21"/>
        <v>143</v>
      </c>
      <c r="B150" t="s">
        <v>2661</v>
      </c>
      <c r="C150" t="s">
        <v>2662</v>
      </c>
      <c r="D150" s="227" t="e">
        <f>+#REF!</f>
        <v>#REF!</v>
      </c>
      <c r="E150" s="198" t="s">
        <v>1058</v>
      </c>
      <c r="F150" s="22" t="str">
        <f>IFERROR(VLOOKUP($E150,Casilleros!$A$4:$I$830,4,FALSE),"")</f>
        <v>OTROS GASTOS</v>
      </c>
      <c r="G150" s="22" t="str">
        <f>IFERROR(VLOOKUP($E150,Casilleros!$A$4:$I$830,9,FALSE),"")</f>
        <v>OTROS GASTOS_Otros_Gasto</v>
      </c>
      <c r="H150" s="22" t="str">
        <f>IFERROR(VLOOKUP($E150,Casilleros!$A$4:$J$830,10,FALSE),"")</f>
        <v>Otros gastos_Gasto</v>
      </c>
      <c r="I150" s="6" t="e">
        <f>SUMIF(#REF!,$B150,#REF!)</f>
        <v>#REF!</v>
      </c>
      <c r="J150" s="6" t="e">
        <f>SUMIF(#REF!,$B150,#REF!)</f>
        <v>#REF!</v>
      </c>
      <c r="K150" s="6" t="e">
        <f t="shared" si="19"/>
        <v>#REF!</v>
      </c>
      <c r="L150" s="6">
        <f t="shared" si="20"/>
        <v>0</v>
      </c>
      <c r="M150" s="185"/>
      <c r="N150" s="20"/>
      <c r="O150" s="215"/>
      <c r="U150" s="20"/>
      <c r="Y150" s="42"/>
    </row>
    <row r="151" spans="1:25" s="7" customFormat="1" ht="15">
      <c r="A151" s="21">
        <f t="shared" si="21"/>
        <v>144</v>
      </c>
      <c r="B151" t="s">
        <v>2444</v>
      </c>
      <c r="C151" t="s">
        <v>2532</v>
      </c>
      <c r="D151" s="227" t="e">
        <f>+#REF!</f>
        <v>#REF!</v>
      </c>
      <c r="E151" s="198" t="s">
        <v>1058</v>
      </c>
      <c r="F151" s="22" t="str">
        <f>IFERROR(VLOOKUP($E151,Casilleros!$A$4:$I$830,4,FALSE),"")</f>
        <v>OTROS GASTOS</v>
      </c>
      <c r="G151" s="22" t="str">
        <f>IFERROR(VLOOKUP($E151,Casilleros!$A$4:$I$830,9,FALSE),"")</f>
        <v>OTROS GASTOS_Otros_Gasto</v>
      </c>
      <c r="H151" s="22" t="str">
        <f>IFERROR(VLOOKUP($E151,Casilleros!$A$4:$J$830,10,FALSE),"")</f>
        <v>Otros gastos_Gasto</v>
      </c>
      <c r="I151" s="6" t="e">
        <f>SUMIF(#REF!,$B151,#REF!)</f>
        <v>#REF!</v>
      </c>
      <c r="J151" s="6" t="e">
        <f>SUMIF(#REF!,$B151,#REF!)</f>
        <v>#REF!</v>
      </c>
      <c r="K151" s="6" t="e">
        <f t="shared" si="19"/>
        <v>#REF!</v>
      </c>
      <c r="L151" s="6">
        <f t="shared" si="20"/>
        <v>0</v>
      </c>
      <c r="M151" s="185"/>
      <c r="N151" s="20"/>
      <c r="O151" s="215"/>
      <c r="U151" s="20"/>
      <c r="Y151" s="42"/>
    </row>
    <row r="152" spans="1:25" s="7" customFormat="1" ht="15">
      <c r="A152" s="21">
        <f t="shared" si="21"/>
        <v>145</v>
      </c>
      <c r="B152" t="s">
        <v>2445</v>
      </c>
      <c r="C152" t="s">
        <v>2533</v>
      </c>
      <c r="D152" s="227" t="e">
        <f>+#REF!</f>
        <v>#REF!</v>
      </c>
      <c r="E152" s="198" t="s">
        <v>1058</v>
      </c>
      <c r="F152" s="22" t="str">
        <f>IFERROR(VLOOKUP($E152,Casilleros!$A$4:$I$830,4,FALSE),"")</f>
        <v>OTROS GASTOS</v>
      </c>
      <c r="G152" s="22" t="str">
        <f>IFERROR(VLOOKUP($E152,Casilleros!$A$4:$I$830,9,FALSE),"")</f>
        <v>OTROS GASTOS_Otros_Gasto</v>
      </c>
      <c r="H152" s="22" t="str">
        <f>IFERROR(VLOOKUP($E152,Casilleros!$A$4:$J$830,10,FALSE),"")</f>
        <v>Otros gastos_Gasto</v>
      </c>
      <c r="I152" s="6" t="e">
        <f>SUMIF(#REF!,$B152,#REF!)</f>
        <v>#REF!</v>
      </c>
      <c r="J152" s="6" t="e">
        <f>SUMIF(#REF!,$B152,#REF!)</f>
        <v>#REF!</v>
      </c>
      <c r="K152" s="6" t="e">
        <f t="shared" si="19"/>
        <v>#REF!</v>
      </c>
      <c r="L152" s="6">
        <f t="shared" si="20"/>
        <v>0</v>
      </c>
      <c r="M152" s="185"/>
      <c r="N152" s="20"/>
      <c r="O152" s="215"/>
      <c r="U152" s="20"/>
      <c r="Y152" s="42"/>
    </row>
    <row r="153" spans="1:25" s="7" customFormat="1" ht="15">
      <c r="A153" s="21">
        <f t="shared" si="21"/>
        <v>146</v>
      </c>
      <c r="B153" t="s">
        <v>2446</v>
      </c>
      <c r="C153" t="s">
        <v>2534</v>
      </c>
      <c r="D153" s="227" t="e">
        <f>+#REF!</f>
        <v>#REF!</v>
      </c>
      <c r="E153" s="198" t="s">
        <v>1058</v>
      </c>
      <c r="F153" s="22" t="str">
        <f>IFERROR(VLOOKUP($E153,Casilleros!$A$4:$I$830,4,FALSE),"")</f>
        <v>OTROS GASTOS</v>
      </c>
      <c r="G153" s="22" t="str">
        <f>IFERROR(VLOOKUP($E153,Casilleros!$A$4:$I$830,9,FALSE),"")</f>
        <v>OTROS GASTOS_Otros_Gasto</v>
      </c>
      <c r="H153" s="22" t="str">
        <f>IFERROR(VLOOKUP($E153,Casilleros!$A$4:$J$830,10,FALSE),"")</f>
        <v>Otros gastos_Gasto</v>
      </c>
      <c r="I153" s="6" t="e">
        <f>SUMIF(#REF!,$B153,#REF!)</f>
        <v>#REF!</v>
      </c>
      <c r="J153" s="6" t="e">
        <f>SUMIF(#REF!,$B153,#REF!)</f>
        <v>#REF!</v>
      </c>
      <c r="K153" s="6" t="e">
        <f t="shared" si="19"/>
        <v>#REF!</v>
      </c>
      <c r="L153" s="6">
        <f t="shared" si="20"/>
        <v>0</v>
      </c>
      <c r="M153" s="185"/>
      <c r="N153" s="20"/>
      <c r="O153" s="215"/>
      <c r="U153" s="20"/>
      <c r="Y153" s="42"/>
    </row>
    <row r="154" spans="1:25" s="7" customFormat="1" ht="15">
      <c r="A154" s="21">
        <f t="shared" si="21"/>
        <v>147</v>
      </c>
      <c r="B154" t="s">
        <v>2663</v>
      </c>
      <c r="C154" t="s">
        <v>2664</v>
      </c>
      <c r="D154" s="227" t="e">
        <f>+#REF!</f>
        <v>#REF!</v>
      </c>
      <c r="E154" s="198" t="s">
        <v>991</v>
      </c>
      <c r="F154" s="22" t="str">
        <f>IFERROR(VLOOKUP($E154,Casilleros!$A$4:$I$830,4,FALSE),"")</f>
        <v>OTROS GASTOS</v>
      </c>
      <c r="G154" s="22" t="str">
        <f>IFERROR(VLOOKUP($E154,Casilleros!$A$4:$I$830,9,FALSE),"")</f>
        <v>OTROS GASTOS_Suministros, herramientas, materiales y repuestos_Gasto</v>
      </c>
      <c r="H154" s="22" t="str">
        <f>IFERROR(VLOOKUP($E154,Casilleros!$A$4:$J$830,10,FALSE),"")</f>
        <v>Otros gastos_Gasto</v>
      </c>
      <c r="I154" s="6" t="e">
        <f>SUMIF(#REF!,$B154,#REF!)</f>
        <v>#REF!</v>
      </c>
      <c r="J154" s="6" t="e">
        <f>SUMIF(#REF!,$B154,#REF!)</f>
        <v>#REF!</v>
      </c>
      <c r="K154" s="6" t="e">
        <f t="shared" si="19"/>
        <v>#REF!</v>
      </c>
      <c r="L154" s="6">
        <f t="shared" si="20"/>
        <v>0</v>
      </c>
      <c r="M154" s="185"/>
      <c r="N154" s="20"/>
      <c r="O154" s="215"/>
      <c r="U154" s="20"/>
      <c r="Y154" s="42"/>
    </row>
    <row r="155" spans="1:25" s="7" customFormat="1" ht="15">
      <c r="A155" s="21">
        <f t="shared" si="21"/>
        <v>148</v>
      </c>
      <c r="B155" t="s">
        <v>2691</v>
      </c>
      <c r="C155" t="s">
        <v>2692</v>
      </c>
      <c r="D155" s="227" t="e">
        <f>+#REF!</f>
        <v>#REF!</v>
      </c>
      <c r="E155" s="198" t="s">
        <v>1058</v>
      </c>
      <c r="F155" s="22" t="str">
        <f>IFERROR(VLOOKUP($E155,Casilleros!$A$4:$I$830,4,FALSE),"")</f>
        <v>OTROS GASTOS</v>
      </c>
      <c r="G155" s="22" t="str">
        <f>IFERROR(VLOOKUP($E155,Casilleros!$A$4:$I$830,9,FALSE),"")</f>
        <v>OTROS GASTOS_Otros_Gasto</v>
      </c>
      <c r="H155" s="22" t="str">
        <f>IFERROR(VLOOKUP($E155,Casilleros!$A$4:$J$830,10,FALSE),"")</f>
        <v>Otros gastos_Gasto</v>
      </c>
      <c r="I155" s="6" t="e">
        <f>SUMIF(#REF!,$B155,#REF!)</f>
        <v>#REF!</v>
      </c>
      <c r="J155" s="6" t="e">
        <f>SUMIF(#REF!,$B155,#REF!)</f>
        <v>#REF!</v>
      </c>
      <c r="K155" s="6" t="e">
        <f t="shared" si="19"/>
        <v>#REF!</v>
      </c>
      <c r="L155" s="6">
        <f t="shared" si="20"/>
        <v>0</v>
      </c>
      <c r="M155" s="185"/>
      <c r="N155" s="20"/>
      <c r="O155" s="215"/>
      <c r="U155" s="20"/>
      <c r="Y155" s="42"/>
    </row>
    <row r="156" spans="1:25" s="7" customFormat="1" ht="15">
      <c r="A156" s="21">
        <f t="shared" si="21"/>
        <v>149</v>
      </c>
      <c r="B156" t="s">
        <v>2665</v>
      </c>
      <c r="C156" t="s">
        <v>2666</v>
      </c>
      <c r="D156" s="229" t="e">
        <f>+#REF!</f>
        <v>#REF!</v>
      </c>
      <c r="E156" s="198" t="s">
        <v>1058</v>
      </c>
      <c r="F156" s="22" t="str">
        <f>IFERROR(VLOOKUP($E156,Casilleros!$A$4:$I$830,4,FALSE),"")</f>
        <v>OTROS GASTOS</v>
      </c>
      <c r="G156" s="22" t="str">
        <f>IFERROR(VLOOKUP($E156,Casilleros!$A$4:$I$830,9,FALSE),"")</f>
        <v>OTROS GASTOS_Otros_Gasto</v>
      </c>
      <c r="H156" s="22" t="str">
        <f>IFERROR(VLOOKUP($E156,Casilleros!$A$4:$J$830,10,FALSE),"")</f>
        <v>Otros gastos_Gasto</v>
      </c>
      <c r="I156" s="6" t="e">
        <f>SUMIF(#REF!,$B156,#REF!)</f>
        <v>#REF!</v>
      </c>
      <c r="J156" s="6" t="e">
        <f>SUMIF(#REF!,$B156,#REF!)</f>
        <v>#REF!</v>
      </c>
      <c r="K156" s="6" t="e">
        <f t="shared" si="19"/>
        <v>#REF!</v>
      </c>
      <c r="L156" s="6">
        <f t="shared" si="20"/>
        <v>0</v>
      </c>
      <c r="M156" s="185"/>
      <c r="N156" s="20"/>
      <c r="O156" s="215"/>
      <c r="U156" s="20"/>
      <c r="Y156" s="42"/>
    </row>
    <row r="157" spans="1:25" s="7" customFormat="1" ht="15">
      <c r="A157" s="21">
        <f t="shared" si="21"/>
        <v>150</v>
      </c>
      <c r="B157" t="s">
        <v>2693</v>
      </c>
      <c r="C157" t="s">
        <v>2694</v>
      </c>
      <c r="D157" s="229" t="e">
        <f>+#REF!</f>
        <v>#REF!</v>
      </c>
      <c r="E157" s="198" t="s">
        <v>1058</v>
      </c>
      <c r="F157" s="22" t="str">
        <f>IFERROR(VLOOKUP($E157,Casilleros!$A$4:$I$830,4,FALSE),"")</f>
        <v>OTROS GASTOS</v>
      </c>
      <c r="G157" s="22" t="str">
        <f>IFERROR(VLOOKUP($E157,Casilleros!$A$4:$I$830,9,FALSE),"")</f>
        <v>OTROS GASTOS_Otros_Gasto</v>
      </c>
      <c r="H157" s="22" t="str">
        <f>IFERROR(VLOOKUP($E157,Casilleros!$A$4:$J$830,10,FALSE),"")</f>
        <v>Otros gastos_Gasto</v>
      </c>
      <c r="I157" s="6" t="e">
        <f>SUMIF(#REF!,$B157,#REF!)</f>
        <v>#REF!</v>
      </c>
      <c r="J157" s="6" t="e">
        <f>SUMIF(#REF!,$B157,#REF!)</f>
        <v>#REF!</v>
      </c>
      <c r="K157" s="6" t="e">
        <f t="shared" ref="K157:K158" si="62">+D157+SUM(I157:J157)</f>
        <v>#REF!</v>
      </c>
      <c r="L157" s="6">
        <f t="shared" ref="L157:L158" si="63">IF(E157="",K157,0)</f>
        <v>0</v>
      </c>
      <c r="M157" s="185"/>
      <c r="N157" s="20"/>
      <c r="O157" s="215"/>
      <c r="U157" s="20"/>
      <c r="Y157" s="42"/>
    </row>
    <row r="158" spans="1:25" s="7" customFormat="1" ht="15">
      <c r="A158" s="21">
        <f t="shared" si="21"/>
        <v>151</v>
      </c>
      <c r="B158" t="s">
        <v>2695</v>
      </c>
      <c r="C158" t="s">
        <v>2696</v>
      </c>
      <c r="D158" s="229" t="e">
        <f>+#REF!</f>
        <v>#REF!</v>
      </c>
      <c r="E158" s="198" t="s">
        <v>1058</v>
      </c>
      <c r="F158" s="22" t="str">
        <f>IFERROR(VLOOKUP($E158,Casilleros!$A$4:$I$830,4,FALSE),"")</f>
        <v>OTROS GASTOS</v>
      </c>
      <c r="G158" s="22" t="str">
        <f>IFERROR(VLOOKUP($E158,Casilleros!$A$4:$I$830,9,FALSE),"")</f>
        <v>OTROS GASTOS_Otros_Gasto</v>
      </c>
      <c r="H158" s="22" t="str">
        <f>IFERROR(VLOOKUP($E158,Casilleros!$A$4:$J$830,10,FALSE),"")</f>
        <v>Otros gastos_Gasto</v>
      </c>
      <c r="I158" s="6" t="e">
        <f>SUMIF(#REF!,$B158,#REF!)</f>
        <v>#REF!</v>
      </c>
      <c r="J158" s="6" t="e">
        <f>SUMIF(#REF!,$B158,#REF!)</f>
        <v>#REF!</v>
      </c>
      <c r="K158" s="6" t="e">
        <f t="shared" si="62"/>
        <v>#REF!</v>
      </c>
      <c r="L158" s="6">
        <f t="shared" si="63"/>
        <v>0</v>
      </c>
      <c r="M158" s="185"/>
      <c r="N158" s="20"/>
      <c r="O158" s="215"/>
      <c r="U158" s="20"/>
      <c r="Y158" s="42"/>
    </row>
    <row r="159" spans="1:25" s="7" customFormat="1" ht="15">
      <c r="A159" s="21">
        <f t="shared" si="21"/>
        <v>152</v>
      </c>
      <c r="B159" s="225" t="e">
        <f>+#REF!</f>
        <v>#REF!</v>
      </c>
      <c r="C159" s="225" t="e">
        <f>+#REF!</f>
        <v>#REF!</v>
      </c>
      <c r="D159" s="227" t="e">
        <f>+#REF!</f>
        <v>#REF!</v>
      </c>
      <c r="E159" s="198" t="s">
        <v>1058</v>
      </c>
      <c r="F159" s="22" t="str">
        <f>IFERROR(VLOOKUP($E159,Casilleros!$A$4:$I$830,4,FALSE),"")</f>
        <v>OTROS GASTOS</v>
      </c>
      <c r="G159" s="22" t="str">
        <f>IFERROR(VLOOKUP($E159,Casilleros!$A$4:$I$830,9,FALSE),"")</f>
        <v>OTROS GASTOS_Otros_Gasto</v>
      </c>
      <c r="H159" s="22" t="str">
        <f>IFERROR(VLOOKUP($E159,Casilleros!$A$4:$J$830,10,FALSE),"")</f>
        <v>Otros gastos_Gasto</v>
      </c>
      <c r="I159" s="6" t="e">
        <f>SUMIF(#REF!,$B159,#REF!)</f>
        <v>#REF!</v>
      </c>
      <c r="J159" s="6" t="e">
        <f>SUMIF(#REF!,$B159,#REF!)</f>
        <v>#REF!</v>
      </c>
      <c r="K159" s="6" t="e">
        <f t="shared" ref="K159" si="64">+D159+SUM(I159:J159)</f>
        <v>#REF!</v>
      </c>
      <c r="L159" s="6">
        <f t="shared" ref="L159" si="65">IF(E159="",K159,0)</f>
        <v>0</v>
      </c>
      <c r="M159" s="185"/>
      <c r="N159" s="20"/>
      <c r="O159" s="215"/>
      <c r="U159" s="20"/>
      <c r="Y159" s="42"/>
    </row>
    <row r="160" spans="1:25" s="7" customFormat="1" ht="15">
      <c r="A160" s="21">
        <f t="shared" si="21"/>
        <v>153</v>
      </c>
      <c r="B160" s="225" t="s">
        <v>2697</v>
      </c>
      <c r="C160" s="225" t="s">
        <v>2698</v>
      </c>
      <c r="D160" s="227" t="e">
        <f>+#REF!</f>
        <v>#REF!</v>
      </c>
      <c r="E160" s="198" t="s">
        <v>1058</v>
      </c>
      <c r="F160" s="22" t="str">
        <f>IFERROR(VLOOKUP($E160,Casilleros!$A$4:$I$830,4,FALSE),"")</f>
        <v>OTROS GASTOS</v>
      </c>
      <c r="G160" s="22" t="str">
        <f>IFERROR(VLOOKUP($E160,Casilleros!$A$4:$I$830,9,FALSE),"")</f>
        <v>OTROS GASTOS_Otros_Gasto</v>
      </c>
      <c r="H160" s="22" t="str">
        <f>IFERROR(VLOOKUP($E160,Casilleros!$A$4:$J$830,10,FALSE),"")</f>
        <v>Otros gastos_Gasto</v>
      </c>
      <c r="I160" s="6" t="e">
        <f>SUMIF(#REF!,$B160,#REF!)</f>
        <v>#REF!</v>
      </c>
      <c r="J160" s="6" t="e">
        <f>SUMIF(#REF!,$B160,#REF!)</f>
        <v>#REF!</v>
      </c>
      <c r="K160" s="6" t="e">
        <f t="shared" ref="K160:K180" si="66">+D160+SUM(I160:J160)</f>
        <v>#REF!</v>
      </c>
      <c r="L160" s="6">
        <f t="shared" ref="L160:L180" si="67">IF(E160="",K160,0)</f>
        <v>0</v>
      </c>
      <c r="M160" s="185"/>
      <c r="N160" s="20"/>
      <c r="O160" s="215"/>
      <c r="U160" s="20"/>
      <c r="Y160" s="42"/>
    </row>
    <row r="161" spans="1:25" s="7" customFormat="1" ht="15">
      <c r="A161" s="21">
        <f t="shared" si="21"/>
        <v>154</v>
      </c>
      <c r="B161" s="225" t="s">
        <v>2699</v>
      </c>
      <c r="C161" s="225" t="s">
        <v>2700</v>
      </c>
      <c r="D161" s="227" t="e">
        <f>+#REF!</f>
        <v>#REF!</v>
      </c>
      <c r="E161" s="198" t="s">
        <v>1058</v>
      </c>
      <c r="F161" s="22" t="str">
        <f>IFERROR(VLOOKUP($E161,Casilleros!$A$4:$I$830,4,FALSE),"")</f>
        <v>OTROS GASTOS</v>
      </c>
      <c r="G161" s="22" t="str">
        <f>IFERROR(VLOOKUP($E161,Casilleros!$A$4:$I$830,9,FALSE),"")</f>
        <v>OTROS GASTOS_Otros_Gasto</v>
      </c>
      <c r="H161" s="22" t="str">
        <f>IFERROR(VLOOKUP($E161,Casilleros!$A$4:$J$830,10,FALSE),"")</f>
        <v>Otros gastos_Gasto</v>
      </c>
      <c r="I161" s="6" t="e">
        <f>SUMIF(#REF!,$B161,#REF!)</f>
        <v>#REF!</v>
      </c>
      <c r="J161" s="6" t="e">
        <f>SUMIF(#REF!,$B161,#REF!)</f>
        <v>#REF!</v>
      </c>
      <c r="K161" s="6" t="e">
        <f t="shared" si="66"/>
        <v>#REF!</v>
      </c>
      <c r="L161" s="6">
        <f t="shared" si="67"/>
        <v>0</v>
      </c>
      <c r="M161" s="185"/>
      <c r="N161" s="20"/>
      <c r="O161" s="215"/>
      <c r="U161" s="20"/>
      <c r="Y161" s="42"/>
    </row>
    <row r="162" spans="1:25" s="7" customFormat="1" ht="15">
      <c r="A162" s="21">
        <f t="shared" si="21"/>
        <v>155</v>
      </c>
      <c r="B162" s="225" t="s">
        <v>2701</v>
      </c>
      <c r="C162" s="225" t="s">
        <v>2702</v>
      </c>
      <c r="D162" s="227" t="e">
        <f>+#REF!</f>
        <v>#REF!</v>
      </c>
      <c r="E162" s="198" t="s">
        <v>1058</v>
      </c>
      <c r="F162" s="22" t="str">
        <f>IFERROR(VLOOKUP($E162,Casilleros!$A$4:$I$830,4,FALSE),"")</f>
        <v>OTROS GASTOS</v>
      </c>
      <c r="G162" s="22" t="str">
        <f>IFERROR(VLOOKUP($E162,Casilleros!$A$4:$I$830,9,FALSE),"")</f>
        <v>OTROS GASTOS_Otros_Gasto</v>
      </c>
      <c r="H162" s="22" t="str">
        <f>IFERROR(VLOOKUP($E162,Casilleros!$A$4:$J$830,10,FALSE),"")</f>
        <v>Otros gastos_Gasto</v>
      </c>
      <c r="I162" s="6" t="e">
        <f>SUMIF(#REF!,$B162,#REF!)</f>
        <v>#REF!</v>
      </c>
      <c r="J162" s="6" t="e">
        <f>SUMIF(#REF!,$B162,#REF!)</f>
        <v>#REF!</v>
      </c>
      <c r="K162" s="6" t="e">
        <f t="shared" si="66"/>
        <v>#REF!</v>
      </c>
      <c r="L162" s="6">
        <f t="shared" si="67"/>
        <v>0</v>
      </c>
      <c r="M162" s="185"/>
      <c r="N162" s="20"/>
      <c r="O162" s="215"/>
      <c r="U162" s="20"/>
      <c r="Y162" s="42"/>
    </row>
    <row r="163" spans="1:25" s="7" customFormat="1" ht="15">
      <c r="A163" s="21">
        <f t="shared" si="21"/>
        <v>156</v>
      </c>
      <c r="B163" s="225" t="s">
        <v>2703</v>
      </c>
      <c r="C163" s="225" t="s">
        <v>2704</v>
      </c>
      <c r="D163" s="227" t="e">
        <f>+#REF!</f>
        <v>#REF!</v>
      </c>
      <c r="E163" s="198" t="s">
        <v>1058</v>
      </c>
      <c r="F163" s="22" t="str">
        <f>IFERROR(VLOOKUP($E163,Casilleros!$A$4:$I$830,4,FALSE),"")</f>
        <v>OTROS GASTOS</v>
      </c>
      <c r="G163" s="22" t="str">
        <f>IFERROR(VLOOKUP($E163,Casilleros!$A$4:$I$830,9,FALSE),"")</f>
        <v>OTROS GASTOS_Otros_Gasto</v>
      </c>
      <c r="H163" s="22" t="str">
        <f>IFERROR(VLOOKUP($E163,Casilleros!$A$4:$J$830,10,FALSE),"")</f>
        <v>Otros gastos_Gasto</v>
      </c>
      <c r="I163" s="6" t="e">
        <f>SUMIF(#REF!,$B163,#REF!)</f>
        <v>#REF!</v>
      </c>
      <c r="J163" s="6" t="e">
        <f>SUMIF(#REF!,$B163,#REF!)</f>
        <v>#REF!</v>
      </c>
      <c r="K163" s="6" t="e">
        <f t="shared" si="66"/>
        <v>#REF!</v>
      </c>
      <c r="L163" s="6">
        <f t="shared" si="67"/>
        <v>0</v>
      </c>
      <c r="M163" s="185"/>
      <c r="N163" s="20"/>
      <c r="O163" s="215"/>
      <c r="U163" s="20"/>
      <c r="Y163" s="42"/>
    </row>
    <row r="164" spans="1:25" s="7" customFormat="1" ht="15">
      <c r="A164" s="21">
        <f t="shared" si="21"/>
        <v>157</v>
      </c>
      <c r="B164" s="225" t="s">
        <v>2705</v>
      </c>
      <c r="C164" s="225" t="s">
        <v>2706</v>
      </c>
      <c r="D164" s="227" t="e">
        <f>+#REF!</f>
        <v>#REF!</v>
      </c>
      <c r="E164" s="198" t="s">
        <v>1058</v>
      </c>
      <c r="F164" s="22" t="str">
        <f>IFERROR(VLOOKUP($E164,Casilleros!$A$4:$I$830,4,FALSE),"")</f>
        <v>OTROS GASTOS</v>
      </c>
      <c r="G164" s="22" t="str">
        <f>IFERROR(VLOOKUP($E164,Casilleros!$A$4:$I$830,9,FALSE),"")</f>
        <v>OTROS GASTOS_Otros_Gasto</v>
      </c>
      <c r="H164" s="22" t="str">
        <f>IFERROR(VLOOKUP($E164,Casilleros!$A$4:$J$830,10,FALSE),"")</f>
        <v>Otros gastos_Gasto</v>
      </c>
      <c r="I164" s="6" t="e">
        <f>SUMIF(#REF!,$B164,#REF!)</f>
        <v>#REF!</v>
      </c>
      <c r="J164" s="6" t="e">
        <f>SUMIF(#REF!,$B164,#REF!)</f>
        <v>#REF!</v>
      </c>
      <c r="K164" s="6" t="e">
        <f t="shared" si="66"/>
        <v>#REF!</v>
      </c>
      <c r="L164" s="6">
        <f t="shared" si="67"/>
        <v>0</v>
      </c>
      <c r="M164" s="185"/>
      <c r="N164" s="20"/>
      <c r="O164" s="215"/>
      <c r="U164" s="20"/>
      <c r="Y164" s="42"/>
    </row>
    <row r="165" spans="1:25" s="7" customFormat="1" ht="15">
      <c r="A165" s="21">
        <f t="shared" si="21"/>
        <v>158</v>
      </c>
      <c r="B165" s="225" t="s">
        <v>2707</v>
      </c>
      <c r="C165" s="225" t="s">
        <v>2708</v>
      </c>
      <c r="D165" s="227" t="e">
        <f>+#REF!</f>
        <v>#REF!</v>
      </c>
      <c r="E165" s="198" t="s">
        <v>1058</v>
      </c>
      <c r="F165" s="22" t="str">
        <f>IFERROR(VLOOKUP($E165,Casilleros!$A$4:$I$830,4,FALSE),"")</f>
        <v>OTROS GASTOS</v>
      </c>
      <c r="G165" s="22" t="str">
        <f>IFERROR(VLOOKUP($E165,Casilleros!$A$4:$I$830,9,FALSE),"")</f>
        <v>OTROS GASTOS_Otros_Gasto</v>
      </c>
      <c r="H165" s="22" t="str">
        <f>IFERROR(VLOOKUP($E165,Casilleros!$A$4:$J$830,10,FALSE),"")</f>
        <v>Otros gastos_Gasto</v>
      </c>
      <c r="I165" s="6" t="e">
        <f>SUMIF(#REF!,$B165,#REF!)</f>
        <v>#REF!</v>
      </c>
      <c r="J165" s="6" t="e">
        <f>SUMIF(#REF!,$B165,#REF!)</f>
        <v>#REF!</v>
      </c>
      <c r="K165" s="6" t="e">
        <f t="shared" si="66"/>
        <v>#REF!</v>
      </c>
      <c r="L165" s="6">
        <f t="shared" si="67"/>
        <v>0</v>
      </c>
      <c r="M165" s="185"/>
      <c r="N165" s="20"/>
      <c r="O165" s="215"/>
      <c r="U165" s="20"/>
      <c r="Y165" s="42"/>
    </row>
    <row r="166" spans="1:25" s="7" customFormat="1" ht="15">
      <c r="A166" s="21">
        <f t="shared" si="21"/>
        <v>159</v>
      </c>
      <c r="B166" s="225" t="s">
        <v>2709</v>
      </c>
      <c r="C166" s="225" t="s">
        <v>2710</v>
      </c>
      <c r="D166" s="227" t="e">
        <f>+#REF!</f>
        <v>#REF!</v>
      </c>
      <c r="E166" s="198" t="s">
        <v>1058</v>
      </c>
      <c r="F166" s="22" t="str">
        <f>IFERROR(VLOOKUP($E166,Casilleros!$A$4:$I$830,4,FALSE),"")</f>
        <v>OTROS GASTOS</v>
      </c>
      <c r="G166" s="22" t="str">
        <f>IFERROR(VLOOKUP($E166,Casilleros!$A$4:$I$830,9,FALSE),"")</f>
        <v>OTROS GASTOS_Otros_Gasto</v>
      </c>
      <c r="H166" s="22" t="str">
        <f>IFERROR(VLOOKUP($E166,Casilleros!$A$4:$J$830,10,FALSE),"")</f>
        <v>Otros gastos_Gasto</v>
      </c>
      <c r="I166" s="6" t="e">
        <f>SUMIF(#REF!,$B166,#REF!)</f>
        <v>#REF!</v>
      </c>
      <c r="J166" s="6" t="e">
        <f>SUMIF(#REF!,$B166,#REF!)</f>
        <v>#REF!</v>
      </c>
      <c r="K166" s="6" t="e">
        <f t="shared" si="66"/>
        <v>#REF!</v>
      </c>
      <c r="L166" s="6">
        <f t="shared" si="67"/>
        <v>0</v>
      </c>
      <c r="M166" s="185"/>
      <c r="N166" s="20"/>
      <c r="O166" s="215"/>
      <c r="U166" s="20"/>
      <c r="Y166" s="42"/>
    </row>
    <row r="167" spans="1:25" s="7" customFormat="1" ht="15">
      <c r="A167" s="21">
        <f t="shared" si="21"/>
        <v>160</v>
      </c>
      <c r="B167" s="225" t="s">
        <v>2711</v>
      </c>
      <c r="C167" s="225" t="s">
        <v>2712</v>
      </c>
      <c r="D167" s="227" t="e">
        <f>+#REF!</f>
        <v>#REF!</v>
      </c>
      <c r="E167" s="198" t="s">
        <v>1058</v>
      </c>
      <c r="F167" s="22" t="str">
        <f>IFERROR(VLOOKUP($E167,Casilleros!$A$4:$I$830,4,FALSE),"")</f>
        <v>OTROS GASTOS</v>
      </c>
      <c r="G167" s="22" t="str">
        <f>IFERROR(VLOOKUP($E167,Casilleros!$A$4:$I$830,9,FALSE),"")</f>
        <v>OTROS GASTOS_Otros_Gasto</v>
      </c>
      <c r="H167" s="22" t="str">
        <f>IFERROR(VLOOKUP($E167,Casilleros!$A$4:$J$830,10,FALSE),"")</f>
        <v>Otros gastos_Gasto</v>
      </c>
      <c r="I167" s="6" t="e">
        <f>SUMIF(#REF!,$B167,#REF!)</f>
        <v>#REF!</v>
      </c>
      <c r="J167" s="6" t="e">
        <f>SUMIF(#REF!,$B167,#REF!)</f>
        <v>#REF!</v>
      </c>
      <c r="K167" s="6" t="e">
        <f t="shared" si="66"/>
        <v>#REF!</v>
      </c>
      <c r="L167" s="6">
        <f t="shared" si="67"/>
        <v>0</v>
      </c>
      <c r="M167" s="185"/>
      <c r="N167" s="20"/>
      <c r="O167" s="215"/>
      <c r="U167" s="20"/>
      <c r="Y167" s="42"/>
    </row>
    <row r="168" spans="1:25" s="7" customFormat="1" ht="15">
      <c r="A168" s="21">
        <f t="shared" si="21"/>
        <v>161</v>
      </c>
      <c r="B168" s="225" t="s">
        <v>2713</v>
      </c>
      <c r="C168" s="225" t="s">
        <v>2714</v>
      </c>
      <c r="D168" s="227" t="e">
        <f>+#REF!</f>
        <v>#REF!</v>
      </c>
      <c r="E168" s="198" t="s">
        <v>1058</v>
      </c>
      <c r="F168" s="22" t="str">
        <f>IFERROR(VLOOKUP($E168,Casilleros!$A$4:$I$830,4,FALSE),"")</f>
        <v>OTROS GASTOS</v>
      </c>
      <c r="G168" s="22" t="str">
        <f>IFERROR(VLOOKUP($E168,Casilleros!$A$4:$I$830,9,FALSE),"")</f>
        <v>OTROS GASTOS_Otros_Gasto</v>
      </c>
      <c r="H168" s="22" t="str">
        <f>IFERROR(VLOOKUP($E168,Casilleros!$A$4:$J$830,10,FALSE),"")</f>
        <v>Otros gastos_Gasto</v>
      </c>
      <c r="I168" s="6" t="e">
        <f>SUMIF(#REF!,$B168,#REF!)</f>
        <v>#REF!</v>
      </c>
      <c r="J168" s="6" t="e">
        <f>SUMIF(#REF!,$B168,#REF!)</f>
        <v>#REF!</v>
      </c>
      <c r="K168" s="6" t="e">
        <f t="shared" si="66"/>
        <v>#REF!</v>
      </c>
      <c r="L168" s="6">
        <f t="shared" si="67"/>
        <v>0</v>
      </c>
      <c r="M168" s="185"/>
      <c r="N168" s="20"/>
      <c r="O168" s="215"/>
      <c r="U168" s="20"/>
      <c r="Y168" s="42"/>
    </row>
    <row r="169" spans="1:25" s="7" customFormat="1" ht="15">
      <c r="A169" s="21">
        <f t="shared" si="21"/>
        <v>162</v>
      </c>
      <c r="B169" s="225" t="s">
        <v>2715</v>
      </c>
      <c r="C169" s="225" t="s">
        <v>2716</v>
      </c>
      <c r="D169" s="227" t="e">
        <f>+#REF!</f>
        <v>#REF!</v>
      </c>
      <c r="E169" s="198" t="s">
        <v>1058</v>
      </c>
      <c r="F169" s="22" t="str">
        <f>IFERROR(VLOOKUP($E169,Casilleros!$A$4:$I$830,4,FALSE),"")</f>
        <v>OTROS GASTOS</v>
      </c>
      <c r="G169" s="22" t="str">
        <f>IFERROR(VLOOKUP($E169,Casilleros!$A$4:$I$830,9,FALSE),"")</f>
        <v>OTROS GASTOS_Otros_Gasto</v>
      </c>
      <c r="H169" s="22" t="str">
        <f>IFERROR(VLOOKUP($E169,Casilleros!$A$4:$J$830,10,FALSE),"")</f>
        <v>Otros gastos_Gasto</v>
      </c>
      <c r="I169" s="6" t="e">
        <f>SUMIF(#REF!,$B169,#REF!)</f>
        <v>#REF!</v>
      </c>
      <c r="J169" s="6" t="e">
        <f>SUMIF(#REF!,$B169,#REF!)</f>
        <v>#REF!</v>
      </c>
      <c r="K169" s="6" t="e">
        <f t="shared" si="66"/>
        <v>#REF!</v>
      </c>
      <c r="L169" s="6">
        <f t="shared" si="67"/>
        <v>0</v>
      </c>
      <c r="M169" s="185"/>
      <c r="N169" s="20"/>
      <c r="O169" s="215"/>
      <c r="U169" s="20"/>
      <c r="Y169" s="42"/>
    </row>
    <row r="170" spans="1:25" s="7" customFormat="1" ht="15">
      <c r="A170" s="21">
        <f t="shared" si="21"/>
        <v>163</v>
      </c>
      <c r="B170" s="225" t="s">
        <v>2717</v>
      </c>
      <c r="C170" s="225" t="s">
        <v>2718</v>
      </c>
      <c r="D170" s="227" t="e">
        <f>+#REF!</f>
        <v>#REF!</v>
      </c>
      <c r="E170" s="198" t="s">
        <v>1058</v>
      </c>
      <c r="F170" s="22" t="str">
        <f>IFERROR(VLOOKUP($E170,Casilleros!$A$4:$I$830,4,FALSE),"")</f>
        <v>OTROS GASTOS</v>
      </c>
      <c r="G170" s="22" t="str">
        <f>IFERROR(VLOOKUP($E170,Casilleros!$A$4:$I$830,9,FALSE),"")</f>
        <v>OTROS GASTOS_Otros_Gasto</v>
      </c>
      <c r="H170" s="22" t="str">
        <f>IFERROR(VLOOKUP($E170,Casilleros!$A$4:$J$830,10,FALSE),"")</f>
        <v>Otros gastos_Gasto</v>
      </c>
      <c r="I170" s="6" t="e">
        <f>SUMIF(#REF!,$B170,#REF!)</f>
        <v>#REF!</v>
      </c>
      <c r="J170" s="6" t="e">
        <f>SUMIF(#REF!,$B170,#REF!)</f>
        <v>#REF!</v>
      </c>
      <c r="K170" s="6" t="e">
        <f t="shared" si="66"/>
        <v>#REF!</v>
      </c>
      <c r="L170" s="6">
        <f t="shared" si="67"/>
        <v>0</v>
      </c>
      <c r="M170" s="185"/>
      <c r="N170" s="20"/>
      <c r="O170" s="215"/>
      <c r="U170" s="20"/>
      <c r="Y170" s="42"/>
    </row>
    <row r="171" spans="1:25" s="7" customFormat="1" ht="15">
      <c r="A171" s="21">
        <f t="shared" si="21"/>
        <v>164</v>
      </c>
      <c r="B171" s="225" t="s">
        <v>2719</v>
      </c>
      <c r="C171" s="225" t="s">
        <v>2720</v>
      </c>
      <c r="D171" s="227" t="e">
        <f>+#REF!</f>
        <v>#REF!</v>
      </c>
      <c r="E171" s="198" t="s">
        <v>1058</v>
      </c>
      <c r="F171" s="22" t="str">
        <f>IFERROR(VLOOKUP($E171,Casilleros!$A$4:$I$830,4,FALSE),"")</f>
        <v>OTROS GASTOS</v>
      </c>
      <c r="G171" s="22" t="str">
        <f>IFERROR(VLOOKUP($E171,Casilleros!$A$4:$I$830,9,FALSE),"")</f>
        <v>OTROS GASTOS_Otros_Gasto</v>
      </c>
      <c r="H171" s="22" t="str">
        <f>IFERROR(VLOOKUP($E171,Casilleros!$A$4:$J$830,10,FALSE),"")</f>
        <v>Otros gastos_Gasto</v>
      </c>
      <c r="I171" s="6" t="e">
        <f>SUMIF(#REF!,$B171,#REF!)</f>
        <v>#REF!</v>
      </c>
      <c r="J171" s="6" t="e">
        <f>SUMIF(#REF!,$B171,#REF!)</f>
        <v>#REF!</v>
      </c>
      <c r="K171" s="6" t="e">
        <f t="shared" si="66"/>
        <v>#REF!</v>
      </c>
      <c r="L171" s="6">
        <f t="shared" si="67"/>
        <v>0</v>
      </c>
      <c r="M171" s="185"/>
      <c r="N171" s="20"/>
      <c r="O171" s="215"/>
      <c r="U171" s="20"/>
      <c r="Y171" s="42"/>
    </row>
    <row r="172" spans="1:25" s="7" customFormat="1" ht="15">
      <c r="A172" s="21">
        <f t="shared" si="21"/>
        <v>165</v>
      </c>
      <c r="B172" s="225" t="s">
        <v>2721</v>
      </c>
      <c r="C172" s="225" t="s">
        <v>2722</v>
      </c>
      <c r="D172" s="227" t="e">
        <f>+#REF!</f>
        <v>#REF!</v>
      </c>
      <c r="E172" s="198" t="s">
        <v>1058</v>
      </c>
      <c r="F172" s="22" t="str">
        <f>IFERROR(VLOOKUP($E172,Casilleros!$A$4:$I$830,4,FALSE),"")</f>
        <v>OTROS GASTOS</v>
      </c>
      <c r="G172" s="22" t="str">
        <f>IFERROR(VLOOKUP($E172,Casilleros!$A$4:$I$830,9,FALSE),"")</f>
        <v>OTROS GASTOS_Otros_Gasto</v>
      </c>
      <c r="H172" s="22" t="str">
        <f>IFERROR(VLOOKUP($E172,Casilleros!$A$4:$J$830,10,FALSE),"")</f>
        <v>Otros gastos_Gasto</v>
      </c>
      <c r="I172" s="6" t="e">
        <f>SUMIF(#REF!,$B172,#REF!)</f>
        <v>#REF!</v>
      </c>
      <c r="J172" s="6" t="e">
        <f>SUMIF(#REF!,$B172,#REF!)</f>
        <v>#REF!</v>
      </c>
      <c r="K172" s="6" t="e">
        <f t="shared" si="66"/>
        <v>#REF!</v>
      </c>
      <c r="L172" s="6">
        <f t="shared" si="67"/>
        <v>0</v>
      </c>
      <c r="M172" s="185"/>
      <c r="N172" s="20"/>
      <c r="O172" s="215"/>
      <c r="U172" s="20"/>
      <c r="Y172" s="42"/>
    </row>
    <row r="173" spans="1:25" s="7" customFormat="1" ht="15">
      <c r="A173" s="21">
        <f t="shared" si="21"/>
        <v>166</v>
      </c>
      <c r="B173" s="225" t="s">
        <v>2723</v>
      </c>
      <c r="C173" s="225" t="s">
        <v>2724</v>
      </c>
      <c r="D173" s="227" t="e">
        <f>+#REF!</f>
        <v>#REF!</v>
      </c>
      <c r="E173" s="198" t="s">
        <v>1058</v>
      </c>
      <c r="F173" s="22" t="str">
        <f>IFERROR(VLOOKUP($E173,Casilleros!$A$4:$I$830,4,FALSE),"")</f>
        <v>OTROS GASTOS</v>
      </c>
      <c r="G173" s="22" t="str">
        <f>IFERROR(VLOOKUP($E173,Casilleros!$A$4:$I$830,9,FALSE),"")</f>
        <v>OTROS GASTOS_Otros_Gasto</v>
      </c>
      <c r="H173" s="22" t="str">
        <f>IFERROR(VLOOKUP($E173,Casilleros!$A$4:$J$830,10,FALSE),"")</f>
        <v>Otros gastos_Gasto</v>
      </c>
      <c r="I173" s="6" t="e">
        <f>SUMIF(#REF!,$B173,#REF!)</f>
        <v>#REF!</v>
      </c>
      <c r="J173" s="6" t="e">
        <f>SUMIF(#REF!,$B173,#REF!)</f>
        <v>#REF!</v>
      </c>
      <c r="K173" s="6" t="e">
        <f t="shared" si="66"/>
        <v>#REF!</v>
      </c>
      <c r="L173" s="6">
        <f t="shared" si="67"/>
        <v>0</v>
      </c>
      <c r="M173" s="185"/>
      <c r="N173" s="20"/>
      <c r="O173" s="215"/>
      <c r="U173" s="20"/>
      <c r="Y173" s="42"/>
    </row>
    <row r="174" spans="1:25" s="7" customFormat="1" ht="15">
      <c r="A174" s="21">
        <f t="shared" si="21"/>
        <v>167</v>
      </c>
      <c r="B174" s="225" t="s">
        <v>2725</v>
      </c>
      <c r="C174" s="225" t="s">
        <v>2726</v>
      </c>
      <c r="D174" s="227" t="e">
        <f>+#REF!</f>
        <v>#REF!</v>
      </c>
      <c r="E174" s="198" t="s">
        <v>1058</v>
      </c>
      <c r="F174" s="22" t="str">
        <f>IFERROR(VLOOKUP($E174,Casilleros!$A$4:$I$830,4,FALSE),"")</f>
        <v>OTROS GASTOS</v>
      </c>
      <c r="G174" s="22" t="str">
        <f>IFERROR(VLOOKUP($E174,Casilleros!$A$4:$I$830,9,FALSE),"")</f>
        <v>OTROS GASTOS_Otros_Gasto</v>
      </c>
      <c r="H174" s="22" t="str">
        <f>IFERROR(VLOOKUP($E174,Casilleros!$A$4:$J$830,10,FALSE),"")</f>
        <v>Otros gastos_Gasto</v>
      </c>
      <c r="I174" s="6" t="e">
        <f>SUMIF(#REF!,$B174,#REF!)</f>
        <v>#REF!</v>
      </c>
      <c r="J174" s="6" t="e">
        <f>SUMIF(#REF!,$B174,#REF!)</f>
        <v>#REF!</v>
      </c>
      <c r="K174" s="6" t="e">
        <f t="shared" si="66"/>
        <v>#REF!</v>
      </c>
      <c r="L174" s="6">
        <f t="shared" si="67"/>
        <v>0</v>
      </c>
      <c r="M174" s="185"/>
      <c r="N174" s="20"/>
      <c r="O174" s="215"/>
      <c r="U174" s="20"/>
      <c r="Y174" s="42"/>
    </row>
    <row r="175" spans="1:25" s="7" customFormat="1" ht="15">
      <c r="A175" s="21">
        <f t="shared" si="21"/>
        <v>168</v>
      </c>
      <c r="B175" s="225" t="e">
        <f>+#REF!</f>
        <v>#REF!</v>
      </c>
      <c r="C175" s="225" t="e">
        <f>+#REF!</f>
        <v>#REF!</v>
      </c>
      <c r="D175" s="227" t="e">
        <f>+#REF!</f>
        <v>#REF!</v>
      </c>
      <c r="E175" s="198" t="s">
        <v>1058</v>
      </c>
      <c r="F175" s="22" t="str">
        <f>IFERROR(VLOOKUP($E175,Casilleros!$A$4:$I$830,4,FALSE),"")</f>
        <v>OTROS GASTOS</v>
      </c>
      <c r="G175" s="22" t="str">
        <f>IFERROR(VLOOKUP($E175,Casilleros!$A$4:$I$830,9,FALSE),"")</f>
        <v>OTROS GASTOS_Otros_Gasto</v>
      </c>
      <c r="H175" s="22" t="str">
        <f>IFERROR(VLOOKUP($E175,Casilleros!$A$4:$J$830,10,FALSE),"")</f>
        <v>Otros gastos_Gasto</v>
      </c>
      <c r="I175" s="6" t="e">
        <f>SUMIF(#REF!,$B175,#REF!)</f>
        <v>#REF!</v>
      </c>
      <c r="J175" s="6" t="e">
        <f>SUMIF(#REF!,$B175,#REF!)</f>
        <v>#REF!</v>
      </c>
      <c r="K175" s="6" t="e">
        <f t="shared" ref="K175:K178" si="68">+D175+SUM(I175:J175)</f>
        <v>#REF!</v>
      </c>
      <c r="L175" s="6">
        <f t="shared" ref="L175:L178" si="69">IF(E175="",K175,0)</f>
        <v>0</v>
      </c>
      <c r="M175" s="185"/>
      <c r="N175" s="20"/>
      <c r="O175" s="215"/>
      <c r="U175" s="20"/>
      <c r="Y175" s="42"/>
    </row>
    <row r="176" spans="1:25" s="7" customFormat="1" ht="15">
      <c r="A176" s="21">
        <f t="shared" si="21"/>
        <v>169</v>
      </c>
      <c r="B176" s="225" t="e">
        <f>+#REF!</f>
        <v>#REF!</v>
      </c>
      <c r="C176" s="225" t="e">
        <f>+#REF!</f>
        <v>#REF!</v>
      </c>
      <c r="D176" s="227" t="e">
        <f>+#REF!</f>
        <v>#REF!</v>
      </c>
      <c r="E176" s="198" t="s">
        <v>1058</v>
      </c>
      <c r="F176" s="22" t="str">
        <f>IFERROR(VLOOKUP($E176,Casilleros!$A$4:$I$830,4,FALSE),"")</f>
        <v>OTROS GASTOS</v>
      </c>
      <c r="G176" s="22" t="str">
        <f>IFERROR(VLOOKUP($E176,Casilleros!$A$4:$I$830,9,FALSE),"")</f>
        <v>OTROS GASTOS_Otros_Gasto</v>
      </c>
      <c r="H176" s="22" t="str">
        <f>IFERROR(VLOOKUP($E176,Casilleros!$A$4:$J$830,10,FALSE),"")</f>
        <v>Otros gastos_Gasto</v>
      </c>
      <c r="I176" s="6" t="e">
        <f>SUMIF(#REF!,$B176,#REF!)</f>
        <v>#REF!</v>
      </c>
      <c r="J176" s="6" t="e">
        <f>SUMIF(#REF!,$B176,#REF!)</f>
        <v>#REF!</v>
      </c>
      <c r="K176" s="6" t="e">
        <f t="shared" si="68"/>
        <v>#REF!</v>
      </c>
      <c r="L176" s="6">
        <f t="shared" si="69"/>
        <v>0</v>
      </c>
      <c r="M176" s="185"/>
      <c r="N176" s="20"/>
      <c r="O176" s="215"/>
      <c r="U176" s="20"/>
      <c r="Y176" s="42"/>
    </row>
    <row r="177" spans="1:25" s="7" customFormat="1" ht="15">
      <c r="A177" s="21">
        <f t="shared" si="21"/>
        <v>170</v>
      </c>
      <c r="B177" s="225" t="e">
        <f>+#REF!</f>
        <v>#REF!</v>
      </c>
      <c r="C177" s="225" t="e">
        <f>+#REF!</f>
        <v>#REF!</v>
      </c>
      <c r="D177" s="227" t="e">
        <f>+#REF!</f>
        <v>#REF!</v>
      </c>
      <c r="E177" s="198" t="s">
        <v>1058</v>
      </c>
      <c r="F177" s="22" t="str">
        <f>IFERROR(VLOOKUP($E177,Casilleros!$A$4:$I$830,4,FALSE),"")</f>
        <v>OTROS GASTOS</v>
      </c>
      <c r="G177" s="22" t="str">
        <f>IFERROR(VLOOKUP($E177,Casilleros!$A$4:$I$830,9,FALSE),"")</f>
        <v>OTROS GASTOS_Otros_Gasto</v>
      </c>
      <c r="H177" s="22" t="str">
        <f>IFERROR(VLOOKUP($E177,Casilleros!$A$4:$J$830,10,FALSE),"")</f>
        <v>Otros gastos_Gasto</v>
      </c>
      <c r="I177" s="6" t="e">
        <f>SUMIF(#REF!,$B177,#REF!)</f>
        <v>#REF!</v>
      </c>
      <c r="J177" s="6" t="e">
        <f>SUMIF(#REF!,$B177,#REF!)</f>
        <v>#REF!</v>
      </c>
      <c r="K177" s="6" t="e">
        <f t="shared" si="68"/>
        <v>#REF!</v>
      </c>
      <c r="L177" s="6">
        <f t="shared" si="69"/>
        <v>0</v>
      </c>
      <c r="M177" s="185"/>
      <c r="N177" s="20"/>
      <c r="O177" s="215"/>
      <c r="U177" s="20"/>
      <c r="Y177" s="42"/>
    </row>
    <row r="178" spans="1:25" s="7" customFormat="1" ht="15">
      <c r="A178" s="21">
        <f t="shared" si="21"/>
        <v>171</v>
      </c>
      <c r="B178" s="225" t="e">
        <f>+#REF!</f>
        <v>#REF!</v>
      </c>
      <c r="C178" s="225" t="e">
        <f>+#REF!</f>
        <v>#REF!</v>
      </c>
      <c r="D178" s="227" t="e">
        <f>+#REF!</f>
        <v>#REF!</v>
      </c>
      <c r="E178" s="198" t="s">
        <v>1058</v>
      </c>
      <c r="F178" s="22" t="str">
        <f>IFERROR(VLOOKUP($E178,Casilleros!$A$4:$I$830,4,FALSE),"")</f>
        <v>OTROS GASTOS</v>
      </c>
      <c r="G178" s="22" t="str">
        <f>IFERROR(VLOOKUP($E178,Casilleros!$A$4:$I$830,9,FALSE),"")</f>
        <v>OTROS GASTOS_Otros_Gasto</v>
      </c>
      <c r="H178" s="22" t="str">
        <f>IFERROR(VLOOKUP($E178,Casilleros!$A$4:$J$830,10,FALSE),"")</f>
        <v>Otros gastos_Gasto</v>
      </c>
      <c r="I178" s="6" t="e">
        <f>SUMIF(#REF!,$B178,#REF!)</f>
        <v>#REF!</v>
      </c>
      <c r="J178" s="6" t="e">
        <f>SUMIF(#REF!,$B178,#REF!)</f>
        <v>#REF!</v>
      </c>
      <c r="K178" s="6" t="e">
        <f t="shared" si="68"/>
        <v>#REF!</v>
      </c>
      <c r="L178" s="6">
        <f t="shared" si="69"/>
        <v>0</v>
      </c>
      <c r="M178" s="185"/>
      <c r="N178" s="20"/>
      <c r="O178" s="215"/>
      <c r="U178" s="20"/>
      <c r="Y178" s="42"/>
    </row>
    <row r="179" spans="1:25" s="7" customFormat="1" ht="15">
      <c r="A179" s="21">
        <f t="shared" si="21"/>
        <v>172</v>
      </c>
      <c r="B179" s="225" t="s">
        <v>2667</v>
      </c>
      <c r="C179" s="225" t="s">
        <v>2668</v>
      </c>
      <c r="D179" s="227" t="e">
        <f>+#REF!</f>
        <v>#REF!</v>
      </c>
      <c r="E179" s="198" t="s">
        <v>1058</v>
      </c>
      <c r="F179" s="22" t="str">
        <f>IFERROR(VLOOKUP($E179,Casilleros!$A$4:$I$830,4,FALSE),"")</f>
        <v>OTROS GASTOS</v>
      </c>
      <c r="G179" s="22" t="str">
        <f>IFERROR(VLOOKUP($E179,Casilleros!$A$4:$I$830,9,FALSE),"")</f>
        <v>OTROS GASTOS_Otros_Gasto</v>
      </c>
      <c r="H179" s="22" t="str">
        <f>IFERROR(VLOOKUP($E179,Casilleros!$A$4:$J$830,10,FALSE),"")</f>
        <v>Otros gastos_Gasto</v>
      </c>
      <c r="I179" s="6" t="e">
        <f>SUMIF(#REF!,$B179,#REF!)</f>
        <v>#REF!</v>
      </c>
      <c r="J179" s="6" t="e">
        <f>SUMIF(#REF!,$B179,#REF!)</f>
        <v>#REF!</v>
      </c>
      <c r="K179" s="6" t="e">
        <f t="shared" si="66"/>
        <v>#REF!</v>
      </c>
      <c r="L179" s="6">
        <f t="shared" si="67"/>
        <v>0</v>
      </c>
      <c r="M179" s="185"/>
      <c r="N179" s="20"/>
      <c r="O179" s="215"/>
      <c r="U179" s="20"/>
      <c r="Y179" s="42"/>
    </row>
    <row r="180" spans="1:25" s="7" customFormat="1" ht="15">
      <c r="A180" s="21">
        <f t="shared" si="21"/>
        <v>173</v>
      </c>
      <c r="B180" s="225" t="s">
        <v>2447</v>
      </c>
      <c r="C180" s="225" t="s">
        <v>2535</v>
      </c>
      <c r="D180" s="227" t="e">
        <f>+#REF!</f>
        <v>#REF!</v>
      </c>
      <c r="E180" s="198" t="s">
        <v>1058</v>
      </c>
      <c r="F180" s="22" t="str">
        <f>IFERROR(VLOOKUP($E180,Casilleros!$A$4:$I$830,4,FALSE),"")</f>
        <v>OTROS GASTOS</v>
      </c>
      <c r="G180" s="22" t="str">
        <f>IFERROR(VLOOKUP($E180,Casilleros!$A$4:$I$830,9,FALSE),"")</f>
        <v>OTROS GASTOS_Otros_Gasto</v>
      </c>
      <c r="H180" s="22" t="str">
        <f>IFERROR(VLOOKUP($E180,Casilleros!$A$4:$J$830,10,FALSE),"")</f>
        <v>Otros gastos_Gasto</v>
      </c>
      <c r="I180" s="6" t="e">
        <f>SUMIF(#REF!,$B180,#REF!)</f>
        <v>#REF!</v>
      </c>
      <c r="J180" s="6" t="e">
        <f>SUMIF(#REF!,$B180,#REF!)</f>
        <v>#REF!</v>
      </c>
      <c r="K180" s="6" t="e">
        <f t="shared" si="66"/>
        <v>#REF!</v>
      </c>
      <c r="L180" s="6">
        <f t="shared" si="67"/>
        <v>0</v>
      </c>
      <c r="M180" s="185"/>
      <c r="N180" s="20"/>
      <c r="O180" s="215"/>
      <c r="U180" s="20"/>
      <c r="Y180" s="42"/>
    </row>
    <row r="181" spans="1:25" s="7" customFormat="1" ht="15">
      <c r="A181" s="21">
        <f t="shared" si="21"/>
        <v>174</v>
      </c>
      <c r="B181" t="s">
        <v>2448</v>
      </c>
      <c r="C181" t="s">
        <v>2536</v>
      </c>
      <c r="D181" s="227" t="e">
        <f>+#REF!</f>
        <v>#REF!</v>
      </c>
      <c r="E181" s="198" t="s">
        <v>982</v>
      </c>
      <c r="F181" s="22" t="str">
        <f>IFERROR(VLOOKUP($E181,Casilleros!$A$4:$I$830,4,FALSE),"")</f>
        <v>OTROS GASTOS</v>
      </c>
      <c r="G181" s="22" t="str">
        <f>IFERROR(VLOOKUP($E181,Casilleros!$A$4:$I$830,9,FALSE),"")</f>
        <v>OTROS GASTOS_Gastos de viaje_Gasto</v>
      </c>
      <c r="H181" s="22" t="str">
        <f>IFERROR(VLOOKUP($E181,Casilleros!$A$4:$J$830,10,FALSE),"")</f>
        <v>Otros gastos_Gasto</v>
      </c>
      <c r="I181" s="6" t="e">
        <f>SUMIF(#REF!,$B181,#REF!)</f>
        <v>#REF!</v>
      </c>
      <c r="J181" s="6" t="e">
        <f>SUMIF(#REF!,$B181,#REF!)</f>
        <v>#REF!</v>
      </c>
      <c r="K181" s="6" t="e">
        <f t="shared" ref="K181:K192" si="70">+D181+SUM(I181:J181)</f>
        <v>#REF!</v>
      </c>
      <c r="L181" s="6">
        <f t="shared" ref="L181:L192" si="71">IF(E181="",K181,0)</f>
        <v>0</v>
      </c>
      <c r="M181" s="185"/>
      <c r="N181" s="20"/>
      <c r="O181" s="215"/>
      <c r="U181" s="20"/>
      <c r="Y181" s="42"/>
    </row>
    <row r="182" spans="1:25" s="7" customFormat="1" ht="15">
      <c r="A182" s="21">
        <f t="shared" si="21"/>
        <v>175</v>
      </c>
      <c r="B182" t="s">
        <v>2449</v>
      </c>
      <c r="C182" t="s">
        <v>2537</v>
      </c>
      <c r="D182" s="227" t="e">
        <f>+#REF!</f>
        <v>#REF!</v>
      </c>
      <c r="E182" s="198" t="s">
        <v>1058</v>
      </c>
      <c r="F182" s="22" t="str">
        <f>IFERROR(VLOOKUP($E182,Casilleros!$A$4:$I$830,4,FALSE),"")</f>
        <v>OTROS GASTOS</v>
      </c>
      <c r="G182" s="22" t="str">
        <f>IFERROR(VLOOKUP($E182,Casilleros!$A$4:$I$830,9,FALSE),"")</f>
        <v>OTROS GASTOS_Otros_Gasto</v>
      </c>
      <c r="H182" s="22" t="str">
        <f>IFERROR(VLOOKUP($E182,Casilleros!$A$4:$J$830,10,FALSE),"")</f>
        <v>Otros gastos_Gasto</v>
      </c>
      <c r="I182" s="6" t="e">
        <f>SUMIF(#REF!,$B182,#REF!)</f>
        <v>#REF!</v>
      </c>
      <c r="J182" s="6" t="e">
        <f>SUMIF(#REF!,$B182,#REF!)</f>
        <v>#REF!</v>
      </c>
      <c r="K182" s="6" t="e">
        <f t="shared" si="70"/>
        <v>#REF!</v>
      </c>
      <c r="L182" s="6">
        <f t="shared" si="71"/>
        <v>0</v>
      </c>
      <c r="M182" s="185"/>
      <c r="N182" s="20"/>
      <c r="O182" s="215"/>
      <c r="U182" s="20"/>
      <c r="Y182" s="42"/>
    </row>
    <row r="183" spans="1:25" s="7" customFormat="1" ht="15">
      <c r="A183" s="21">
        <f t="shared" si="21"/>
        <v>176</v>
      </c>
      <c r="B183" t="s">
        <v>2450</v>
      </c>
      <c r="C183" t="s">
        <v>2525</v>
      </c>
      <c r="D183" s="227" t="e">
        <f>+#REF!</f>
        <v>#REF!</v>
      </c>
      <c r="E183" s="198" t="s">
        <v>1058</v>
      </c>
      <c r="F183" s="22" t="str">
        <f>IFERROR(VLOOKUP($E183,Casilleros!$A$4:$I$830,4,FALSE),"")</f>
        <v>OTROS GASTOS</v>
      </c>
      <c r="G183" s="22" t="str">
        <f>IFERROR(VLOOKUP($E183,Casilleros!$A$4:$I$830,9,FALSE),"")</f>
        <v>OTROS GASTOS_Otros_Gasto</v>
      </c>
      <c r="H183" s="22" t="str">
        <f>IFERROR(VLOOKUP($E183,Casilleros!$A$4:$J$830,10,FALSE),"")</f>
        <v>Otros gastos_Gasto</v>
      </c>
      <c r="I183" s="6" t="e">
        <f>SUMIF(#REF!,$B183,#REF!)</f>
        <v>#REF!</v>
      </c>
      <c r="J183" s="6" t="e">
        <f>SUMIF(#REF!,$B183,#REF!)</f>
        <v>#REF!</v>
      </c>
      <c r="K183" s="6" t="e">
        <f t="shared" si="70"/>
        <v>#REF!</v>
      </c>
      <c r="L183" s="6">
        <f t="shared" si="71"/>
        <v>0</v>
      </c>
      <c r="M183" s="185"/>
      <c r="N183" s="20"/>
      <c r="O183" s="215"/>
      <c r="U183" s="20"/>
      <c r="Y183" s="42"/>
    </row>
    <row r="184" spans="1:25" s="7" customFormat="1" ht="15">
      <c r="A184" s="21">
        <f t="shared" si="21"/>
        <v>177</v>
      </c>
      <c r="B184" t="s">
        <v>2451</v>
      </c>
      <c r="C184" t="s">
        <v>2538</v>
      </c>
      <c r="D184" s="227" t="e">
        <f>+#REF!</f>
        <v>#REF!</v>
      </c>
      <c r="E184" s="198" t="s">
        <v>1058</v>
      </c>
      <c r="F184" s="22" t="str">
        <f>IFERROR(VLOOKUP($E184,Casilleros!$A$4:$I$830,4,FALSE),"")</f>
        <v>OTROS GASTOS</v>
      </c>
      <c r="G184" s="22" t="str">
        <f>IFERROR(VLOOKUP($E184,Casilleros!$A$4:$I$830,9,FALSE),"")</f>
        <v>OTROS GASTOS_Otros_Gasto</v>
      </c>
      <c r="H184" s="22" t="str">
        <f>IFERROR(VLOOKUP($E184,Casilleros!$A$4:$J$830,10,FALSE),"")</f>
        <v>Otros gastos_Gasto</v>
      </c>
      <c r="I184" s="6" t="e">
        <f>SUMIF(#REF!,$B184,#REF!)</f>
        <v>#REF!</v>
      </c>
      <c r="J184" s="6" t="e">
        <f>SUMIF(#REF!,$B184,#REF!)</f>
        <v>#REF!</v>
      </c>
      <c r="K184" s="6" t="e">
        <f t="shared" si="70"/>
        <v>#REF!</v>
      </c>
      <c r="L184" s="6">
        <f t="shared" si="71"/>
        <v>0</v>
      </c>
      <c r="M184" s="185"/>
      <c r="N184" s="20"/>
      <c r="O184" s="215"/>
      <c r="U184" s="20"/>
      <c r="Y184" s="42"/>
    </row>
    <row r="185" spans="1:25" s="7" customFormat="1" ht="15">
      <c r="A185" s="21">
        <f t="shared" si="21"/>
        <v>178</v>
      </c>
      <c r="B185" t="s">
        <v>2452</v>
      </c>
      <c r="C185" t="s">
        <v>2519</v>
      </c>
      <c r="D185" s="227" t="e">
        <f>+#REF!</f>
        <v>#REF!</v>
      </c>
      <c r="E185" s="198" t="s">
        <v>1058</v>
      </c>
      <c r="F185" s="22" t="str">
        <f>IFERROR(VLOOKUP($E185,Casilleros!$A$4:$I$830,4,FALSE),"")</f>
        <v>OTROS GASTOS</v>
      </c>
      <c r="G185" s="22" t="str">
        <f>IFERROR(VLOOKUP($E185,Casilleros!$A$4:$I$830,9,FALSE),"")</f>
        <v>OTROS GASTOS_Otros_Gasto</v>
      </c>
      <c r="H185" s="22" t="str">
        <f>IFERROR(VLOOKUP($E185,Casilleros!$A$4:$J$830,10,FALSE),"")</f>
        <v>Otros gastos_Gasto</v>
      </c>
      <c r="I185" s="6" t="e">
        <f>SUMIF(#REF!,$B185,#REF!)</f>
        <v>#REF!</v>
      </c>
      <c r="J185" s="6" t="e">
        <f>SUMIF(#REF!,$B185,#REF!)</f>
        <v>#REF!</v>
      </c>
      <c r="K185" s="6" t="e">
        <f t="shared" si="70"/>
        <v>#REF!</v>
      </c>
      <c r="L185" s="6">
        <f t="shared" si="71"/>
        <v>0</v>
      </c>
      <c r="M185" s="185"/>
      <c r="N185" s="20"/>
      <c r="O185" s="215"/>
      <c r="U185" s="20"/>
      <c r="Y185" s="42"/>
    </row>
    <row r="186" spans="1:25" s="7" customFormat="1" ht="15">
      <c r="A186" s="21">
        <f t="shared" si="21"/>
        <v>179</v>
      </c>
      <c r="B186" t="s">
        <v>2453</v>
      </c>
      <c r="C186" t="s">
        <v>2539</v>
      </c>
      <c r="D186" s="227" t="e">
        <f>+#REF!</f>
        <v>#REF!</v>
      </c>
      <c r="E186" s="198" t="s">
        <v>998</v>
      </c>
      <c r="F186" s="22" t="str">
        <f>IFERROR(VLOOKUP($E186,Casilleros!$A$4:$I$830,4,FALSE),"")</f>
        <v>OTROS GASTOS</v>
      </c>
      <c r="G186" s="22" t="str">
        <f>IFERROR(VLOOKUP($E186,Casilleros!$A$4:$I$830,9,FALSE),"")</f>
        <v>OTROS GASTOS_Mantenimiento y reparaciones_Gasto</v>
      </c>
      <c r="H186" s="22" t="str">
        <f>IFERROR(VLOOKUP($E186,Casilleros!$A$4:$J$830,10,FALSE),"")</f>
        <v>Otros gastos_Gasto</v>
      </c>
      <c r="I186" s="6" t="e">
        <f>SUMIF(#REF!,$B186,#REF!)</f>
        <v>#REF!</v>
      </c>
      <c r="J186" s="6" t="e">
        <f>SUMIF(#REF!,$B186,#REF!)</f>
        <v>#REF!</v>
      </c>
      <c r="K186" s="6" t="e">
        <f t="shared" si="70"/>
        <v>#REF!</v>
      </c>
      <c r="L186" s="6">
        <f t="shared" si="71"/>
        <v>0</v>
      </c>
      <c r="M186" s="185"/>
      <c r="N186" s="20"/>
      <c r="O186" s="215"/>
      <c r="U186" s="20"/>
      <c r="Y186" s="42"/>
    </row>
    <row r="187" spans="1:25" s="7" customFormat="1" ht="15">
      <c r="A187" s="21">
        <f t="shared" si="21"/>
        <v>180</v>
      </c>
      <c r="B187" t="s">
        <v>2454</v>
      </c>
      <c r="C187" t="s">
        <v>2540</v>
      </c>
      <c r="D187" s="227" t="e">
        <f>+#REF!</f>
        <v>#REF!</v>
      </c>
      <c r="E187" s="198" t="s">
        <v>1058</v>
      </c>
      <c r="F187" s="22" t="str">
        <f>IFERROR(VLOOKUP($E187,Casilleros!$A$4:$I$830,4,FALSE),"")</f>
        <v>OTROS GASTOS</v>
      </c>
      <c r="G187" s="22" t="str">
        <f>IFERROR(VLOOKUP($E187,Casilleros!$A$4:$I$830,9,FALSE),"")</f>
        <v>OTROS GASTOS_Otros_Gasto</v>
      </c>
      <c r="H187" s="22" t="str">
        <f>IFERROR(VLOOKUP($E187,Casilleros!$A$4:$J$830,10,FALSE),"")</f>
        <v>Otros gastos_Gasto</v>
      </c>
      <c r="I187" s="6" t="e">
        <f>SUMIF(#REF!,$B187,#REF!)</f>
        <v>#REF!</v>
      </c>
      <c r="J187" s="6" t="e">
        <f>SUMIF(#REF!,$B187,#REF!)</f>
        <v>#REF!</v>
      </c>
      <c r="K187" s="6" t="e">
        <f t="shared" si="70"/>
        <v>#REF!</v>
      </c>
      <c r="L187" s="6">
        <f t="shared" si="71"/>
        <v>0</v>
      </c>
      <c r="M187" s="185"/>
      <c r="N187" s="20"/>
      <c r="O187" s="215"/>
      <c r="U187" s="20"/>
      <c r="Y187" s="42"/>
    </row>
    <row r="188" spans="1:25" s="7" customFormat="1" ht="15">
      <c r="A188" s="21">
        <f t="shared" si="21"/>
        <v>181</v>
      </c>
      <c r="B188" s="202" t="s">
        <v>2455</v>
      </c>
      <c r="C188" s="202" t="s">
        <v>2541</v>
      </c>
      <c r="D188" s="228" t="e">
        <f>+#REF!</f>
        <v>#REF!</v>
      </c>
      <c r="E188" s="198" t="s">
        <v>1058</v>
      </c>
      <c r="F188" s="22" t="str">
        <f>IFERROR(VLOOKUP($E188,Casilleros!$A$4:$I$830,4,FALSE),"")</f>
        <v>OTROS GASTOS</v>
      </c>
      <c r="G188" s="22" t="str">
        <f>IFERROR(VLOOKUP($E188,Casilleros!$A$4:$I$830,9,FALSE),"")</f>
        <v>OTROS GASTOS_Otros_Gasto</v>
      </c>
      <c r="H188" s="22" t="str">
        <f>IFERROR(VLOOKUP($E188,Casilleros!$A$4:$J$830,10,FALSE),"")</f>
        <v>Otros gastos_Gasto</v>
      </c>
      <c r="I188" s="6" t="e">
        <f>SUMIF(#REF!,$B188,#REF!)</f>
        <v>#REF!</v>
      </c>
      <c r="J188" s="6" t="e">
        <f>SUMIF(#REF!,$B188,#REF!)</f>
        <v>#REF!</v>
      </c>
      <c r="K188" s="6" t="e">
        <f t="shared" si="70"/>
        <v>#REF!</v>
      </c>
      <c r="L188" s="6">
        <f t="shared" si="71"/>
        <v>0</v>
      </c>
      <c r="M188" s="185"/>
      <c r="N188" s="20"/>
      <c r="O188" s="215"/>
      <c r="U188" s="20"/>
      <c r="Y188" s="42"/>
    </row>
    <row r="189" spans="1:25" s="7" customFormat="1" ht="15">
      <c r="A189" s="21">
        <f t="shared" si="21"/>
        <v>182</v>
      </c>
      <c r="B189" s="202" t="s">
        <v>2457</v>
      </c>
      <c r="C189" s="202" t="s">
        <v>2542</v>
      </c>
      <c r="D189" s="228" t="e">
        <f>+#REF!</f>
        <v>#REF!</v>
      </c>
      <c r="E189" s="198" t="s">
        <v>838</v>
      </c>
      <c r="F189" s="22" t="str">
        <f>IFERROR(VLOOKUP($E189,Casilleros!$A$4:$I$830,4,FALSE),"")</f>
        <v>GASTOS POR BENEFICIOS A LOS EMPLEADOS Y HONORARIOS</v>
      </c>
      <c r="G189" s="22" t="str">
        <f>IFERROR(VLOOKUP($E189,Casilleros!$A$4:$I$830,9,FALSE),"")</f>
        <v>GASTOS POR BENEFICIOS A LOS EMPLEADOS Y HONORARIOS_Honorarios profesionales y dietas_Gasto</v>
      </c>
      <c r="H189" s="22" t="str">
        <f>IFERROR(VLOOKUP($E189,Casilleros!$A$4:$J$830,10,FALSE),"")</f>
        <v>Gastos por beneficios a los empleados_Gasto</v>
      </c>
      <c r="I189" s="6" t="e">
        <f>SUMIF(#REF!,$B189,#REF!)</f>
        <v>#REF!</v>
      </c>
      <c r="J189" s="6" t="e">
        <f>SUMIF(#REF!,$B189,#REF!)</f>
        <v>#REF!</v>
      </c>
      <c r="K189" s="6" t="e">
        <f t="shared" si="70"/>
        <v>#REF!</v>
      </c>
      <c r="L189" s="6">
        <f t="shared" si="71"/>
        <v>0</v>
      </c>
      <c r="M189" s="185"/>
      <c r="N189" s="20"/>
      <c r="O189" s="215"/>
      <c r="U189" s="20"/>
      <c r="Y189" s="42"/>
    </row>
    <row r="190" spans="1:25" s="7" customFormat="1" ht="15">
      <c r="A190" s="21">
        <f t="shared" si="21"/>
        <v>183</v>
      </c>
      <c r="B190" s="202" t="s">
        <v>2458</v>
      </c>
      <c r="C190" s="202" t="s">
        <v>2543</v>
      </c>
      <c r="D190" s="228" t="e">
        <f>+#REF!</f>
        <v>#REF!</v>
      </c>
      <c r="E190" s="198" t="s">
        <v>1058</v>
      </c>
      <c r="F190" s="22" t="str">
        <f>IFERROR(VLOOKUP($E190,Casilleros!$A$4:$I$830,4,FALSE),"")</f>
        <v>OTROS GASTOS</v>
      </c>
      <c r="G190" s="22" t="str">
        <f>IFERROR(VLOOKUP($E190,Casilleros!$A$4:$I$830,9,FALSE),"")</f>
        <v>OTROS GASTOS_Otros_Gasto</v>
      </c>
      <c r="H190" s="22" t="str">
        <f>IFERROR(VLOOKUP($E190,Casilleros!$A$4:$J$830,10,FALSE),"")</f>
        <v>Otros gastos_Gasto</v>
      </c>
      <c r="I190" s="6" t="e">
        <f>SUMIF(#REF!,$B190,#REF!)</f>
        <v>#REF!</v>
      </c>
      <c r="J190" s="6" t="e">
        <f>SUMIF(#REF!,$B190,#REF!)</f>
        <v>#REF!</v>
      </c>
      <c r="K190" s="6" t="e">
        <f t="shared" si="70"/>
        <v>#REF!</v>
      </c>
      <c r="L190" s="6">
        <f t="shared" si="71"/>
        <v>0</v>
      </c>
      <c r="M190" s="185"/>
      <c r="N190" s="20"/>
      <c r="O190" s="215"/>
      <c r="U190" s="20"/>
      <c r="Y190" s="42"/>
    </row>
    <row r="191" spans="1:25" s="7" customFormat="1" ht="15">
      <c r="A191" s="21">
        <f t="shared" si="21"/>
        <v>184</v>
      </c>
      <c r="B191" s="219" t="s">
        <v>2459</v>
      </c>
      <c r="C191" s="219" t="s">
        <v>2460</v>
      </c>
      <c r="D191" s="228" t="e">
        <f>+#REF!</f>
        <v>#REF!</v>
      </c>
      <c r="E191" s="198" t="s">
        <v>982</v>
      </c>
      <c r="F191" s="22" t="str">
        <f>IFERROR(VLOOKUP($E191,Casilleros!$A$4:$I$830,4,FALSE),"")</f>
        <v>OTROS GASTOS</v>
      </c>
      <c r="G191" s="22" t="str">
        <f>IFERROR(VLOOKUP($E191,Casilleros!$A$4:$I$830,9,FALSE),"")</f>
        <v>OTROS GASTOS_Gastos de viaje_Gasto</v>
      </c>
      <c r="H191" s="22" t="str">
        <f>IFERROR(VLOOKUP($E191,Casilleros!$A$4:$J$830,10,FALSE),"")</f>
        <v>Otros gastos_Gasto</v>
      </c>
      <c r="I191" s="6" t="e">
        <f>SUMIF(#REF!,$B191,#REF!)</f>
        <v>#REF!</v>
      </c>
      <c r="J191" s="6" t="e">
        <f>SUMIF(#REF!,$B191,#REF!)</f>
        <v>#REF!</v>
      </c>
      <c r="K191" s="6" t="e">
        <f t="shared" si="70"/>
        <v>#REF!</v>
      </c>
      <c r="L191" s="6">
        <f t="shared" si="71"/>
        <v>0</v>
      </c>
      <c r="M191" s="185"/>
      <c r="N191" s="20"/>
      <c r="O191" s="215"/>
      <c r="U191" s="20"/>
      <c r="Y191" s="42"/>
    </row>
    <row r="192" spans="1:25" s="7" customFormat="1" ht="15">
      <c r="A192" s="21">
        <f t="shared" si="21"/>
        <v>185</v>
      </c>
      <c r="B192" s="225" t="s">
        <v>2727</v>
      </c>
      <c r="C192" s="225" t="s">
        <v>2529</v>
      </c>
      <c r="D192" s="227" t="e">
        <f>+#REF!</f>
        <v>#REF!</v>
      </c>
      <c r="E192" s="198" t="s">
        <v>1006</v>
      </c>
      <c r="F192" s="22" t="str">
        <f>IFERROR(VLOOKUP($E192,Casilleros!$A$4:$I$830,4,FALSE),"")</f>
        <v>OTROS GASTOS</v>
      </c>
      <c r="G192" s="22" t="str">
        <f>IFERROR(VLOOKUP($E192,Casilleros!$A$4:$I$830,9,FALSE),"")</f>
        <v>OTROS GASTOS_Seguros y reaseguros (primas y cesiones) _Gasto</v>
      </c>
      <c r="H192" s="22" t="str">
        <f>IFERROR(VLOOKUP($E192,Casilleros!$A$4:$J$830,10,FALSE),"")</f>
        <v>Otros gastos_Gasto</v>
      </c>
      <c r="I192" s="6" t="e">
        <f>SUMIF(#REF!,$B192,#REF!)</f>
        <v>#REF!</v>
      </c>
      <c r="J192" s="6" t="e">
        <f>SUMIF(#REF!,$B192,#REF!)</f>
        <v>#REF!</v>
      </c>
      <c r="K192" s="6" t="e">
        <f t="shared" si="70"/>
        <v>#REF!</v>
      </c>
      <c r="L192" s="6">
        <f t="shared" si="71"/>
        <v>0</v>
      </c>
      <c r="M192" s="185"/>
      <c r="N192" s="20"/>
      <c r="O192" s="215"/>
      <c r="U192" s="20"/>
      <c r="Y192" s="42"/>
    </row>
    <row r="193" spans="1:25" s="7" customFormat="1" ht="15">
      <c r="A193" s="21">
        <f t="shared" si="21"/>
        <v>186</v>
      </c>
      <c r="B193" s="225" t="e">
        <f>+#REF!</f>
        <v>#REF!</v>
      </c>
      <c r="C193" s="225" t="e">
        <f>+#REF!</f>
        <v>#REF!</v>
      </c>
      <c r="D193" s="225" t="e">
        <f>+#REF!</f>
        <v>#REF!</v>
      </c>
      <c r="E193" s="198" t="s">
        <v>987</v>
      </c>
      <c r="F193" s="22" t="str">
        <f>IFERROR(VLOOKUP($E193,Casilleros!$A$4:$I$830,4,FALSE),"")</f>
        <v>OTROS GASTOS</v>
      </c>
      <c r="G193" s="22" t="str">
        <f>IFERROR(VLOOKUP($E193,Casilleros!$A$4:$I$830,9,FALSE),"")</f>
        <v>OTROS GASTOS_Arrendamientos operativos_Gasto</v>
      </c>
      <c r="H193" s="22" t="str">
        <f>IFERROR(VLOOKUP($E193,Casilleros!$A$4:$J$830,10,FALSE),"")</f>
        <v>Otros gastos_Gasto</v>
      </c>
      <c r="I193" s="6" t="e">
        <f>SUMIF(#REF!,$B193,#REF!)</f>
        <v>#REF!</v>
      </c>
      <c r="J193" s="6" t="e">
        <f>SUMIF(#REF!,$B193,#REF!)</f>
        <v>#REF!</v>
      </c>
      <c r="K193" s="6" t="e">
        <f t="shared" ref="K193:K194" si="72">+D193+SUM(I193:J193)</f>
        <v>#REF!</v>
      </c>
      <c r="L193" s="6">
        <f t="shared" ref="L193:L194" si="73">IF(E193="",K193,0)</f>
        <v>0</v>
      </c>
      <c r="M193" s="185"/>
      <c r="N193" s="20"/>
      <c r="O193" s="215"/>
      <c r="U193" s="20"/>
      <c r="Y193" s="42"/>
    </row>
    <row r="194" spans="1:25" s="7" customFormat="1" ht="15">
      <c r="A194" s="21">
        <f t="shared" si="21"/>
        <v>187</v>
      </c>
      <c r="B194" s="225"/>
      <c r="C194" s="225"/>
      <c r="D194" s="227"/>
      <c r="E194" s="198" t="s">
        <v>1058</v>
      </c>
      <c r="F194" s="22" t="str">
        <f>IFERROR(VLOOKUP($E194,Casilleros!$A$4:$I$830,4,FALSE),"")</f>
        <v>OTROS GASTOS</v>
      </c>
      <c r="G194" s="22" t="str">
        <f>IFERROR(VLOOKUP($E194,Casilleros!$A$4:$I$830,9,FALSE),"")</f>
        <v>OTROS GASTOS_Otros_Gasto</v>
      </c>
      <c r="H194" s="22" t="str">
        <f>IFERROR(VLOOKUP($E194,Casilleros!$A$4:$J$830,10,FALSE),"")</f>
        <v>Otros gastos_Gasto</v>
      </c>
      <c r="I194" s="6" t="e">
        <f>SUMIF(#REF!,$B194,#REF!)</f>
        <v>#REF!</v>
      </c>
      <c r="J194" s="6" t="e">
        <f>SUMIF(#REF!,$B194,#REF!)</f>
        <v>#REF!</v>
      </c>
      <c r="K194" s="6" t="e">
        <f t="shared" si="72"/>
        <v>#REF!</v>
      </c>
      <c r="L194" s="6">
        <f t="shared" si="73"/>
        <v>0</v>
      </c>
      <c r="M194" s="185"/>
      <c r="N194" s="20"/>
      <c r="O194" s="215"/>
      <c r="U194" s="20"/>
      <c r="Y194" s="42"/>
    </row>
    <row r="195" spans="1:25" s="7" customFormat="1" ht="15">
      <c r="A195" s="21">
        <f t="shared" ref="A195:A260" si="74">ROW(A195)-7</f>
        <v>188</v>
      </c>
      <c r="B195" s="202"/>
      <c r="C195" s="202"/>
      <c r="D195" s="228"/>
      <c r="E195" s="198" t="s">
        <v>1058</v>
      </c>
      <c r="F195" s="22" t="str">
        <f>IFERROR(VLOOKUP($E195,Casilleros!$A$4:$I$830,4,FALSE),"")</f>
        <v>OTROS GASTOS</v>
      </c>
      <c r="G195" s="22" t="str">
        <f>IFERROR(VLOOKUP($E195,Casilleros!$A$4:$I$830,9,FALSE),"")</f>
        <v>OTROS GASTOS_Otros_Gasto</v>
      </c>
      <c r="H195" s="22" t="str">
        <f>IFERROR(VLOOKUP($E195,Casilleros!$A$4:$J$830,10,FALSE),"")</f>
        <v>Otros gastos_Gasto</v>
      </c>
      <c r="I195" s="6" t="e">
        <f>SUMIF(#REF!,$B195,#REF!)</f>
        <v>#REF!</v>
      </c>
      <c r="J195" s="6" t="e">
        <f>SUMIF(#REF!,$B195,#REF!)</f>
        <v>#REF!</v>
      </c>
      <c r="K195" s="6" t="e">
        <f t="shared" ref="K195:K260" si="75">+D195+SUM(I195:J195)</f>
        <v>#REF!</v>
      </c>
      <c r="L195" s="6">
        <f t="shared" ref="L195:L260" si="76">IF(E195="",K195,0)</f>
        <v>0</v>
      </c>
      <c r="M195" s="185"/>
      <c r="N195" s="20"/>
      <c r="O195" s="215"/>
      <c r="U195" s="20"/>
      <c r="Y195" s="42"/>
    </row>
    <row r="196" spans="1:25" s="7" customFormat="1" ht="15">
      <c r="A196" s="21">
        <f t="shared" si="74"/>
        <v>189</v>
      </c>
      <c r="B196" s="202"/>
      <c r="C196" s="202"/>
      <c r="D196" s="228"/>
      <c r="E196" s="198" t="s">
        <v>1058</v>
      </c>
      <c r="F196" s="22" t="str">
        <f>IFERROR(VLOOKUP($E196,Casilleros!$A$4:$I$830,4,FALSE),"")</f>
        <v>OTROS GASTOS</v>
      </c>
      <c r="G196" s="22" t="str">
        <f>IFERROR(VLOOKUP($E196,Casilleros!$A$4:$I$830,9,FALSE),"")</f>
        <v>OTROS GASTOS_Otros_Gasto</v>
      </c>
      <c r="H196" s="22" t="str">
        <f>IFERROR(VLOOKUP($E196,Casilleros!$A$4:$J$830,10,FALSE),"")</f>
        <v>Otros gastos_Gasto</v>
      </c>
      <c r="I196" s="6" t="e">
        <f>SUMIF(#REF!,$B196,#REF!)</f>
        <v>#REF!</v>
      </c>
      <c r="J196" s="6" t="e">
        <f>SUMIF(#REF!,$B196,#REF!)</f>
        <v>#REF!</v>
      </c>
      <c r="K196" s="6" t="e">
        <f t="shared" si="75"/>
        <v>#REF!</v>
      </c>
      <c r="L196" s="6">
        <f t="shared" si="76"/>
        <v>0</v>
      </c>
      <c r="M196" s="185"/>
      <c r="N196" s="20"/>
      <c r="O196" s="215"/>
      <c r="U196" s="20"/>
      <c r="Y196" s="42"/>
    </row>
    <row r="197" spans="1:25" s="7" customFormat="1" ht="15">
      <c r="A197" s="21">
        <f t="shared" si="74"/>
        <v>190</v>
      </c>
      <c r="B197" s="202"/>
      <c r="C197" s="202"/>
      <c r="D197" s="228"/>
      <c r="E197" s="198" t="s">
        <v>1058</v>
      </c>
      <c r="F197" s="22" t="str">
        <f>IFERROR(VLOOKUP($E197,Casilleros!$A$4:$I$830,4,FALSE),"")</f>
        <v>OTROS GASTOS</v>
      </c>
      <c r="G197" s="22" t="str">
        <f>IFERROR(VLOOKUP($E197,Casilleros!$A$4:$I$830,9,FALSE),"")</f>
        <v>OTROS GASTOS_Otros_Gasto</v>
      </c>
      <c r="H197" s="22" t="str">
        <f>IFERROR(VLOOKUP($E197,Casilleros!$A$4:$J$830,10,FALSE),"")</f>
        <v>Otros gastos_Gasto</v>
      </c>
      <c r="I197" s="6" t="e">
        <f>SUMIF(#REF!,$B197,#REF!)</f>
        <v>#REF!</v>
      </c>
      <c r="J197" s="6" t="e">
        <f>SUMIF(#REF!,$B197,#REF!)</f>
        <v>#REF!</v>
      </c>
      <c r="K197" s="6" t="e">
        <f t="shared" si="75"/>
        <v>#REF!</v>
      </c>
      <c r="L197" s="6">
        <f t="shared" si="76"/>
        <v>0</v>
      </c>
      <c r="M197" s="185"/>
      <c r="N197" s="20"/>
      <c r="O197" s="215"/>
      <c r="U197" s="20"/>
      <c r="Y197" s="42"/>
    </row>
    <row r="198" spans="1:25" s="7" customFormat="1" ht="15">
      <c r="A198" s="21">
        <f t="shared" si="74"/>
        <v>191</v>
      </c>
      <c r="B198" s="202"/>
      <c r="C198" s="202"/>
      <c r="D198" s="228"/>
      <c r="E198" s="198" t="s">
        <v>838</v>
      </c>
      <c r="F198" s="22" t="str">
        <f>IFERROR(VLOOKUP($E198,Casilleros!$A$4:$I$830,4,FALSE),"")</f>
        <v>GASTOS POR BENEFICIOS A LOS EMPLEADOS Y HONORARIOS</v>
      </c>
      <c r="G198" s="22" t="str">
        <f>IFERROR(VLOOKUP($E198,Casilleros!$A$4:$I$830,9,FALSE),"")</f>
        <v>GASTOS POR BENEFICIOS A LOS EMPLEADOS Y HONORARIOS_Honorarios profesionales y dietas_Gasto</v>
      </c>
      <c r="H198" s="22" t="str">
        <f>IFERROR(VLOOKUP($E198,Casilleros!$A$4:$J$830,10,FALSE),"")</f>
        <v>Gastos por beneficios a los empleados_Gasto</v>
      </c>
      <c r="I198" s="6" t="e">
        <f>SUMIF(#REF!,$B198,#REF!)</f>
        <v>#REF!</v>
      </c>
      <c r="J198" s="6" t="e">
        <f>SUMIF(#REF!,$B198,#REF!)</f>
        <v>#REF!</v>
      </c>
      <c r="K198" s="6" t="e">
        <f t="shared" si="75"/>
        <v>#REF!</v>
      </c>
      <c r="L198" s="6">
        <f t="shared" si="76"/>
        <v>0</v>
      </c>
      <c r="M198" s="185"/>
      <c r="N198" s="20"/>
      <c r="O198" s="215"/>
      <c r="U198" s="20"/>
      <c r="Y198" s="42"/>
    </row>
    <row r="199" spans="1:25" s="7" customFormat="1" ht="15">
      <c r="A199" s="21">
        <f t="shared" si="74"/>
        <v>192</v>
      </c>
      <c r="B199" s="202"/>
      <c r="C199" s="202"/>
      <c r="D199" s="228"/>
      <c r="E199" s="198" t="s">
        <v>1058</v>
      </c>
      <c r="F199" s="22" t="str">
        <f>IFERROR(VLOOKUP($E199,Casilleros!$A$4:$I$830,4,FALSE),"")</f>
        <v>OTROS GASTOS</v>
      </c>
      <c r="G199" s="22" t="str">
        <f>IFERROR(VLOOKUP($E199,Casilleros!$A$4:$I$830,9,FALSE),"")</f>
        <v>OTROS GASTOS_Otros_Gasto</v>
      </c>
      <c r="H199" s="22" t="str">
        <f>IFERROR(VLOOKUP($E199,Casilleros!$A$4:$J$830,10,FALSE),"")</f>
        <v>Otros gastos_Gasto</v>
      </c>
      <c r="I199" s="6" t="e">
        <f>SUMIF(#REF!,$B199,#REF!)</f>
        <v>#REF!</v>
      </c>
      <c r="J199" s="6" t="e">
        <f>SUMIF(#REF!,$B199,#REF!)</f>
        <v>#REF!</v>
      </c>
      <c r="K199" s="6" t="e">
        <f t="shared" si="75"/>
        <v>#REF!</v>
      </c>
      <c r="L199" s="6">
        <f t="shared" si="76"/>
        <v>0</v>
      </c>
      <c r="M199" s="185"/>
      <c r="N199" s="20"/>
      <c r="O199" s="215"/>
      <c r="U199" s="20"/>
      <c r="Y199" s="42"/>
    </row>
    <row r="200" spans="1:25" s="7" customFormat="1" ht="15">
      <c r="A200" s="21">
        <f t="shared" si="74"/>
        <v>193</v>
      </c>
      <c r="B200" s="219"/>
      <c r="C200" s="219"/>
      <c r="D200" s="228"/>
      <c r="E200" s="198" t="s">
        <v>982</v>
      </c>
      <c r="F200" s="22" t="str">
        <f>IFERROR(VLOOKUP($E200,Casilleros!$A$4:$I$830,4,FALSE),"")</f>
        <v>OTROS GASTOS</v>
      </c>
      <c r="G200" s="22" t="str">
        <f>IFERROR(VLOOKUP($E200,Casilleros!$A$4:$I$830,9,FALSE),"")</f>
        <v>OTROS GASTOS_Gastos de viaje_Gasto</v>
      </c>
      <c r="H200" s="22" t="str">
        <f>IFERROR(VLOOKUP($E200,Casilleros!$A$4:$J$830,10,FALSE),"")</f>
        <v>Otros gastos_Gasto</v>
      </c>
      <c r="I200" s="6" t="e">
        <f>SUMIF(#REF!,$B200,#REF!)</f>
        <v>#REF!</v>
      </c>
      <c r="J200" s="6" t="e">
        <f>SUMIF(#REF!,$B200,#REF!)</f>
        <v>#REF!</v>
      </c>
      <c r="K200" s="6" t="e">
        <f t="shared" si="75"/>
        <v>#REF!</v>
      </c>
      <c r="L200" s="6">
        <f t="shared" si="76"/>
        <v>0</v>
      </c>
      <c r="M200" s="185"/>
      <c r="N200" s="20"/>
      <c r="O200" s="215"/>
      <c r="U200" s="20"/>
      <c r="Y200" s="42"/>
    </row>
    <row r="201" spans="1:25" s="7" customFormat="1" ht="15">
      <c r="A201" s="21">
        <f t="shared" si="74"/>
        <v>194</v>
      </c>
      <c r="B201" s="219"/>
      <c r="C201" s="219"/>
      <c r="D201" s="203"/>
      <c r="E201" s="198" t="s">
        <v>1058</v>
      </c>
      <c r="F201" s="22" t="str">
        <f>IFERROR(VLOOKUP($E201,Casilleros!$A$4:$I$830,4,FALSE),"")</f>
        <v>OTROS GASTOS</v>
      </c>
      <c r="G201" s="22" t="str">
        <f>IFERROR(VLOOKUP($E201,Casilleros!$A$4:$I$830,9,FALSE),"")</f>
        <v>OTROS GASTOS_Otros_Gasto</v>
      </c>
      <c r="H201" s="22" t="str">
        <f>IFERROR(VLOOKUP($E201,Casilleros!$A$4:$J$830,10,FALSE),"")</f>
        <v>Otros gastos_Gasto</v>
      </c>
      <c r="I201" s="6" t="e">
        <f>SUMIF(#REF!,$B201,#REF!)</f>
        <v>#REF!</v>
      </c>
      <c r="J201" s="6" t="e">
        <f>SUMIF(#REF!,$B201,#REF!)</f>
        <v>#REF!</v>
      </c>
      <c r="K201" s="6" t="e">
        <f t="shared" si="75"/>
        <v>#REF!</v>
      </c>
      <c r="L201" s="6">
        <f t="shared" si="76"/>
        <v>0</v>
      </c>
      <c r="M201" s="185"/>
      <c r="N201" s="20"/>
      <c r="O201" s="215"/>
      <c r="U201" s="20"/>
      <c r="Y201" s="42"/>
    </row>
    <row r="202" spans="1:25" s="7" customFormat="1" ht="15">
      <c r="A202" s="21">
        <f t="shared" si="74"/>
        <v>195</v>
      </c>
      <c r="B202" s="219" t="s">
        <v>2463</v>
      </c>
      <c r="C202" s="219" t="s">
        <v>2464</v>
      </c>
      <c r="D202" s="227" t="e">
        <f>+#REF!</f>
        <v>#REF!</v>
      </c>
      <c r="E202" s="198" t="s">
        <v>1052</v>
      </c>
      <c r="F202" s="22" t="str">
        <f>IFERROR(VLOOKUP($E202,Casilleros!$A$4:$I$830,4,FALSE),"")</f>
        <v>OTROS GASTOS</v>
      </c>
      <c r="G202" s="22" t="str">
        <f>IFERROR(VLOOKUP($E202,Casilleros!$A$4:$I$830,9,FALSE),"")</f>
        <v>OTROS GASTOS_Servicios públicos_Gasto</v>
      </c>
      <c r="H202" s="22" t="str">
        <f>IFERROR(VLOOKUP($E202,Casilleros!$A$4:$J$830,10,FALSE),"")</f>
        <v>Otros gastos_Gasto</v>
      </c>
      <c r="I202" s="6" t="e">
        <f>SUMIF(#REF!,$B202,#REF!)</f>
        <v>#REF!</v>
      </c>
      <c r="J202" s="6" t="e">
        <f>SUMIF(#REF!,$B202,#REF!)</f>
        <v>#REF!</v>
      </c>
      <c r="K202" s="6" t="e">
        <f t="shared" si="75"/>
        <v>#REF!</v>
      </c>
      <c r="L202" s="6">
        <f t="shared" si="76"/>
        <v>0</v>
      </c>
      <c r="M202" s="185"/>
      <c r="N202" s="20"/>
      <c r="O202" s="215"/>
      <c r="U202" s="20"/>
      <c r="Y202" s="42"/>
    </row>
    <row r="203" spans="1:25" s="7" customFormat="1" ht="15">
      <c r="A203" s="21">
        <f t="shared" si="74"/>
        <v>196</v>
      </c>
      <c r="B203" s="219" t="s">
        <v>2465</v>
      </c>
      <c r="C203" s="219" t="s">
        <v>2466</v>
      </c>
      <c r="D203" s="227" t="e">
        <f>+#REF!</f>
        <v>#REF!</v>
      </c>
      <c r="E203" s="198" t="s">
        <v>838</v>
      </c>
      <c r="F203" s="22" t="str">
        <f>IFERROR(VLOOKUP($E203,Casilleros!$A$4:$I$830,4,FALSE),"")</f>
        <v>GASTOS POR BENEFICIOS A LOS EMPLEADOS Y HONORARIOS</v>
      </c>
      <c r="G203" s="22" t="str">
        <f>IFERROR(VLOOKUP($E203,Casilleros!$A$4:$I$830,9,FALSE),"")</f>
        <v>GASTOS POR BENEFICIOS A LOS EMPLEADOS Y HONORARIOS_Honorarios profesionales y dietas_Gasto</v>
      </c>
      <c r="H203" s="22" t="str">
        <f>IFERROR(VLOOKUP($E203,Casilleros!$A$4:$J$830,10,FALSE),"")</f>
        <v>Gastos por beneficios a los empleados_Gasto</v>
      </c>
      <c r="I203" s="6" t="e">
        <f>SUMIF(#REF!,$B203,#REF!)</f>
        <v>#REF!</v>
      </c>
      <c r="J203" s="6" t="e">
        <f>SUMIF(#REF!,$B203,#REF!)</f>
        <v>#REF!</v>
      </c>
      <c r="K203" s="6" t="e">
        <f t="shared" si="75"/>
        <v>#REF!</v>
      </c>
      <c r="L203" s="6">
        <f t="shared" si="76"/>
        <v>0</v>
      </c>
      <c r="M203" s="185"/>
      <c r="N203" s="20"/>
      <c r="O203" s="215"/>
      <c r="U203" s="20"/>
      <c r="Y203" s="42"/>
    </row>
    <row r="204" spans="1:25" s="7" customFormat="1" ht="15">
      <c r="A204" s="21">
        <f t="shared" si="74"/>
        <v>197</v>
      </c>
      <c r="B204" s="219" t="s">
        <v>2467</v>
      </c>
      <c r="C204" s="219" t="s">
        <v>2456</v>
      </c>
      <c r="D204" s="227" t="e">
        <f>+#REF!</f>
        <v>#REF!</v>
      </c>
      <c r="E204" s="198" t="s">
        <v>991</v>
      </c>
      <c r="F204" s="22" t="str">
        <f>IFERROR(VLOOKUP($E204,Casilleros!$A$4:$I$830,4,FALSE),"")</f>
        <v>OTROS GASTOS</v>
      </c>
      <c r="G204" s="22" t="str">
        <f>IFERROR(VLOOKUP($E204,Casilleros!$A$4:$I$830,9,FALSE),"")</f>
        <v>OTROS GASTOS_Suministros, herramientas, materiales y repuestos_Gasto</v>
      </c>
      <c r="H204" s="22" t="str">
        <f>IFERROR(VLOOKUP($E204,Casilleros!$A$4:$J$830,10,FALSE),"")</f>
        <v>Otros gastos_Gasto</v>
      </c>
      <c r="I204" s="6" t="e">
        <f>SUMIF(#REF!,$B204,#REF!)</f>
        <v>#REF!</v>
      </c>
      <c r="J204" s="6" t="e">
        <f>SUMIF(#REF!,$B204,#REF!)</f>
        <v>#REF!</v>
      </c>
      <c r="K204" s="6" t="e">
        <f t="shared" si="75"/>
        <v>#REF!</v>
      </c>
      <c r="L204" s="6">
        <f t="shared" si="76"/>
        <v>0</v>
      </c>
      <c r="M204" s="185"/>
      <c r="N204" s="20"/>
      <c r="O204" s="215"/>
      <c r="U204" s="20"/>
      <c r="Y204" s="42"/>
    </row>
    <row r="205" spans="1:25" s="7" customFormat="1" ht="15">
      <c r="A205" s="21">
        <f t="shared" si="74"/>
        <v>198</v>
      </c>
      <c r="B205" s="219" t="s">
        <v>2468</v>
      </c>
      <c r="C205" s="219" t="s">
        <v>2469</v>
      </c>
      <c r="D205" s="227" t="e">
        <f>+#REF!</f>
        <v>#REF!</v>
      </c>
      <c r="E205" s="198" t="s">
        <v>991</v>
      </c>
      <c r="F205" s="22" t="str">
        <f>IFERROR(VLOOKUP($E205,Casilleros!$A$4:$I$830,4,FALSE),"")</f>
        <v>OTROS GASTOS</v>
      </c>
      <c r="G205" s="22" t="str">
        <f>IFERROR(VLOOKUP($E205,Casilleros!$A$4:$I$830,9,FALSE),"")</f>
        <v>OTROS GASTOS_Suministros, herramientas, materiales y repuestos_Gasto</v>
      </c>
      <c r="H205" s="22" t="str">
        <f>IFERROR(VLOOKUP($E205,Casilleros!$A$4:$J$830,10,FALSE),"")</f>
        <v>Otros gastos_Gasto</v>
      </c>
      <c r="I205" s="6" t="e">
        <f>SUMIF(#REF!,$B205,#REF!)</f>
        <v>#REF!</v>
      </c>
      <c r="J205" s="6" t="e">
        <f>SUMIF(#REF!,$B205,#REF!)</f>
        <v>#REF!</v>
      </c>
      <c r="K205" s="6" t="e">
        <f t="shared" si="75"/>
        <v>#REF!</v>
      </c>
      <c r="L205" s="6">
        <f t="shared" si="76"/>
        <v>0</v>
      </c>
      <c r="M205" s="185"/>
      <c r="N205" s="20"/>
      <c r="O205" s="215"/>
      <c r="U205" s="20"/>
      <c r="Y205" s="42"/>
    </row>
    <row r="206" spans="1:25" s="7" customFormat="1" ht="15">
      <c r="A206" s="21">
        <f t="shared" si="74"/>
        <v>199</v>
      </c>
      <c r="B206" s="219" t="s">
        <v>2470</v>
      </c>
      <c r="C206" s="219" t="s">
        <v>2471</v>
      </c>
      <c r="D206" s="227"/>
      <c r="E206" s="198" t="s">
        <v>991</v>
      </c>
      <c r="F206" s="22" t="str">
        <f>IFERROR(VLOOKUP($E206,Casilleros!$A$4:$I$830,4,FALSE),"")</f>
        <v>OTROS GASTOS</v>
      </c>
      <c r="G206" s="22" t="str">
        <f>IFERROR(VLOOKUP($E206,Casilleros!$A$4:$I$830,9,FALSE),"")</f>
        <v>OTROS GASTOS_Suministros, herramientas, materiales y repuestos_Gasto</v>
      </c>
      <c r="H206" s="22" t="str">
        <f>IFERROR(VLOOKUP($E206,Casilleros!$A$4:$J$830,10,FALSE),"")</f>
        <v>Otros gastos_Gasto</v>
      </c>
      <c r="I206" s="6" t="e">
        <f>SUMIF(#REF!,$B206,#REF!)</f>
        <v>#REF!</v>
      </c>
      <c r="J206" s="6" t="e">
        <f>SUMIF(#REF!,$B206,#REF!)</f>
        <v>#REF!</v>
      </c>
      <c r="K206" s="6" t="e">
        <f t="shared" si="75"/>
        <v>#REF!</v>
      </c>
      <c r="L206" s="6">
        <f t="shared" si="76"/>
        <v>0</v>
      </c>
      <c r="M206" s="185"/>
      <c r="N206" s="20"/>
      <c r="O206" s="215"/>
      <c r="U206" s="20"/>
      <c r="Y206" s="42"/>
    </row>
    <row r="207" spans="1:25" s="7" customFormat="1" ht="15">
      <c r="A207" s="21">
        <f t="shared" si="74"/>
        <v>200</v>
      </c>
      <c r="B207" s="219" t="s">
        <v>2472</v>
      </c>
      <c r="C207" s="219" t="s">
        <v>2473</v>
      </c>
      <c r="D207" s="227" t="e">
        <f>+#REF!</f>
        <v>#REF!</v>
      </c>
      <c r="E207" s="198" t="s">
        <v>991</v>
      </c>
      <c r="F207" s="22" t="str">
        <f>IFERROR(VLOOKUP($E207,Casilleros!$A$4:$I$830,4,FALSE),"")</f>
        <v>OTROS GASTOS</v>
      </c>
      <c r="G207" s="22" t="str">
        <f>IFERROR(VLOOKUP($E207,Casilleros!$A$4:$I$830,9,FALSE),"")</f>
        <v>OTROS GASTOS_Suministros, herramientas, materiales y repuestos_Gasto</v>
      </c>
      <c r="H207" s="22" t="str">
        <f>IFERROR(VLOOKUP($E207,Casilleros!$A$4:$J$830,10,FALSE),"")</f>
        <v>Otros gastos_Gasto</v>
      </c>
      <c r="I207" s="6" t="e">
        <f>SUMIF(#REF!,$B207,#REF!)</f>
        <v>#REF!</v>
      </c>
      <c r="J207" s="6" t="e">
        <f>SUMIF(#REF!,$B207,#REF!)</f>
        <v>#REF!</v>
      </c>
      <c r="K207" s="6" t="e">
        <f t="shared" si="75"/>
        <v>#REF!</v>
      </c>
      <c r="L207" s="6">
        <f t="shared" si="76"/>
        <v>0</v>
      </c>
      <c r="M207" s="185"/>
      <c r="N207" s="20"/>
      <c r="O207" s="215"/>
      <c r="U207" s="20"/>
      <c r="Y207" s="42"/>
    </row>
    <row r="208" spans="1:25" s="7" customFormat="1" ht="15">
      <c r="A208" s="21">
        <f t="shared" si="74"/>
        <v>201</v>
      </c>
      <c r="B208" s="219" t="s">
        <v>2474</v>
      </c>
      <c r="C208" s="219" t="s">
        <v>2475</v>
      </c>
      <c r="D208" s="227" t="e">
        <f>+#REF!</f>
        <v>#REF!</v>
      </c>
      <c r="E208" s="198" t="s">
        <v>991</v>
      </c>
      <c r="F208" s="22" t="str">
        <f>IFERROR(VLOOKUP($E208,Casilleros!$A$4:$I$830,4,FALSE),"")</f>
        <v>OTROS GASTOS</v>
      </c>
      <c r="G208" s="22" t="str">
        <f>IFERROR(VLOOKUP($E208,Casilleros!$A$4:$I$830,9,FALSE),"")</f>
        <v>OTROS GASTOS_Suministros, herramientas, materiales y repuestos_Gasto</v>
      </c>
      <c r="H208" s="22" t="str">
        <f>IFERROR(VLOOKUP($E208,Casilleros!$A$4:$J$830,10,FALSE),"")</f>
        <v>Otros gastos_Gasto</v>
      </c>
      <c r="I208" s="6" t="e">
        <f>SUMIF(#REF!,$B208,#REF!)</f>
        <v>#REF!</v>
      </c>
      <c r="J208" s="6" t="e">
        <f>SUMIF(#REF!,$B208,#REF!)</f>
        <v>#REF!</v>
      </c>
      <c r="K208" s="6" t="e">
        <f t="shared" si="75"/>
        <v>#REF!</v>
      </c>
      <c r="L208" s="6">
        <f t="shared" si="76"/>
        <v>0</v>
      </c>
      <c r="M208" s="185"/>
      <c r="N208" s="20"/>
      <c r="O208" s="215"/>
      <c r="U208" s="20"/>
      <c r="Y208" s="42"/>
    </row>
    <row r="209" spans="1:25" s="7" customFormat="1" ht="15">
      <c r="A209" s="21">
        <f t="shared" si="74"/>
        <v>202</v>
      </c>
      <c r="B209" s="219" t="s">
        <v>2461</v>
      </c>
      <c r="C209" s="219" t="s">
        <v>2462</v>
      </c>
      <c r="D209" s="227" t="e">
        <f>+#REF!</f>
        <v>#REF!</v>
      </c>
      <c r="E209" s="198" t="s">
        <v>1058</v>
      </c>
      <c r="F209" s="22" t="str">
        <f>IFERROR(VLOOKUP($E209,Casilleros!$A$4:$I$830,4,FALSE),"")</f>
        <v>OTROS GASTOS</v>
      </c>
      <c r="G209" s="22" t="str">
        <f>IFERROR(VLOOKUP($E209,Casilleros!$A$4:$I$830,9,FALSE),"")</f>
        <v>OTROS GASTOS_Otros_Gasto</v>
      </c>
      <c r="H209" s="22" t="str">
        <f>IFERROR(VLOOKUP($E209,Casilleros!$A$4:$J$830,10,FALSE),"")</f>
        <v>Otros gastos_Gasto</v>
      </c>
      <c r="I209" s="6" t="e">
        <f>SUMIF(#REF!,$B209,#REF!)</f>
        <v>#REF!</v>
      </c>
      <c r="J209" s="6" t="e">
        <f>SUMIF(#REF!,$B209,#REF!)</f>
        <v>#REF!</v>
      </c>
      <c r="K209" s="6" t="e">
        <f t="shared" ref="K209" si="77">+D209+SUM(I209:J209)</f>
        <v>#REF!</v>
      </c>
      <c r="L209" s="6">
        <f t="shared" ref="L209" si="78">IF(E209="",K209,0)</f>
        <v>0</v>
      </c>
      <c r="M209" s="185"/>
      <c r="N209" s="20"/>
      <c r="O209" s="215"/>
      <c r="U209" s="20"/>
      <c r="Y209" s="42"/>
    </row>
    <row r="210" spans="1:25" s="7" customFormat="1" ht="15">
      <c r="A210" s="21">
        <f t="shared" si="74"/>
        <v>203</v>
      </c>
      <c r="B210" s="219" t="s">
        <v>2476</v>
      </c>
      <c r="C210" s="219" t="s">
        <v>2477</v>
      </c>
      <c r="D210" s="227" t="e">
        <f>+#REF!</f>
        <v>#REF!</v>
      </c>
      <c r="E210" s="198" t="s">
        <v>1014</v>
      </c>
      <c r="F210" s="22" t="str">
        <f>IFERROR(VLOOKUP($E210,Casilleros!$A$4:$I$830,4,FALSE),"")</f>
        <v>OTROS GASTOS</v>
      </c>
      <c r="G210" s="22" t="str">
        <f>IFERROR(VLOOKUP($E210,Casilleros!$A$4:$I$830,9,FALSE),"")</f>
        <v>OTROS GASTOS_Impuestos, contribuciones y otros_Gasto</v>
      </c>
      <c r="H210" s="22" t="str">
        <f>IFERROR(VLOOKUP($E210,Casilleros!$A$4:$J$830,10,FALSE),"")</f>
        <v>Otros gastos_Gasto</v>
      </c>
      <c r="I210" s="6" t="e">
        <f>SUMIF(#REF!,$B210,#REF!)</f>
        <v>#REF!</v>
      </c>
      <c r="J210" s="6" t="e">
        <f>SUMIF(#REF!,$B210,#REF!)</f>
        <v>#REF!</v>
      </c>
      <c r="K210" s="6" t="e">
        <f t="shared" si="75"/>
        <v>#REF!</v>
      </c>
      <c r="L210" s="6">
        <f t="shared" si="76"/>
        <v>0</v>
      </c>
      <c r="M210" s="185"/>
      <c r="N210" s="20"/>
      <c r="O210" s="215"/>
      <c r="U210" s="20"/>
      <c r="Y210" s="42"/>
    </row>
    <row r="211" spans="1:25" s="7" customFormat="1" ht="15">
      <c r="A211" s="21">
        <f t="shared" si="74"/>
        <v>204</v>
      </c>
      <c r="B211" t="s">
        <v>2728</v>
      </c>
      <c r="C211" t="s">
        <v>2729</v>
      </c>
      <c r="D211" s="227" t="e">
        <f>+#REF!</f>
        <v>#REF!</v>
      </c>
      <c r="E211" s="198" t="s">
        <v>862</v>
      </c>
      <c r="F211" s="22" t="str">
        <f>IFERROR(VLOOKUP($E211,Casilleros!$A$4:$I$830,4,FALSE),"")</f>
        <v>GASTOS POR DEPRECIACIONES</v>
      </c>
      <c r="G211" s="22" t="str">
        <f>IFERROR(VLOOKUP($E211,Casilleros!$A$4:$I$830,9,FALSE),"")</f>
        <v>DEL COSTO HISTÓRICO DE PROPIEDADES, PLANTA Y EQUIPO_No acelerada___Gasto</v>
      </c>
      <c r="H211" s="22" t="str">
        <f>IFERROR(VLOOKUP($E211,Casilleros!$A$4:$J$830,10,FALSE),"")</f>
        <v>Gastos por depreciaciones_Gasto</v>
      </c>
      <c r="I211" s="6" t="e">
        <f>SUMIF(#REF!,$B211,#REF!)</f>
        <v>#REF!</v>
      </c>
      <c r="J211" s="6" t="e">
        <f>SUMIF(#REF!,$B211,#REF!)</f>
        <v>#REF!</v>
      </c>
      <c r="K211" s="6" t="e">
        <f t="shared" si="75"/>
        <v>#REF!</v>
      </c>
      <c r="L211" s="6">
        <f t="shared" si="76"/>
        <v>0</v>
      </c>
      <c r="M211" s="185"/>
      <c r="N211" s="20"/>
      <c r="O211" s="215"/>
      <c r="U211" s="20"/>
      <c r="Y211" s="42"/>
    </row>
    <row r="212" spans="1:25" s="7" customFormat="1" ht="15">
      <c r="A212" s="21">
        <f t="shared" si="74"/>
        <v>205</v>
      </c>
      <c r="B212" t="s">
        <v>2478</v>
      </c>
      <c r="C212" t="s">
        <v>2544</v>
      </c>
      <c r="D212" s="227" t="e">
        <f>+#REF!</f>
        <v>#REF!</v>
      </c>
      <c r="E212" s="198" t="s">
        <v>862</v>
      </c>
      <c r="F212" s="22" t="str">
        <f>IFERROR(VLOOKUP($E212,Casilleros!$A$4:$I$830,4,FALSE),"")</f>
        <v>GASTOS POR DEPRECIACIONES</v>
      </c>
      <c r="G212" s="22" t="str">
        <f>IFERROR(VLOOKUP($E212,Casilleros!$A$4:$I$830,9,FALSE),"")</f>
        <v>DEL COSTO HISTÓRICO DE PROPIEDADES, PLANTA Y EQUIPO_No acelerada___Gasto</v>
      </c>
      <c r="H212" s="22" t="str">
        <f>IFERROR(VLOOKUP($E212,Casilleros!$A$4:$J$830,10,FALSE),"")</f>
        <v>Gastos por depreciaciones_Gasto</v>
      </c>
      <c r="I212" s="6" t="e">
        <f>SUMIF(#REF!,$B212,#REF!)</f>
        <v>#REF!</v>
      </c>
      <c r="J212" s="6" t="e">
        <f>SUMIF(#REF!,$B212,#REF!)</f>
        <v>#REF!</v>
      </c>
      <c r="K212" s="6" t="e">
        <f t="shared" si="75"/>
        <v>#REF!</v>
      </c>
      <c r="L212" s="6">
        <f t="shared" si="76"/>
        <v>0</v>
      </c>
      <c r="M212" s="185"/>
      <c r="N212" s="20"/>
      <c r="O212" s="215"/>
      <c r="U212" s="20"/>
      <c r="Y212" s="42"/>
    </row>
    <row r="213" spans="1:25" s="7" customFormat="1" ht="15">
      <c r="A213" s="21">
        <f t="shared" si="74"/>
        <v>206</v>
      </c>
      <c r="B213" t="s">
        <v>2479</v>
      </c>
      <c r="C213" t="s">
        <v>2545</v>
      </c>
      <c r="D213" s="227" t="e">
        <f>+#REF!</f>
        <v>#REF!</v>
      </c>
      <c r="E213" s="198" t="s">
        <v>862</v>
      </c>
      <c r="F213" s="22" t="str">
        <f>IFERROR(VLOOKUP($E213,Casilleros!$A$4:$I$830,4,FALSE),"")</f>
        <v>GASTOS POR DEPRECIACIONES</v>
      </c>
      <c r="G213" s="22" t="str">
        <f>IFERROR(VLOOKUP($E213,Casilleros!$A$4:$I$830,9,FALSE),"")</f>
        <v>DEL COSTO HISTÓRICO DE PROPIEDADES, PLANTA Y EQUIPO_No acelerada___Gasto</v>
      </c>
      <c r="H213" s="22" t="str">
        <f>IFERROR(VLOOKUP($E213,Casilleros!$A$4:$J$830,10,FALSE),"")</f>
        <v>Gastos por depreciaciones_Gasto</v>
      </c>
      <c r="I213" s="6" t="e">
        <f>SUMIF(#REF!,$B213,#REF!)</f>
        <v>#REF!</v>
      </c>
      <c r="J213" s="6" t="e">
        <f>SUMIF(#REF!,$B213,#REF!)</f>
        <v>#REF!</v>
      </c>
      <c r="K213" s="6" t="e">
        <f t="shared" si="75"/>
        <v>#REF!</v>
      </c>
      <c r="L213" s="6">
        <f t="shared" si="76"/>
        <v>0</v>
      </c>
      <c r="M213" s="185"/>
      <c r="N213" s="20"/>
      <c r="O213" s="215"/>
      <c r="U213" s="20"/>
      <c r="Y213" s="42"/>
    </row>
    <row r="214" spans="1:25" s="7" customFormat="1" ht="15">
      <c r="A214" s="21">
        <f t="shared" si="74"/>
        <v>207</v>
      </c>
      <c r="B214" t="s">
        <v>2480</v>
      </c>
      <c r="C214" t="s">
        <v>2546</v>
      </c>
      <c r="D214" s="227" t="e">
        <f>+#REF!</f>
        <v>#REF!</v>
      </c>
      <c r="E214" s="198" t="s">
        <v>862</v>
      </c>
      <c r="F214" s="22" t="str">
        <f>IFERROR(VLOOKUP($E214,Casilleros!$A$4:$I$830,4,FALSE),"")</f>
        <v>GASTOS POR DEPRECIACIONES</v>
      </c>
      <c r="G214" s="22" t="str">
        <f>IFERROR(VLOOKUP($E214,Casilleros!$A$4:$I$830,9,FALSE),"")</f>
        <v>DEL COSTO HISTÓRICO DE PROPIEDADES, PLANTA Y EQUIPO_No acelerada___Gasto</v>
      </c>
      <c r="H214" s="22" t="str">
        <f>IFERROR(VLOOKUP($E214,Casilleros!$A$4:$J$830,10,FALSE),"")</f>
        <v>Gastos por depreciaciones_Gasto</v>
      </c>
      <c r="I214" s="6" t="e">
        <f>SUMIF(#REF!,$B214,#REF!)</f>
        <v>#REF!</v>
      </c>
      <c r="J214" s="6" t="e">
        <f>SUMIF(#REF!,$B214,#REF!)</f>
        <v>#REF!</v>
      </c>
      <c r="K214" s="6" t="e">
        <f t="shared" si="75"/>
        <v>#REF!</v>
      </c>
      <c r="L214" s="6">
        <f t="shared" si="76"/>
        <v>0</v>
      </c>
      <c r="M214" s="185"/>
      <c r="N214" s="20"/>
      <c r="O214" s="215"/>
      <c r="U214" s="20"/>
      <c r="Y214" s="42"/>
    </row>
    <row r="215" spans="1:25" s="7" customFormat="1" ht="15">
      <c r="A215" s="21">
        <f t="shared" si="74"/>
        <v>208</v>
      </c>
      <c r="B215" t="s">
        <v>2481</v>
      </c>
      <c r="C215" t="s">
        <v>2547</v>
      </c>
      <c r="D215" s="227" t="e">
        <f>+#REF!</f>
        <v>#REF!</v>
      </c>
      <c r="E215" s="198" t="s">
        <v>862</v>
      </c>
      <c r="F215" s="22" t="str">
        <f>IFERROR(VLOOKUP($E215,Casilleros!$A$4:$I$830,4,FALSE),"")</f>
        <v>GASTOS POR DEPRECIACIONES</v>
      </c>
      <c r="G215" s="22" t="str">
        <f>IFERROR(VLOOKUP($E215,Casilleros!$A$4:$I$830,9,FALSE),"")</f>
        <v>DEL COSTO HISTÓRICO DE PROPIEDADES, PLANTA Y EQUIPO_No acelerada___Gasto</v>
      </c>
      <c r="H215" s="22" t="str">
        <f>IFERROR(VLOOKUP($E215,Casilleros!$A$4:$J$830,10,FALSE),"")</f>
        <v>Gastos por depreciaciones_Gasto</v>
      </c>
      <c r="I215" s="6" t="e">
        <f>SUMIF(#REF!,$B215,#REF!)</f>
        <v>#REF!</v>
      </c>
      <c r="J215" s="6" t="e">
        <f>SUMIF(#REF!,$B215,#REF!)</f>
        <v>#REF!</v>
      </c>
      <c r="K215" s="6" t="e">
        <f t="shared" si="75"/>
        <v>#REF!</v>
      </c>
      <c r="L215" s="6">
        <f t="shared" si="76"/>
        <v>0</v>
      </c>
      <c r="M215" s="185"/>
      <c r="N215" s="20"/>
      <c r="O215" s="215"/>
      <c r="U215" s="20"/>
      <c r="Y215" s="42"/>
    </row>
    <row r="216" spans="1:25" s="7" customFormat="1" ht="15">
      <c r="A216" s="21">
        <f t="shared" si="74"/>
        <v>209</v>
      </c>
      <c r="B216" t="s">
        <v>2482</v>
      </c>
      <c r="C216" t="s">
        <v>2548</v>
      </c>
      <c r="D216" s="227" t="e">
        <f>+#REF!</f>
        <v>#REF!</v>
      </c>
      <c r="E216" s="198" t="s">
        <v>862</v>
      </c>
      <c r="F216" s="22" t="str">
        <f>IFERROR(VLOOKUP($E216,Casilleros!$A$4:$I$830,4,FALSE),"")</f>
        <v>GASTOS POR DEPRECIACIONES</v>
      </c>
      <c r="G216" s="22" t="str">
        <f>IFERROR(VLOOKUP($E216,Casilleros!$A$4:$I$830,9,FALSE),"")</f>
        <v>DEL COSTO HISTÓRICO DE PROPIEDADES, PLANTA Y EQUIPO_No acelerada___Gasto</v>
      </c>
      <c r="H216" s="22" t="str">
        <f>IFERROR(VLOOKUP($E216,Casilleros!$A$4:$J$830,10,FALSE),"")</f>
        <v>Gastos por depreciaciones_Gasto</v>
      </c>
      <c r="I216" s="6" t="e">
        <f>SUMIF(#REF!,$B216,#REF!)</f>
        <v>#REF!</v>
      </c>
      <c r="J216" s="6" t="e">
        <f>SUMIF(#REF!,$B216,#REF!)</f>
        <v>#REF!</v>
      </c>
      <c r="K216" s="6" t="e">
        <f t="shared" si="75"/>
        <v>#REF!</v>
      </c>
      <c r="L216" s="6">
        <f t="shared" si="76"/>
        <v>0</v>
      </c>
      <c r="M216" s="185"/>
      <c r="N216" s="20"/>
      <c r="O216" s="215"/>
      <c r="U216" s="20"/>
      <c r="Y216" s="42"/>
    </row>
    <row r="217" spans="1:25" s="7" customFormat="1" ht="15">
      <c r="A217" s="21">
        <f t="shared" si="74"/>
        <v>210</v>
      </c>
      <c r="B217" t="s">
        <v>2483</v>
      </c>
      <c r="C217" t="s">
        <v>2549</v>
      </c>
      <c r="D217" s="227" t="e">
        <f>+#REF!</f>
        <v>#REF!</v>
      </c>
      <c r="E217" s="198" t="s">
        <v>862</v>
      </c>
      <c r="F217" s="22" t="str">
        <f>IFERROR(VLOOKUP($E217,Casilleros!$A$4:$I$830,4,FALSE),"")</f>
        <v>GASTOS POR DEPRECIACIONES</v>
      </c>
      <c r="G217" s="22" t="str">
        <f>IFERROR(VLOOKUP($E217,Casilleros!$A$4:$I$830,9,FALSE),"")</f>
        <v>DEL COSTO HISTÓRICO DE PROPIEDADES, PLANTA Y EQUIPO_No acelerada___Gasto</v>
      </c>
      <c r="H217" s="22" t="str">
        <f>IFERROR(VLOOKUP($E217,Casilleros!$A$4:$J$830,10,FALSE),"")</f>
        <v>Gastos por depreciaciones_Gasto</v>
      </c>
      <c r="I217" s="6" t="e">
        <f>SUMIF(#REF!,$B217,#REF!)</f>
        <v>#REF!</v>
      </c>
      <c r="J217" s="6" t="e">
        <f>SUMIF(#REF!,$B217,#REF!)</f>
        <v>#REF!</v>
      </c>
      <c r="K217" s="6" t="e">
        <f t="shared" ref="K217" si="79">+D217+SUM(I217:J217)</f>
        <v>#REF!</v>
      </c>
      <c r="L217" s="6">
        <f t="shared" ref="L217" si="80">IF(E217="",K217,0)</f>
        <v>0</v>
      </c>
      <c r="M217" s="185"/>
      <c r="N217" s="20"/>
      <c r="O217" s="215"/>
      <c r="U217" s="20"/>
      <c r="Y217" s="42"/>
    </row>
    <row r="218" spans="1:25" s="7" customFormat="1" ht="15">
      <c r="A218" s="21">
        <f t="shared" si="74"/>
        <v>211</v>
      </c>
      <c r="B218" s="225" t="s">
        <v>2669</v>
      </c>
      <c r="C218" s="225" t="s">
        <v>2670</v>
      </c>
      <c r="D218" s="227" t="e">
        <f>+#REF!</f>
        <v>#REF!</v>
      </c>
      <c r="E218" s="198" t="s">
        <v>1058</v>
      </c>
      <c r="F218" s="22" t="str">
        <f>IFERROR(VLOOKUP($E218,Casilleros!$A$4:$I$830,4,FALSE),"")</f>
        <v>OTROS GASTOS</v>
      </c>
      <c r="G218" s="22" t="str">
        <f>IFERROR(VLOOKUP($E218,Casilleros!$A$4:$I$830,9,FALSE),"")</f>
        <v>OTROS GASTOS_Otros_Gasto</v>
      </c>
      <c r="H218" s="22" t="str">
        <f>IFERROR(VLOOKUP($E218,Casilleros!$A$4:$J$830,10,FALSE),"")</f>
        <v>Otros gastos_Gasto</v>
      </c>
      <c r="I218" s="6" t="e">
        <f>SUMIF(#REF!,$B218,#REF!)</f>
        <v>#REF!</v>
      </c>
      <c r="J218" s="6" t="e">
        <f>SUMIF(#REF!,$B218,#REF!)</f>
        <v>#REF!</v>
      </c>
      <c r="K218" s="6" t="e">
        <f t="shared" ref="K218" si="81">+D218+SUM(I218:J218)</f>
        <v>#REF!</v>
      </c>
      <c r="L218" s="6">
        <f t="shared" ref="L218" si="82">IF(E218="",K218,0)</f>
        <v>0</v>
      </c>
      <c r="M218" s="185"/>
      <c r="N218" s="20"/>
      <c r="O218" s="215"/>
      <c r="U218" s="20"/>
      <c r="Y218" s="42"/>
    </row>
    <row r="219" spans="1:25" s="7" customFormat="1" ht="15">
      <c r="A219" s="21">
        <f t="shared" si="74"/>
        <v>212</v>
      </c>
      <c r="B219" s="219" t="s">
        <v>2484</v>
      </c>
      <c r="C219" s="219" t="s">
        <v>2485</v>
      </c>
      <c r="D219" s="227"/>
      <c r="E219" s="198" t="s">
        <v>1058</v>
      </c>
      <c r="F219" s="22" t="str">
        <f>IFERROR(VLOOKUP($E219,Casilleros!$A$4:$I$830,4,FALSE),"")</f>
        <v>OTROS GASTOS</v>
      </c>
      <c r="G219" s="22" t="str">
        <f>IFERROR(VLOOKUP($E219,Casilleros!$A$4:$I$830,9,FALSE),"")</f>
        <v>OTROS GASTOS_Otros_Gasto</v>
      </c>
      <c r="H219" s="22" t="str">
        <f>IFERROR(VLOOKUP($E219,Casilleros!$A$4:$J$830,10,FALSE),"")</f>
        <v>Otros gastos_Gasto</v>
      </c>
      <c r="I219" s="6" t="e">
        <f>SUMIF(#REF!,$B219,#REF!)</f>
        <v>#REF!</v>
      </c>
      <c r="J219" s="6" t="e">
        <f>SUMIF(#REF!,$B219,#REF!)</f>
        <v>#REF!</v>
      </c>
      <c r="K219" s="6" t="e">
        <f t="shared" si="75"/>
        <v>#REF!</v>
      </c>
      <c r="L219" s="6">
        <f t="shared" si="76"/>
        <v>0</v>
      </c>
      <c r="M219" s="185"/>
      <c r="N219" s="20"/>
      <c r="O219" s="215"/>
      <c r="U219" s="20"/>
      <c r="Y219" s="42"/>
    </row>
    <row r="220" spans="1:25" s="7" customFormat="1" ht="15">
      <c r="A220" s="21">
        <f t="shared" si="74"/>
        <v>213</v>
      </c>
      <c r="B220" s="219" t="s">
        <v>2486</v>
      </c>
      <c r="C220" s="219" t="s">
        <v>2487</v>
      </c>
      <c r="D220" s="227" t="e">
        <f>+#REF!</f>
        <v>#REF!</v>
      </c>
      <c r="E220" s="198" t="s">
        <v>1058</v>
      </c>
      <c r="F220" s="22" t="str">
        <f>IFERROR(VLOOKUP($E220,Casilleros!$A$4:$I$830,4,FALSE),"")</f>
        <v>OTROS GASTOS</v>
      </c>
      <c r="G220" s="22" t="str">
        <f>IFERROR(VLOOKUP($E220,Casilleros!$A$4:$I$830,9,FALSE),"")</f>
        <v>OTROS GASTOS_Otros_Gasto</v>
      </c>
      <c r="H220" s="22" t="str">
        <f>IFERROR(VLOOKUP($E220,Casilleros!$A$4:$J$830,10,FALSE),"")</f>
        <v>Otros gastos_Gasto</v>
      </c>
      <c r="I220" s="6" t="e">
        <f>SUMIF(#REF!,$B220,#REF!)</f>
        <v>#REF!</v>
      </c>
      <c r="J220" s="6" t="e">
        <f>SUMIF(#REF!,$B220,#REF!)</f>
        <v>#REF!</v>
      </c>
      <c r="K220" s="6" t="e">
        <f t="shared" si="75"/>
        <v>#REF!</v>
      </c>
      <c r="L220" s="6">
        <f t="shared" si="76"/>
        <v>0</v>
      </c>
      <c r="M220" s="185"/>
      <c r="N220" s="20"/>
      <c r="O220" s="215"/>
      <c r="U220" s="20"/>
      <c r="Y220" s="42"/>
    </row>
    <row r="221" spans="1:25" s="7" customFormat="1" ht="15">
      <c r="A221" s="21">
        <f t="shared" si="74"/>
        <v>214</v>
      </c>
      <c r="B221" s="219" t="s">
        <v>2488</v>
      </c>
      <c r="C221" s="219" t="s">
        <v>2489</v>
      </c>
      <c r="D221" s="227" t="e">
        <f>+#REF!</f>
        <v>#REF!</v>
      </c>
      <c r="E221" s="198" t="s">
        <v>1058</v>
      </c>
      <c r="F221" s="22" t="str">
        <f>IFERROR(VLOOKUP($E221,Casilleros!$A$4:$I$830,4,FALSE),"")</f>
        <v>OTROS GASTOS</v>
      </c>
      <c r="G221" s="22" t="str">
        <f>IFERROR(VLOOKUP($E221,Casilleros!$A$4:$I$830,9,FALSE),"")</f>
        <v>OTROS GASTOS_Otros_Gasto</v>
      </c>
      <c r="H221" s="22" t="str">
        <f>IFERROR(VLOOKUP($E221,Casilleros!$A$4:$J$830,10,FALSE),"")</f>
        <v>Otros gastos_Gasto</v>
      </c>
      <c r="I221" s="6" t="e">
        <f>SUMIF(#REF!,$B221,#REF!)</f>
        <v>#REF!</v>
      </c>
      <c r="J221" s="6" t="e">
        <f>SUMIF(#REF!,$B221,#REF!)</f>
        <v>#REF!</v>
      </c>
      <c r="K221" s="6" t="e">
        <f t="shared" si="75"/>
        <v>#REF!</v>
      </c>
      <c r="L221" s="6">
        <f t="shared" si="76"/>
        <v>0</v>
      </c>
      <c r="M221" s="185"/>
      <c r="N221" s="20"/>
      <c r="O221" s="215"/>
      <c r="U221" s="20"/>
      <c r="Y221" s="42"/>
    </row>
    <row r="222" spans="1:25" s="7" customFormat="1" ht="15">
      <c r="A222" s="21">
        <f t="shared" si="74"/>
        <v>215</v>
      </c>
      <c r="B222" s="213" t="s">
        <v>2453</v>
      </c>
      <c r="C222" s="213" t="s">
        <v>2539</v>
      </c>
      <c r="D222" s="217"/>
      <c r="E222" s="180" t="s">
        <v>1058</v>
      </c>
      <c r="F222" s="22" t="str">
        <f>IFERROR(VLOOKUP($E222,Casilleros!$A$4:$I$830,4,FALSE),"")</f>
        <v>OTROS GASTOS</v>
      </c>
      <c r="G222" s="22" t="str">
        <f>IFERROR(VLOOKUP($E222,Casilleros!$A$4:$I$830,9,FALSE),"")</f>
        <v>OTROS GASTOS_Otros_Gasto</v>
      </c>
      <c r="H222" s="22" t="str">
        <f>IFERROR(VLOOKUP($E222,Casilleros!$A$4:$J$830,10,FALSE),"")</f>
        <v>Otros gastos_Gasto</v>
      </c>
      <c r="I222" s="6" t="e">
        <f>SUMIF(#REF!,$B222,#REF!)</f>
        <v>#REF!</v>
      </c>
      <c r="J222" s="6" t="e">
        <f>SUMIF(#REF!,$B222,#REF!)</f>
        <v>#REF!</v>
      </c>
      <c r="K222" s="6" t="e">
        <f t="shared" si="75"/>
        <v>#REF!</v>
      </c>
      <c r="L222" s="6">
        <f t="shared" si="76"/>
        <v>0</v>
      </c>
      <c r="M222" s="185"/>
      <c r="N222" s="20"/>
      <c r="O222" s="215"/>
      <c r="U222" s="20"/>
      <c r="Y222" s="42"/>
    </row>
    <row r="223" spans="1:25" s="7" customFormat="1" ht="15">
      <c r="A223" s="21">
        <f t="shared" si="74"/>
        <v>216</v>
      </c>
      <c r="B223" s="213" t="s">
        <v>2454</v>
      </c>
      <c r="C223" s="213" t="s">
        <v>2540</v>
      </c>
      <c r="D223" s="217"/>
      <c r="E223" s="180" t="s">
        <v>1058</v>
      </c>
      <c r="F223" s="22" t="str">
        <f>IFERROR(VLOOKUP($E223,Casilleros!$A$4:$I$830,4,FALSE),"")</f>
        <v>OTROS GASTOS</v>
      </c>
      <c r="G223" s="22" t="str">
        <f>IFERROR(VLOOKUP($E223,Casilleros!$A$4:$I$830,9,FALSE),"")</f>
        <v>OTROS GASTOS_Otros_Gasto</v>
      </c>
      <c r="H223" s="22" t="str">
        <f>IFERROR(VLOOKUP($E223,Casilleros!$A$4:$J$830,10,FALSE),"")</f>
        <v>Otros gastos_Gasto</v>
      </c>
      <c r="I223" s="6" t="e">
        <f>SUMIF(#REF!,$B223,#REF!)</f>
        <v>#REF!</v>
      </c>
      <c r="J223" s="6" t="e">
        <f>SUMIF(#REF!,$B223,#REF!)</f>
        <v>#REF!</v>
      </c>
      <c r="K223" s="6" t="e">
        <f t="shared" si="75"/>
        <v>#REF!</v>
      </c>
      <c r="L223" s="6">
        <f t="shared" si="76"/>
        <v>0</v>
      </c>
      <c r="M223" s="185"/>
      <c r="N223" s="20"/>
      <c r="O223" s="215"/>
      <c r="U223" s="20"/>
      <c r="Y223" s="42"/>
    </row>
    <row r="224" spans="1:25" s="7" customFormat="1" ht="15">
      <c r="A224" s="21">
        <f t="shared" si="74"/>
        <v>217</v>
      </c>
      <c r="B224" s="213" t="s">
        <v>2455</v>
      </c>
      <c r="C224" s="213" t="s">
        <v>2541</v>
      </c>
      <c r="D224" s="217"/>
      <c r="E224" s="180" t="s">
        <v>1058</v>
      </c>
      <c r="F224" s="22" t="str">
        <f>IFERROR(VLOOKUP($E224,Casilleros!$A$4:$I$830,4,FALSE),"")</f>
        <v>OTROS GASTOS</v>
      </c>
      <c r="G224" s="22" t="str">
        <f>IFERROR(VLOOKUP($E224,Casilleros!$A$4:$I$830,9,FALSE),"")</f>
        <v>OTROS GASTOS_Otros_Gasto</v>
      </c>
      <c r="H224" s="22" t="str">
        <f>IFERROR(VLOOKUP($E224,Casilleros!$A$4:$J$830,10,FALSE),"")</f>
        <v>Otros gastos_Gasto</v>
      </c>
      <c r="I224" s="6" t="e">
        <f>SUMIF(#REF!,$B224,#REF!)</f>
        <v>#REF!</v>
      </c>
      <c r="J224" s="6" t="e">
        <f>SUMIF(#REF!,$B224,#REF!)</f>
        <v>#REF!</v>
      </c>
      <c r="K224" s="6" t="e">
        <f t="shared" si="75"/>
        <v>#REF!</v>
      </c>
      <c r="L224" s="6">
        <f t="shared" si="76"/>
        <v>0</v>
      </c>
      <c r="M224" s="185"/>
      <c r="N224" s="20"/>
      <c r="O224" s="215"/>
      <c r="U224" s="20"/>
      <c r="Y224" s="42"/>
    </row>
    <row r="225" spans="1:25" s="7" customFormat="1" ht="15">
      <c r="A225" s="21">
        <f t="shared" si="74"/>
        <v>218</v>
      </c>
      <c r="B225" s="213" t="s">
        <v>2457</v>
      </c>
      <c r="C225" s="213" t="s">
        <v>2542</v>
      </c>
      <c r="D225" s="217"/>
      <c r="E225" s="180" t="s">
        <v>838</v>
      </c>
      <c r="F225" s="22" t="str">
        <f>IFERROR(VLOOKUP($E225,Casilleros!$A$4:$I$830,4,FALSE),"")</f>
        <v>GASTOS POR BENEFICIOS A LOS EMPLEADOS Y HONORARIOS</v>
      </c>
      <c r="G225" s="22" t="str">
        <f>IFERROR(VLOOKUP($E225,Casilleros!$A$4:$I$830,9,FALSE),"")</f>
        <v>GASTOS POR BENEFICIOS A LOS EMPLEADOS Y HONORARIOS_Honorarios profesionales y dietas_Gasto</v>
      </c>
      <c r="H225" s="22" t="str">
        <f>IFERROR(VLOOKUP($E225,Casilleros!$A$4:$J$830,10,FALSE),"")</f>
        <v>Gastos por beneficios a los empleados_Gasto</v>
      </c>
      <c r="I225" s="6" t="e">
        <f>SUMIF(#REF!,$B225,#REF!)</f>
        <v>#REF!</v>
      </c>
      <c r="J225" s="6" t="e">
        <f>SUMIF(#REF!,$B225,#REF!)</f>
        <v>#REF!</v>
      </c>
      <c r="K225" s="6" t="e">
        <f t="shared" si="75"/>
        <v>#REF!</v>
      </c>
      <c r="L225" s="6">
        <f t="shared" si="76"/>
        <v>0</v>
      </c>
      <c r="M225" s="185"/>
      <c r="N225" s="20"/>
      <c r="O225" s="215"/>
      <c r="U225" s="20"/>
      <c r="Y225" s="42"/>
    </row>
    <row r="226" spans="1:25" s="7" customFormat="1" ht="15">
      <c r="A226" s="21">
        <f t="shared" si="74"/>
        <v>219</v>
      </c>
      <c r="B226" s="213" t="s">
        <v>2458</v>
      </c>
      <c r="C226" s="213" t="s">
        <v>2543</v>
      </c>
      <c r="D226" s="218"/>
      <c r="E226" s="200" t="s">
        <v>1058</v>
      </c>
      <c r="F226" s="22" t="str">
        <f>IFERROR(VLOOKUP($E226,Casilleros!$A$4:$I$830,4,FALSE),"")</f>
        <v>OTROS GASTOS</v>
      </c>
      <c r="G226" s="22" t="str">
        <f>IFERROR(VLOOKUP($E226,Casilleros!$A$4:$I$830,9,FALSE),"")</f>
        <v>OTROS GASTOS_Otros_Gasto</v>
      </c>
      <c r="H226" s="22" t="str">
        <f>IFERROR(VLOOKUP($E226,Casilleros!$A$4:$J$830,10,FALSE),"")</f>
        <v>Otros gastos_Gasto</v>
      </c>
      <c r="I226" s="6" t="e">
        <f>SUMIF(#REF!,$B226,#REF!)</f>
        <v>#REF!</v>
      </c>
      <c r="J226" s="6" t="e">
        <f>SUMIF(#REF!,$B226,#REF!)</f>
        <v>#REF!</v>
      </c>
      <c r="K226" s="6" t="e">
        <f t="shared" si="75"/>
        <v>#REF!</v>
      </c>
      <c r="L226" s="6">
        <f t="shared" si="76"/>
        <v>0</v>
      </c>
      <c r="M226" s="185"/>
      <c r="N226" s="20"/>
      <c r="O226" s="215"/>
      <c r="U226" s="20"/>
      <c r="Y226" s="42"/>
    </row>
    <row r="227" spans="1:25" s="7" customFormat="1" ht="15">
      <c r="A227" s="21">
        <f t="shared" si="74"/>
        <v>220</v>
      </c>
      <c r="B227" s="219" t="s">
        <v>2459</v>
      </c>
      <c r="C227" s="219" t="s">
        <v>2460</v>
      </c>
      <c r="D227" s="214"/>
      <c r="E227" s="198" t="s">
        <v>982</v>
      </c>
      <c r="F227" s="22" t="str">
        <f>IFERROR(VLOOKUP($E227,Casilleros!$A$4:$I$830,4,FALSE),"")</f>
        <v>OTROS GASTOS</v>
      </c>
      <c r="G227" s="22" t="str">
        <f>IFERROR(VLOOKUP($E227,Casilleros!$A$4:$I$830,9,FALSE),"")</f>
        <v>OTROS GASTOS_Gastos de viaje_Gasto</v>
      </c>
      <c r="H227" s="22" t="str">
        <f>IFERROR(VLOOKUP($E227,Casilleros!$A$4:$J$830,10,FALSE),"")</f>
        <v>Otros gastos_Gasto</v>
      </c>
      <c r="I227" s="6" t="e">
        <f>SUMIF(#REF!,$B227,#REF!)</f>
        <v>#REF!</v>
      </c>
      <c r="J227" s="6" t="e">
        <f>SUMIF(#REF!,$B227,#REF!)</f>
        <v>#REF!</v>
      </c>
      <c r="K227" s="6" t="e">
        <f t="shared" si="75"/>
        <v>#REF!</v>
      </c>
      <c r="L227" s="6">
        <f t="shared" si="76"/>
        <v>0</v>
      </c>
      <c r="M227" s="185"/>
      <c r="N227" s="20"/>
      <c r="O227" s="215"/>
      <c r="U227" s="20"/>
      <c r="Y227" s="42"/>
    </row>
    <row r="228" spans="1:25" s="7" customFormat="1" ht="15">
      <c r="A228" s="21">
        <f t="shared" si="74"/>
        <v>221</v>
      </c>
      <c r="B228" t="s">
        <v>2673</v>
      </c>
      <c r="C228" t="s">
        <v>2674</v>
      </c>
      <c r="D228" s="233" t="e">
        <f>+#REF!</f>
        <v>#REF!</v>
      </c>
      <c r="E228" s="198" t="s">
        <v>1058</v>
      </c>
      <c r="F228" s="22" t="str">
        <f>IFERROR(VLOOKUP($E228,Casilleros!$A$4:$I$830,4,FALSE),"")</f>
        <v>OTROS GASTOS</v>
      </c>
      <c r="G228" s="22" t="str">
        <f>IFERROR(VLOOKUP($E228,Casilleros!$A$4:$I$830,9,FALSE),"")</f>
        <v>OTROS GASTOS_Otros_Gasto</v>
      </c>
      <c r="H228" s="22" t="str">
        <f>IFERROR(VLOOKUP($E228,Casilleros!$A$4:$J$830,10,FALSE),"")</f>
        <v>Otros gastos_Gasto</v>
      </c>
      <c r="I228" s="6" t="e">
        <f>SUMIF(#REF!,$B228,#REF!)</f>
        <v>#REF!</v>
      </c>
      <c r="J228" s="6" t="e">
        <f>SUMIF(#REF!,$B228,#REF!)</f>
        <v>#REF!</v>
      </c>
      <c r="K228" s="6" t="e">
        <f t="shared" si="75"/>
        <v>#REF!</v>
      </c>
      <c r="L228" s="6">
        <f t="shared" si="76"/>
        <v>0</v>
      </c>
      <c r="M228" s="185"/>
      <c r="N228" s="20"/>
      <c r="O228" s="215"/>
      <c r="U228" s="20"/>
      <c r="Y228" s="42"/>
    </row>
    <row r="229" spans="1:25" s="7" customFormat="1" ht="15">
      <c r="A229" s="21">
        <f t="shared" si="74"/>
        <v>222</v>
      </c>
      <c r="B229" t="s">
        <v>2621</v>
      </c>
      <c r="C229" t="s">
        <v>2622</v>
      </c>
      <c r="D229" s="233" t="e">
        <f>+#REF!</f>
        <v>#REF!</v>
      </c>
      <c r="E229" s="198" t="s">
        <v>1058</v>
      </c>
      <c r="F229" s="22" t="str">
        <f>IFERROR(VLOOKUP($E229,Casilleros!$A$4:$I$830,4,FALSE),"")</f>
        <v>OTROS GASTOS</v>
      </c>
      <c r="G229" s="22" t="str">
        <f>IFERROR(VLOOKUP($E229,Casilleros!$A$4:$I$830,9,FALSE),"")</f>
        <v>OTROS GASTOS_Otros_Gasto</v>
      </c>
      <c r="H229" s="22" t="str">
        <f>IFERROR(VLOOKUP($E229,Casilleros!$A$4:$J$830,10,FALSE),"")</f>
        <v>Otros gastos_Gasto</v>
      </c>
      <c r="I229" s="6" t="e">
        <f>SUMIF(#REF!,$B229,#REF!)</f>
        <v>#REF!</v>
      </c>
      <c r="J229" s="6" t="e">
        <f>SUMIF(#REF!,$B229,#REF!)</f>
        <v>#REF!</v>
      </c>
      <c r="K229" s="6" t="e">
        <f t="shared" ref="K229:K231" si="83">+D229+SUM(I229:J229)</f>
        <v>#REF!</v>
      </c>
      <c r="L229" s="6">
        <f t="shared" ref="L229:L231" si="84">IF(E229="",K229,0)</f>
        <v>0</v>
      </c>
      <c r="M229" s="185"/>
      <c r="N229" s="20"/>
      <c r="O229" s="215"/>
      <c r="U229" s="20"/>
      <c r="Y229" s="42"/>
    </row>
    <row r="230" spans="1:25" s="7" customFormat="1" ht="15">
      <c r="A230" s="21">
        <f t="shared" si="74"/>
        <v>223</v>
      </c>
      <c r="B230" t="s">
        <v>2490</v>
      </c>
      <c r="C230" t="s">
        <v>2550</v>
      </c>
      <c r="D230" s="233" t="e">
        <f>+#REF!</f>
        <v>#REF!</v>
      </c>
      <c r="E230" s="198" t="s">
        <v>1058</v>
      </c>
      <c r="F230" s="22" t="str">
        <f>IFERROR(VLOOKUP($E230,Casilleros!$A$4:$I$830,4,FALSE),"")</f>
        <v>OTROS GASTOS</v>
      </c>
      <c r="G230" s="22" t="str">
        <f>IFERROR(VLOOKUP($E230,Casilleros!$A$4:$I$830,9,FALSE),"")</f>
        <v>OTROS GASTOS_Otros_Gasto</v>
      </c>
      <c r="H230" s="22" t="str">
        <f>IFERROR(VLOOKUP($E230,Casilleros!$A$4:$J$830,10,FALSE),"")</f>
        <v>Otros gastos_Gasto</v>
      </c>
      <c r="I230" s="6" t="e">
        <f>SUMIF(#REF!,$B230,#REF!)</f>
        <v>#REF!</v>
      </c>
      <c r="J230" s="6" t="e">
        <f>SUMIF(#REF!,$B230,#REF!)</f>
        <v>#REF!</v>
      </c>
      <c r="K230" s="6" t="e">
        <f t="shared" si="83"/>
        <v>#REF!</v>
      </c>
      <c r="L230" s="6">
        <f t="shared" si="84"/>
        <v>0</v>
      </c>
      <c r="M230" s="185"/>
      <c r="N230" s="20"/>
      <c r="O230" s="215"/>
      <c r="U230" s="20"/>
      <c r="Y230" s="42"/>
    </row>
    <row r="231" spans="1:25" s="7" customFormat="1" ht="15">
      <c r="A231" s="21">
        <f t="shared" si="74"/>
        <v>224</v>
      </c>
      <c r="B231" t="s">
        <v>2491</v>
      </c>
      <c r="C231" t="s">
        <v>2551</v>
      </c>
      <c r="D231" s="233" t="e">
        <f>+#REF!</f>
        <v>#REF!</v>
      </c>
      <c r="E231" s="198" t="s">
        <v>1058</v>
      </c>
      <c r="F231" s="22" t="str">
        <f>IFERROR(VLOOKUP($E231,Casilleros!$A$4:$I$830,4,FALSE),"")</f>
        <v>OTROS GASTOS</v>
      </c>
      <c r="G231" s="22" t="str">
        <f>IFERROR(VLOOKUP($E231,Casilleros!$A$4:$I$830,9,FALSE),"")</f>
        <v>OTROS GASTOS_Otros_Gasto</v>
      </c>
      <c r="H231" s="22" t="str">
        <f>IFERROR(VLOOKUP($E231,Casilleros!$A$4:$J$830,10,FALSE),"")</f>
        <v>Otros gastos_Gasto</v>
      </c>
      <c r="I231" s="6" t="e">
        <f>SUMIF(#REF!,$B231,#REF!)</f>
        <v>#REF!</v>
      </c>
      <c r="J231" s="6" t="e">
        <f>SUMIF(#REF!,$B231,#REF!)</f>
        <v>#REF!</v>
      </c>
      <c r="K231" s="6" t="e">
        <f t="shared" si="83"/>
        <v>#REF!</v>
      </c>
      <c r="L231" s="6">
        <f t="shared" si="84"/>
        <v>0</v>
      </c>
      <c r="M231" s="185"/>
      <c r="N231" s="20"/>
      <c r="O231" s="215"/>
      <c r="U231" s="20"/>
      <c r="Y231" s="42"/>
    </row>
    <row r="232" spans="1:25" s="7" customFormat="1" ht="15">
      <c r="A232" s="21">
        <f t="shared" si="74"/>
        <v>225</v>
      </c>
      <c r="B232" s="202"/>
      <c r="C232" s="202"/>
      <c r="D232" s="227"/>
      <c r="E232" s="198" t="s">
        <v>1058</v>
      </c>
      <c r="F232" s="22" t="str">
        <f>IFERROR(VLOOKUP($E232,Casilleros!$A$4:$I$830,4,FALSE),"")</f>
        <v>OTROS GASTOS</v>
      </c>
      <c r="G232" s="22" t="str">
        <f>IFERROR(VLOOKUP($E232,Casilleros!$A$4:$I$830,9,FALSE),"")</f>
        <v>OTROS GASTOS_Otros_Gasto</v>
      </c>
      <c r="H232" s="22" t="str">
        <f>IFERROR(VLOOKUP($E232,Casilleros!$A$4:$J$830,10,FALSE),"")</f>
        <v>Otros gastos_Gasto</v>
      </c>
      <c r="I232" s="6" t="e">
        <f>SUMIF(#REF!,$B232,#REF!)</f>
        <v>#REF!</v>
      </c>
      <c r="J232" s="6" t="e">
        <f>SUMIF(#REF!,$B232,#REF!)</f>
        <v>#REF!</v>
      </c>
      <c r="K232" s="6" t="e">
        <f t="shared" si="75"/>
        <v>#REF!</v>
      </c>
      <c r="L232" s="6">
        <f t="shared" si="76"/>
        <v>0</v>
      </c>
      <c r="M232" s="185"/>
      <c r="N232" s="20"/>
      <c r="O232" s="215"/>
      <c r="U232" s="20"/>
      <c r="Y232" s="42"/>
    </row>
    <row r="233" spans="1:25" s="7" customFormat="1" ht="15">
      <c r="A233" s="21">
        <f t="shared" si="74"/>
        <v>226</v>
      </c>
      <c r="B233" s="202"/>
      <c r="C233" s="202"/>
      <c r="D233" s="227"/>
      <c r="E233" s="198" t="s">
        <v>1058</v>
      </c>
      <c r="F233" s="22" t="str">
        <f>IFERROR(VLOOKUP($E233,Casilleros!$A$4:$I$830,4,FALSE),"")</f>
        <v>OTROS GASTOS</v>
      </c>
      <c r="G233" s="22" t="str">
        <f>IFERROR(VLOOKUP($E233,Casilleros!$A$4:$I$830,9,FALSE),"")</f>
        <v>OTROS GASTOS_Otros_Gasto</v>
      </c>
      <c r="H233" s="22" t="str">
        <f>IFERROR(VLOOKUP($E233,Casilleros!$A$4:$J$830,10,FALSE),"")</f>
        <v>Otros gastos_Gasto</v>
      </c>
      <c r="I233" s="6" t="e">
        <f>SUMIF(#REF!,$B233,#REF!)</f>
        <v>#REF!</v>
      </c>
      <c r="J233" s="6" t="e">
        <f>SUMIF(#REF!,$B233,#REF!)</f>
        <v>#REF!</v>
      </c>
      <c r="K233" s="6" t="e">
        <f t="shared" si="75"/>
        <v>#REF!</v>
      </c>
      <c r="L233" s="6">
        <f t="shared" si="76"/>
        <v>0</v>
      </c>
      <c r="M233" s="185"/>
      <c r="N233" s="20"/>
      <c r="O233" s="215"/>
      <c r="U233" s="20"/>
      <c r="Y233" s="42"/>
    </row>
    <row r="234" spans="1:25" s="7" customFormat="1" ht="15">
      <c r="A234" s="21">
        <f t="shared" si="74"/>
        <v>227</v>
      </c>
      <c r="B234" s="225" t="s">
        <v>2492</v>
      </c>
      <c r="C234" s="225" t="s">
        <v>2552</v>
      </c>
      <c r="D234" s="227" t="e">
        <f>+#REF!</f>
        <v>#REF!</v>
      </c>
      <c r="E234" s="198" t="s">
        <v>846</v>
      </c>
      <c r="F234" s="22" t="str">
        <f>IFERROR(VLOOKUP($E234,Casilleros!$A$4:$I$830,4,FALSE),"")</f>
        <v>GASTOS POR BENEFICIOS A LOS EMPLEADOS Y HONORARIOS</v>
      </c>
      <c r="G234" s="22" t="str">
        <f>IFERROR(VLOOKUP($E234,Casilleros!$A$4:$I$830,9,FALSE),"")</f>
        <v>GASTOS POR BENEFICIOS A LOS EMPLEADOS Y HONORARIOS_Jubilación patronal_Gasto</v>
      </c>
      <c r="H234" s="22" t="str">
        <f>IFERROR(VLOOKUP($E234,Casilleros!$A$4:$J$830,10,FALSE),"")</f>
        <v>Gastos por beneficios a los empleados_Gasto</v>
      </c>
      <c r="I234" s="6" t="e">
        <f>SUMIF(#REF!,$B234,#REF!)</f>
        <v>#REF!</v>
      </c>
      <c r="J234" s="6" t="e">
        <f>SUMIF(#REF!,$B234,#REF!)</f>
        <v>#REF!</v>
      </c>
      <c r="K234" s="6" t="e">
        <f t="shared" si="75"/>
        <v>#REF!</v>
      </c>
      <c r="L234" s="6">
        <f t="shared" si="76"/>
        <v>0</v>
      </c>
      <c r="M234" s="185"/>
      <c r="N234" s="20"/>
      <c r="O234" s="215"/>
      <c r="U234" s="20"/>
      <c r="Y234" s="42"/>
    </row>
    <row r="235" spans="1:25" s="7" customFormat="1" ht="15">
      <c r="A235" s="21">
        <f t="shared" si="74"/>
        <v>228</v>
      </c>
      <c r="B235" s="225" t="e">
        <f>+#REF!</f>
        <v>#REF!</v>
      </c>
      <c r="C235" s="225" t="e">
        <f>+#REF!</f>
        <v>#REF!</v>
      </c>
      <c r="D235" s="227" t="e">
        <f>+#REF!</f>
        <v>#REF!</v>
      </c>
      <c r="E235" s="198" t="s">
        <v>862</v>
      </c>
      <c r="F235" s="22" t="str">
        <f>IFERROR(VLOOKUP($E235,Casilleros!$A$4:$I$830,4,FALSE),"")</f>
        <v>GASTOS POR DEPRECIACIONES</v>
      </c>
      <c r="G235" s="22" t="str">
        <f>IFERROR(VLOOKUP($E235,Casilleros!$A$4:$I$830,9,FALSE),"")</f>
        <v>DEL COSTO HISTÓRICO DE PROPIEDADES, PLANTA Y EQUIPO_No acelerada___Gasto</v>
      </c>
      <c r="H235" s="22" t="str">
        <f>IFERROR(VLOOKUP($E235,Casilleros!$A$4:$J$830,10,FALSE),"")</f>
        <v>Gastos por depreciaciones_Gasto</v>
      </c>
      <c r="I235" s="6" t="e">
        <f>SUMIF(#REF!,$B235,#REF!)</f>
        <v>#REF!</v>
      </c>
      <c r="J235" s="6" t="e">
        <f>SUMIF(#REF!,$B235,#REF!)</f>
        <v>#REF!</v>
      </c>
      <c r="K235" s="6" t="e">
        <f t="shared" ref="K235" si="85">+D235+SUM(I235:J235)</f>
        <v>#REF!</v>
      </c>
      <c r="L235" s="6">
        <f t="shared" ref="L235" si="86">IF(E235="",K235,0)</f>
        <v>0</v>
      </c>
      <c r="M235" s="185"/>
      <c r="N235" s="20"/>
      <c r="O235" s="215"/>
      <c r="U235" s="20"/>
      <c r="Y235" s="42"/>
    </row>
    <row r="236" spans="1:25" s="7" customFormat="1" ht="15">
      <c r="A236" s="21">
        <f t="shared" si="74"/>
        <v>229</v>
      </c>
      <c r="B236" s="225" t="s">
        <v>2493</v>
      </c>
      <c r="C236" s="225" t="s">
        <v>2553</v>
      </c>
      <c r="D236" s="227" t="e">
        <f>+#REF!</f>
        <v>#REF!</v>
      </c>
      <c r="E236" s="198" t="s">
        <v>849</v>
      </c>
      <c r="F236" s="22" t="str">
        <f>IFERROR(VLOOKUP($E236,Casilleros!$A$4:$I$830,4,FALSE),"")</f>
        <v>GASTOS POR BENEFICIOS A LOS EMPLEADOS Y HONORARIOS</v>
      </c>
      <c r="G236" s="22" t="str">
        <f>IFERROR(VLOOKUP($E236,Casilleros!$A$4:$I$830,9,FALSE),"")</f>
        <v>GASTOS POR BENEFICIOS A LOS EMPLEADOS Y HONORARIOS_Desahucio_Gasto</v>
      </c>
      <c r="H236" s="22" t="str">
        <f>IFERROR(VLOOKUP($E236,Casilleros!$A$4:$J$830,10,FALSE),"")</f>
        <v>Gastos por beneficios a los empleados_Gasto</v>
      </c>
      <c r="I236" s="6" t="e">
        <f>SUMIF(#REF!,$B236,#REF!)</f>
        <v>#REF!</v>
      </c>
      <c r="J236" s="6" t="e">
        <f>SUMIF(#REF!,$B236,#REF!)</f>
        <v>#REF!</v>
      </c>
      <c r="K236" s="6" t="e">
        <f t="shared" si="75"/>
        <v>#REF!</v>
      </c>
      <c r="L236" s="6">
        <f t="shared" si="76"/>
        <v>0</v>
      </c>
      <c r="M236" s="185"/>
      <c r="N236" s="20"/>
      <c r="O236" s="215"/>
      <c r="U236" s="20"/>
      <c r="Y236" s="42"/>
    </row>
    <row r="237" spans="1:25" s="7" customFormat="1" ht="15">
      <c r="A237" s="21">
        <f t="shared" si="74"/>
        <v>230</v>
      </c>
      <c r="B237" s="225" t="s">
        <v>2494</v>
      </c>
      <c r="C237" s="225" t="s">
        <v>2554</v>
      </c>
      <c r="D237" s="227" t="e">
        <f>+#REF!</f>
        <v>#REF!</v>
      </c>
      <c r="E237" s="180" t="s">
        <v>1058</v>
      </c>
      <c r="F237" s="22" t="str">
        <f>IFERROR(VLOOKUP($E237,Casilleros!$A$4:$I$830,4,FALSE),"")</f>
        <v>OTROS GASTOS</v>
      </c>
      <c r="G237" s="22" t="str">
        <f>IFERROR(VLOOKUP($E237,Casilleros!$A$4:$I$830,9,FALSE),"")</f>
        <v>OTROS GASTOS_Otros_Gasto</v>
      </c>
      <c r="H237" s="22" t="str">
        <f>IFERROR(VLOOKUP($E237,Casilleros!$A$4:$J$830,10,FALSE),"")</f>
        <v>Otros gastos_Gasto</v>
      </c>
      <c r="I237" s="6" t="e">
        <f>SUMIF(#REF!,$B237,#REF!)</f>
        <v>#REF!</v>
      </c>
      <c r="J237" s="6" t="e">
        <f>SUMIF(#REF!,$B237,#REF!)</f>
        <v>#REF!</v>
      </c>
      <c r="K237" s="6" t="e">
        <f t="shared" si="75"/>
        <v>#REF!</v>
      </c>
      <c r="L237" s="6">
        <f t="shared" si="76"/>
        <v>0</v>
      </c>
      <c r="M237" s="185"/>
      <c r="N237" s="20"/>
      <c r="O237" s="215"/>
      <c r="U237" s="20"/>
      <c r="Y237" s="42"/>
    </row>
    <row r="238" spans="1:25" s="7" customFormat="1" ht="15">
      <c r="A238" s="21">
        <f t="shared" si="74"/>
        <v>231</v>
      </c>
      <c r="B238" s="225" t="s">
        <v>2495</v>
      </c>
      <c r="C238" s="225" t="s">
        <v>2555</v>
      </c>
      <c r="D238" s="227" t="e">
        <f>+#REF!</f>
        <v>#REF!</v>
      </c>
      <c r="E238" s="180" t="s">
        <v>1075</v>
      </c>
      <c r="F238" s="22" t="str">
        <f>IFERROR(VLOOKUP($E238,Casilleros!$A$4:$I$830,4,FALSE),"")</f>
        <v>GASTOS FINANCIEROS Y OTROS  NO OPERACIONALES</v>
      </c>
      <c r="G238" s="22" t="str">
        <f>IFERROR(VLOOKUP($E238,Casilleros!$A$4:$I$830,9,FALSE),"")</f>
        <v>GASTOS FINANCIEROS_COSTOS DE TRANSACCIÓN (COMISIONES BANCARIAS, HONORARIOS, TASAS, ENTRE OTROS)_NO RELACIONADAS_Local_Gasto</v>
      </c>
      <c r="H238" s="22" t="str">
        <f>IFERROR(VLOOKUP($E238,Casilleros!$A$4:$J$830,10,FALSE),"")</f>
        <v>Gastos financieros y otros no operacionales</v>
      </c>
      <c r="I238" s="6" t="e">
        <f>SUMIF(#REF!,$B238,#REF!)</f>
        <v>#REF!</v>
      </c>
      <c r="J238" s="6" t="e">
        <f>SUMIF(#REF!,$B238,#REF!)</f>
        <v>#REF!</v>
      </c>
      <c r="K238" s="6" t="e">
        <f t="shared" si="75"/>
        <v>#REF!</v>
      </c>
      <c r="L238" s="6">
        <f t="shared" si="76"/>
        <v>0</v>
      </c>
      <c r="M238" s="185"/>
      <c r="N238" s="20"/>
      <c r="O238" s="215"/>
      <c r="U238" s="20"/>
      <c r="Y238" s="42"/>
    </row>
    <row r="239" spans="1:25" s="7" customFormat="1" ht="15">
      <c r="A239" s="21">
        <f t="shared" si="74"/>
        <v>232</v>
      </c>
      <c r="B239" s="225" t="s">
        <v>2496</v>
      </c>
      <c r="C239" s="225" t="s">
        <v>2556</v>
      </c>
      <c r="D239" s="227" t="e">
        <f>+#REF!</f>
        <v>#REF!</v>
      </c>
      <c r="E239" s="180" t="s">
        <v>1075</v>
      </c>
      <c r="F239" s="22" t="str">
        <f>IFERROR(VLOOKUP($E239,Casilleros!$A$4:$I$830,4,FALSE),"")</f>
        <v>GASTOS FINANCIEROS Y OTROS  NO OPERACIONALES</v>
      </c>
      <c r="G239" s="22" t="str">
        <f>IFERROR(VLOOKUP($E239,Casilleros!$A$4:$I$830,9,FALSE),"")</f>
        <v>GASTOS FINANCIEROS_COSTOS DE TRANSACCIÓN (COMISIONES BANCARIAS, HONORARIOS, TASAS, ENTRE OTROS)_NO RELACIONADAS_Local_Gasto</v>
      </c>
      <c r="H239" s="22" t="str">
        <f>IFERROR(VLOOKUP($E239,Casilleros!$A$4:$J$830,10,FALSE),"")</f>
        <v>Gastos financieros y otros no operacionales</v>
      </c>
      <c r="I239" s="6" t="e">
        <f>SUMIF(#REF!,$B239,#REF!)</f>
        <v>#REF!</v>
      </c>
      <c r="J239" s="6" t="e">
        <f>SUMIF(#REF!,$B239,#REF!)</f>
        <v>#REF!</v>
      </c>
      <c r="K239" s="6" t="e">
        <f t="shared" si="75"/>
        <v>#REF!</v>
      </c>
      <c r="L239" s="6">
        <f t="shared" si="76"/>
        <v>0</v>
      </c>
      <c r="M239" s="185"/>
      <c r="N239" s="20"/>
      <c r="O239" s="215"/>
      <c r="U239" s="20"/>
      <c r="Y239" s="42"/>
    </row>
    <row r="240" spans="1:25" s="7" customFormat="1" ht="15">
      <c r="A240" s="21">
        <f t="shared" si="74"/>
        <v>233</v>
      </c>
      <c r="B240" s="225" t="s">
        <v>2497</v>
      </c>
      <c r="C240" s="225" t="s">
        <v>2557</v>
      </c>
      <c r="D240" s="227" t="e">
        <f>+#REF!</f>
        <v>#REF!</v>
      </c>
      <c r="E240" s="180" t="s">
        <v>1075</v>
      </c>
      <c r="F240" s="22" t="str">
        <f>IFERROR(VLOOKUP($E240,Casilleros!$A$4:$I$830,4,FALSE),"")</f>
        <v>GASTOS FINANCIEROS Y OTROS  NO OPERACIONALES</v>
      </c>
      <c r="G240" s="22" t="str">
        <f>IFERROR(VLOOKUP($E240,Casilleros!$A$4:$I$830,9,FALSE),"")</f>
        <v>GASTOS FINANCIEROS_COSTOS DE TRANSACCIÓN (COMISIONES BANCARIAS, HONORARIOS, TASAS, ENTRE OTROS)_NO RELACIONADAS_Local_Gasto</v>
      </c>
      <c r="H240" s="22" t="str">
        <f>IFERROR(VLOOKUP($E240,Casilleros!$A$4:$J$830,10,FALSE),"")</f>
        <v>Gastos financieros y otros no operacionales</v>
      </c>
      <c r="I240" s="6" t="e">
        <f>SUMIF(#REF!,$B240,#REF!)</f>
        <v>#REF!</v>
      </c>
      <c r="J240" s="6" t="e">
        <f>SUMIF(#REF!,$B240,#REF!)</f>
        <v>#REF!</v>
      </c>
      <c r="K240" s="6" t="e">
        <f t="shared" si="75"/>
        <v>#REF!</v>
      </c>
      <c r="L240" s="6">
        <f t="shared" si="76"/>
        <v>0</v>
      </c>
      <c r="M240" s="185"/>
      <c r="N240" s="20"/>
      <c r="O240" s="215"/>
      <c r="U240" s="20"/>
      <c r="Y240" s="42"/>
    </row>
    <row r="241" spans="1:25" s="7" customFormat="1" ht="15">
      <c r="A241" s="21">
        <f t="shared" si="74"/>
        <v>234</v>
      </c>
      <c r="B241" s="225" t="s">
        <v>2498</v>
      </c>
      <c r="C241" s="225" t="s">
        <v>2558</v>
      </c>
      <c r="D241" s="227" t="e">
        <f>+#REF!</f>
        <v>#REF!</v>
      </c>
      <c r="E241" s="180" t="s">
        <v>1075</v>
      </c>
      <c r="F241" s="22" t="str">
        <f>IFERROR(VLOOKUP($E241,Casilleros!$A$4:$I$830,4,FALSE),"")</f>
        <v>GASTOS FINANCIEROS Y OTROS  NO OPERACIONALES</v>
      </c>
      <c r="G241" s="22" t="str">
        <f>IFERROR(VLOOKUP($E241,Casilleros!$A$4:$I$830,9,FALSE),"")</f>
        <v>GASTOS FINANCIEROS_COSTOS DE TRANSACCIÓN (COMISIONES BANCARIAS, HONORARIOS, TASAS, ENTRE OTROS)_NO RELACIONADAS_Local_Gasto</v>
      </c>
      <c r="H241" s="22" t="str">
        <f>IFERROR(VLOOKUP($E241,Casilleros!$A$4:$J$830,10,FALSE),"")</f>
        <v>Gastos financieros y otros no operacionales</v>
      </c>
      <c r="I241" s="6" t="e">
        <f>SUMIF(#REF!,$B241,#REF!)</f>
        <v>#REF!</v>
      </c>
      <c r="J241" s="6" t="e">
        <f>SUMIF(#REF!,$B241,#REF!)</f>
        <v>#REF!</v>
      </c>
      <c r="K241" s="6" t="e">
        <f t="shared" si="75"/>
        <v>#REF!</v>
      </c>
      <c r="L241" s="6">
        <f t="shared" si="76"/>
        <v>0</v>
      </c>
      <c r="M241" s="185"/>
      <c r="N241" s="20"/>
      <c r="O241" s="215"/>
      <c r="U241" s="20"/>
      <c r="Y241" s="42"/>
    </row>
    <row r="242" spans="1:25" s="7" customFormat="1" ht="15">
      <c r="A242" s="21">
        <f t="shared" si="74"/>
        <v>235</v>
      </c>
      <c r="B242" s="216" t="s">
        <v>2499</v>
      </c>
      <c r="C242" s="216" t="s">
        <v>2500</v>
      </c>
      <c r="D242" s="227" t="e">
        <f>+#REF!</f>
        <v>#REF!</v>
      </c>
      <c r="E242" s="180" t="s">
        <v>1147</v>
      </c>
      <c r="F242" s="22" t="str">
        <f>IFERROR(VLOOKUP($E242,Casilleros!$A$4:$I$830,4,FALSE),"")</f>
        <v>DIFERENCIAS PERMANENTES</v>
      </c>
      <c r="G242" s="22" t="str">
        <f>IFERROR(VLOOKUP($E242,Casilleros!$A$4:$I$830,9,FALSE),"")</f>
        <v>DIFERENCIAS PERMANENTES_(-) Participación a trabajadores</v>
      </c>
      <c r="H242" s="22">
        <f>IFERROR(VLOOKUP($E242,Casilleros!$A$4:$J$830,10,FALSE),"")</f>
        <v>0</v>
      </c>
      <c r="I242" s="6" t="e">
        <f>SUMIF(#REF!,$B242,#REF!)</f>
        <v>#REF!</v>
      </c>
      <c r="J242" s="6" t="e">
        <f>SUMIF(#REF!,$B242,#REF!)</f>
        <v>#REF!</v>
      </c>
      <c r="K242" s="6" t="e">
        <f t="shared" si="75"/>
        <v>#REF!</v>
      </c>
      <c r="L242" s="6">
        <f t="shared" si="76"/>
        <v>0</v>
      </c>
      <c r="M242" s="185"/>
      <c r="N242" s="20"/>
      <c r="O242" s="215"/>
      <c r="U242" s="20"/>
      <c r="Y242" s="42"/>
    </row>
    <row r="243" spans="1:25" s="7" customFormat="1" ht="15">
      <c r="A243" s="21">
        <f t="shared" si="74"/>
        <v>236</v>
      </c>
      <c r="B243" s="216" t="s">
        <v>2501</v>
      </c>
      <c r="C243" s="216" t="s">
        <v>2502</v>
      </c>
      <c r="D243" s="227" t="e">
        <f>+#REF!</f>
        <v>#REF!</v>
      </c>
      <c r="E243" s="180" t="s">
        <v>1347</v>
      </c>
      <c r="F243" s="22" t="str">
        <f>IFERROR(VLOOKUP($E243,Casilleros!$A$4:$I$830,4,FALSE),"")</f>
        <v>Gasto (ingreso) por impuesto a la renta corriente</v>
      </c>
      <c r="G243" s="22" t="str">
        <f>IFERROR(VLOOKUP($E243,Casilleros!$A$4:$I$830,9,FALSE),"")</f>
        <v>GASTO (INGRESO) POR IMPUESTO A LA RENTA DEL PERIODO (INFORMATIVO) _Gasto (ingreso) por impuesto a la renta corriente_</v>
      </c>
      <c r="H243" s="22" t="str">
        <f>IFERROR(VLOOKUP($E243,Casilleros!$A$4:$J$830,10,FALSE),"")</f>
        <v>Impuesto a la renta Corriente</v>
      </c>
      <c r="I243" s="6" t="e">
        <f>SUMIF(#REF!,$B243,#REF!)</f>
        <v>#REF!</v>
      </c>
      <c r="J243" s="6" t="e">
        <f>SUMIF(#REF!,$B243,#REF!)</f>
        <v>#REF!</v>
      </c>
      <c r="K243" s="6" t="e">
        <f t="shared" si="75"/>
        <v>#REF!</v>
      </c>
      <c r="L243" s="6">
        <f t="shared" si="76"/>
        <v>0</v>
      </c>
      <c r="M243" s="185"/>
      <c r="N243" s="20"/>
      <c r="O243" s="215"/>
      <c r="U243" s="20"/>
      <c r="Y243" s="42"/>
    </row>
    <row r="244" spans="1:25" s="7" customFormat="1">
      <c r="A244" s="21">
        <f t="shared" si="74"/>
        <v>237</v>
      </c>
      <c r="B244" s="216"/>
      <c r="C244" s="216" t="s">
        <v>9</v>
      </c>
      <c r="D244" s="196" t="e">
        <f>-+#REF!</f>
        <v>#REF!</v>
      </c>
      <c r="E244" s="180"/>
      <c r="F244" s="22" t="str">
        <f>IFERROR(VLOOKUP($E244,Casilleros!$A$4:$I$830,4,FALSE),"")</f>
        <v/>
      </c>
      <c r="G244" s="22" t="str">
        <f>IFERROR(VLOOKUP($E244,Casilleros!$A$4:$I$830,9,FALSE),"")</f>
        <v/>
      </c>
      <c r="H244" s="22" t="str">
        <f>IFERROR(VLOOKUP($E244,Casilleros!$A$4:$J$830,10,FALSE),"")</f>
        <v/>
      </c>
      <c r="I244" s="6" t="e">
        <f>SUMIF(#REF!,$B244,#REF!)</f>
        <v>#REF!</v>
      </c>
      <c r="J244" s="6" t="e">
        <f>SUMIF(#REF!,$B244,#REF!)</f>
        <v>#REF!</v>
      </c>
      <c r="K244" s="6" t="e">
        <f t="shared" si="75"/>
        <v>#REF!</v>
      </c>
      <c r="L244" s="6" t="e">
        <f t="shared" si="76"/>
        <v>#REF!</v>
      </c>
      <c r="M244" s="185"/>
      <c r="N244" s="20"/>
      <c r="O244" s="215"/>
      <c r="U244" s="20"/>
      <c r="Y244" s="42"/>
    </row>
    <row r="245" spans="1:25" s="7" customFormat="1" ht="15">
      <c r="A245" s="21">
        <f t="shared" si="74"/>
        <v>238</v>
      </c>
      <c r="B245" s="213"/>
      <c r="C245" s="213"/>
      <c r="D245" s="214"/>
      <c r="E245" s="180"/>
      <c r="F245" s="22" t="str">
        <f>IFERROR(VLOOKUP($E245,Casilleros!$A$4:$I$830,4,FALSE),"")</f>
        <v/>
      </c>
      <c r="G245" s="22" t="str">
        <f>IFERROR(VLOOKUP($E245,Casilleros!$A$4:$I$830,9,FALSE),"")</f>
        <v/>
      </c>
      <c r="H245" s="22" t="str">
        <f>IFERROR(VLOOKUP($E245,Casilleros!$A$4:$J$830,10,FALSE),"")</f>
        <v/>
      </c>
      <c r="I245" s="6" t="e">
        <f>SUMIF(#REF!,$B245,#REF!)</f>
        <v>#REF!</v>
      </c>
      <c r="J245" s="6" t="e">
        <f>SUMIF(#REF!,$B245,#REF!)</f>
        <v>#REF!</v>
      </c>
      <c r="K245" s="6" t="e">
        <f t="shared" si="75"/>
        <v>#REF!</v>
      </c>
      <c r="L245" s="6" t="e">
        <f t="shared" si="76"/>
        <v>#REF!</v>
      </c>
      <c r="M245" s="185"/>
      <c r="N245" s="20"/>
      <c r="O245" s="215"/>
      <c r="U245" s="20"/>
      <c r="Y245" s="42"/>
    </row>
    <row r="246" spans="1:25" s="7" customFormat="1" ht="15">
      <c r="A246" s="21">
        <f t="shared" si="74"/>
        <v>239</v>
      </c>
      <c r="B246" s="213"/>
      <c r="C246" s="213"/>
      <c r="D246" s="214"/>
      <c r="E246" s="180"/>
      <c r="F246" s="22" t="str">
        <f>IFERROR(VLOOKUP($E246,Casilleros!$A$4:$I$830,4,FALSE),"")</f>
        <v/>
      </c>
      <c r="G246" s="22" t="str">
        <f>IFERROR(VLOOKUP($E246,Casilleros!$A$4:$I$830,9,FALSE),"")</f>
        <v/>
      </c>
      <c r="H246" s="22" t="str">
        <f>IFERROR(VLOOKUP($E246,Casilleros!$A$4:$J$830,10,FALSE),"")</f>
        <v/>
      </c>
      <c r="I246" s="6" t="e">
        <f>SUMIF(#REF!,$B246,#REF!)</f>
        <v>#REF!</v>
      </c>
      <c r="J246" s="6" t="e">
        <f>SUMIF(#REF!,$B246,#REF!)</f>
        <v>#REF!</v>
      </c>
      <c r="K246" s="6" t="e">
        <f t="shared" si="75"/>
        <v>#REF!</v>
      </c>
      <c r="L246" s="6" t="e">
        <f t="shared" si="76"/>
        <v>#REF!</v>
      </c>
      <c r="M246" s="185"/>
      <c r="N246" s="20"/>
      <c r="O246" s="215"/>
      <c r="U246" s="20"/>
      <c r="Y246" s="42"/>
    </row>
    <row r="247" spans="1:25" s="7" customFormat="1">
      <c r="A247" s="21">
        <f t="shared" si="74"/>
        <v>240</v>
      </c>
      <c r="B247" s="216"/>
      <c r="C247" s="216"/>
      <c r="D247" s="217"/>
      <c r="E247" s="180"/>
      <c r="F247" s="22" t="str">
        <f>IFERROR(VLOOKUP($E247,Casilleros!$A$4:$I$830,4,FALSE),"")</f>
        <v/>
      </c>
      <c r="G247" s="22" t="str">
        <f>IFERROR(VLOOKUP($E247,Casilleros!$A$4:$I$830,9,FALSE),"")</f>
        <v/>
      </c>
      <c r="H247" s="22" t="str">
        <f>IFERROR(VLOOKUP($E247,Casilleros!$A$4:$J$830,10,FALSE),"")</f>
        <v/>
      </c>
      <c r="I247" s="6" t="e">
        <f>SUMIF(#REF!,$B247,#REF!)</f>
        <v>#REF!</v>
      </c>
      <c r="J247" s="6" t="e">
        <f>SUMIF(#REF!,$B247,#REF!)</f>
        <v>#REF!</v>
      </c>
      <c r="K247" s="6" t="e">
        <f t="shared" si="75"/>
        <v>#REF!</v>
      </c>
      <c r="L247" s="6" t="e">
        <f t="shared" si="76"/>
        <v>#REF!</v>
      </c>
      <c r="M247" s="185"/>
      <c r="N247" s="20"/>
      <c r="O247" s="215"/>
      <c r="U247" s="20"/>
      <c r="Y247" s="42"/>
    </row>
    <row r="248" spans="1:25" s="7" customFormat="1">
      <c r="A248" s="21">
        <f t="shared" si="74"/>
        <v>241</v>
      </c>
      <c r="B248" s="216"/>
      <c r="C248" s="216"/>
      <c r="D248" s="217"/>
      <c r="E248" s="180"/>
      <c r="F248" s="22" t="str">
        <f>IFERROR(VLOOKUP($E248,Casilleros!$A$4:$I$830,4,FALSE),"")</f>
        <v/>
      </c>
      <c r="G248" s="22" t="str">
        <f>IFERROR(VLOOKUP($E248,Casilleros!$A$4:$I$830,9,FALSE),"")</f>
        <v/>
      </c>
      <c r="H248" s="22" t="str">
        <f>IFERROR(VLOOKUP($E248,Casilleros!$A$4:$J$830,10,FALSE),"")</f>
        <v/>
      </c>
      <c r="I248" s="6" t="e">
        <f>SUMIF(#REF!,$B248,#REF!)</f>
        <v>#REF!</v>
      </c>
      <c r="J248" s="6" t="e">
        <f>SUMIF(#REF!,$B248,#REF!)</f>
        <v>#REF!</v>
      </c>
      <c r="K248" s="6" t="e">
        <f t="shared" si="75"/>
        <v>#REF!</v>
      </c>
      <c r="L248" s="6" t="e">
        <f t="shared" si="76"/>
        <v>#REF!</v>
      </c>
      <c r="M248" s="185"/>
      <c r="N248" s="20"/>
      <c r="O248" s="215"/>
      <c r="U248" s="20"/>
      <c r="Y248" s="42"/>
    </row>
    <row r="249" spans="1:25" s="7" customFormat="1" ht="15">
      <c r="A249" s="21">
        <f t="shared" si="74"/>
        <v>242</v>
      </c>
      <c r="B249" s="216"/>
      <c r="C249" s="216"/>
      <c r="D249" s="214"/>
      <c r="E249" s="180"/>
      <c r="F249" s="22" t="str">
        <f>IFERROR(VLOOKUP($E249,Casilleros!$A$4:$I$830,4,FALSE),"")</f>
        <v/>
      </c>
      <c r="G249" s="22" t="str">
        <f>IFERROR(VLOOKUP($E249,Casilleros!$A$4:$I$830,9,FALSE),"")</f>
        <v/>
      </c>
      <c r="H249" s="22" t="str">
        <f>IFERROR(VLOOKUP($E249,Casilleros!$A$4:$J$830,10,FALSE),"")</f>
        <v/>
      </c>
      <c r="I249" s="6" t="e">
        <f>SUMIF(#REF!,$B249,#REF!)</f>
        <v>#REF!</v>
      </c>
      <c r="J249" s="6" t="e">
        <f>SUMIF(#REF!,$B249,#REF!)</f>
        <v>#REF!</v>
      </c>
      <c r="K249" s="6" t="e">
        <f t="shared" si="75"/>
        <v>#REF!</v>
      </c>
      <c r="L249" s="6" t="e">
        <f t="shared" si="76"/>
        <v>#REF!</v>
      </c>
      <c r="M249" s="185"/>
      <c r="N249" s="20"/>
      <c r="O249" s="215"/>
      <c r="U249" s="20"/>
      <c r="Y249" s="42"/>
    </row>
    <row r="250" spans="1:25" s="7" customFormat="1" ht="15">
      <c r="A250" s="199">
        <f t="shared" si="74"/>
        <v>243</v>
      </c>
      <c r="B250" s="202"/>
      <c r="C250" s="202"/>
      <c r="D250" s="203"/>
      <c r="E250" s="198"/>
      <c r="F250" s="22" t="str">
        <f>IFERROR(VLOOKUP($E250,Casilleros!$A$4:$I$830,4,FALSE),"")</f>
        <v/>
      </c>
      <c r="G250" s="22" t="str">
        <f>IFERROR(VLOOKUP($E250,Casilleros!$A$4:$I$830,9,FALSE),"")</f>
        <v/>
      </c>
      <c r="H250" s="22" t="str">
        <f>IFERROR(VLOOKUP($E250,Casilleros!$A$4:$J$830,10,FALSE),"")</f>
        <v/>
      </c>
      <c r="I250" s="6" t="e">
        <f>SUMIF(#REF!,$B250,#REF!)</f>
        <v>#REF!</v>
      </c>
      <c r="J250" s="6" t="e">
        <f>SUMIF(#REF!,$B250,#REF!)</f>
        <v>#REF!</v>
      </c>
      <c r="K250" s="6" t="e">
        <f t="shared" si="75"/>
        <v>#REF!</v>
      </c>
      <c r="L250" s="6" t="e">
        <f t="shared" si="76"/>
        <v>#REF!</v>
      </c>
      <c r="M250" s="185"/>
      <c r="N250" s="20"/>
      <c r="O250" s="215"/>
      <c r="U250" s="20"/>
      <c r="Y250" s="42"/>
    </row>
    <row r="251" spans="1:25" s="7" customFormat="1" ht="15">
      <c r="A251" s="199">
        <f t="shared" si="74"/>
        <v>244</v>
      </c>
      <c r="B251" s="202"/>
      <c r="C251" s="202"/>
      <c r="D251" s="203"/>
      <c r="E251" s="198"/>
      <c r="F251" s="22" t="str">
        <f>IFERROR(VLOOKUP($E251,Casilleros!$A$4:$I$830,4,FALSE),"")</f>
        <v/>
      </c>
      <c r="G251" s="22" t="str">
        <f>IFERROR(VLOOKUP($E251,Casilleros!$A$4:$I$830,9,FALSE),"")</f>
        <v/>
      </c>
      <c r="H251" s="22" t="str">
        <f>IFERROR(VLOOKUP($E251,Casilleros!$A$4:$J$830,10,FALSE),"")</f>
        <v/>
      </c>
      <c r="I251" s="6" t="e">
        <f>SUMIF(#REF!,$B251,#REF!)</f>
        <v>#REF!</v>
      </c>
      <c r="J251" s="6" t="e">
        <f>SUMIF(#REF!,$B251,#REF!)</f>
        <v>#REF!</v>
      </c>
      <c r="K251" s="6" t="e">
        <f t="shared" si="75"/>
        <v>#REF!</v>
      </c>
      <c r="L251" s="6" t="e">
        <f t="shared" si="76"/>
        <v>#REF!</v>
      </c>
      <c r="M251" s="185"/>
      <c r="N251" s="20"/>
      <c r="O251" s="215"/>
      <c r="U251" s="20"/>
      <c r="Y251" s="42"/>
    </row>
    <row r="252" spans="1:25" s="7" customFormat="1" ht="15">
      <c r="A252" s="199">
        <f t="shared" si="74"/>
        <v>245</v>
      </c>
      <c r="B252" s="202"/>
      <c r="C252" s="202"/>
      <c r="D252" s="203"/>
      <c r="E252" s="198"/>
      <c r="F252" s="22" t="str">
        <f>IFERROR(VLOOKUP($E252,Casilleros!$A$4:$I$830,4,FALSE),"")</f>
        <v/>
      </c>
      <c r="G252" s="22" t="str">
        <f>IFERROR(VLOOKUP($E252,Casilleros!$A$4:$I$830,9,FALSE),"")</f>
        <v/>
      </c>
      <c r="H252" s="22" t="str">
        <f>IFERROR(VLOOKUP($E252,Casilleros!$A$4:$J$830,10,FALSE),"")</f>
        <v/>
      </c>
      <c r="I252" s="6" t="e">
        <f>SUMIF(#REF!,$B252,#REF!)</f>
        <v>#REF!</v>
      </c>
      <c r="J252" s="6" t="e">
        <f>SUMIF(#REF!,$B252,#REF!)</f>
        <v>#REF!</v>
      </c>
      <c r="K252" s="6" t="e">
        <f t="shared" si="75"/>
        <v>#REF!</v>
      </c>
      <c r="L252" s="6" t="e">
        <f t="shared" si="76"/>
        <v>#REF!</v>
      </c>
      <c r="M252" s="185"/>
      <c r="N252" s="20"/>
      <c r="O252" s="215"/>
      <c r="U252" s="20"/>
      <c r="Y252" s="42"/>
    </row>
    <row r="253" spans="1:25" s="7" customFormat="1" ht="15">
      <c r="A253" s="199">
        <f t="shared" si="74"/>
        <v>246</v>
      </c>
      <c r="B253" s="202"/>
      <c r="C253" s="202"/>
      <c r="D253" s="203"/>
      <c r="E253" s="198"/>
      <c r="F253" s="22" t="str">
        <f>IFERROR(VLOOKUP($E253,Casilleros!$A$4:$I$830,4,FALSE),"")</f>
        <v/>
      </c>
      <c r="G253" s="22" t="str">
        <f>IFERROR(VLOOKUP($E253,Casilleros!$A$4:$I$830,9,FALSE),"")</f>
        <v/>
      </c>
      <c r="H253" s="22" t="str">
        <f>IFERROR(VLOOKUP($E253,Casilleros!$A$4:$J$830,10,FALSE),"")</f>
        <v/>
      </c>
      <c r="I253" s="6" t="e">
        <f>SUMIF(#REF!,$B253,#REF!)</f>
        <v>#REF!</v>
      </c>
      <c r="J253" s="6" t="e">
        <f>SUMIF(#REF!,$B253,#REF!)</f>
        <v>#REF!</v>
      </c>
      <c r="K253" s="6" t="e">
        <f t="shared" si="75"/>
        <v>#REF!</v>
      </c>
      <c r="L253" s="6" t="e">
        <f t="shared" si="76"/>
        <v>#REF!</v>
      </c>
      <c r="M253" s="185"/>
      <c r="N253" s="20"/>
      <c r="O253" s="215"/>
      <c r="U253" s="20"/>
      <c r="Y253" s="42"/>
    </row>
    <row r="254" spans="1:25" s="7" customFormat="1" ht="15">
      <c r="A254" s="199">
        <f t="shared" si="74"/>
        <v>247</v>
      </c>
      <c r="B254" s="202"/>
      <c r="C254" s="202"/>
      <c r="D254" s="203"/>
      <c r="E254" s="198"/>
      <c r="F254" s="22" t="str">
        <f>IFERROR(VLOOKUP($E254,Casilleros!$A$4:$I$830,4,FALSE),"")</f>
        <v/>
      </c>
      <c r="G254" s="22" t="str">
        <f>IFERROR(VLOOKUP($E254,Casilleros!$A$4:$I$830,9,FALSE),"")</f>
        <v/>
      </c>
      <c r="H254" s="22" t="str">
        <f>IFERROR(VLOOKUP($E254,Casilleros!$A$4:$J$830,10,FALSE),"")</f>
        <v/>
      </c>
      <c r="I254" s="6" t="e">
        <f>SUMIF(#REF!,$B254,#REF!)</f>
        <v>#REF!</v>
      </c>
      <c r="J254" s="6" t="e">
        <f>SUMIF(#REF!,$B254,#REF!)</f>
        <v>#REF!</v>
      </c>
      <c r="K254" s="6" t="e">
        <f t="shared" si="75"/>
        <v>#REF!</v>
      </c>
      <c r="L254" s="6" t="e">
        <f t="shared" si="76"/>
        <v>#REF!</v>
      </c>
      <c r="M254" s="185"/>
      <c r="N254" s="20"/>
      <c r="O254" s="215"/>
      <c r="U254" s="20"/>
      <c r="Y254" s="42"/>
    </row>
    <row r="255" spans="1:25" s="7" customFormat="1" ht="15">
      <c r="A255" s="21">
        <f t="shared" si="74"/>
        <v>248</v>
      </c>
      <c r="B255" s="216"/>
      <c r="C255" s="216"/>
      <c r="D255" s="214"/>
      <c r="E255" s="180"/>
      <c r="F255" s="22" t="str">
        <f>IFERROR(VLOOKUP($E255,Casilleros!$A$4:$I$830,4,FALSE),"")</f>
        <v/>
      </c>
      <c r="G255" s="22" t="str">
        <f>IFERROR(VLOOKUP($E255,Casilleros!$A$4:$I$830,9,FALSE),"")</f>
        <v/>
      </c>
      <c r="H255" s="22" t="str">
        <f>IFERROR(VLOOKUP($E255,Casilleros!$A$4:$J$830,10,FALSE),"")</f>
        <v/>
      </c>
      <c r="I255" s="6" t="e">
        <f>SUMIF(#REF!,$B255,#REF!)</f>
        <v>#REF!</v>
      </c>
      <c r="J255" s="6" t="e">
        <f>SUMIF(#REF!,$B255,#REF!)</f>
        <v>#REF!</v>
      </c>
      <c r="K255" s="6" t="e">
        <f t="shared" si="75"/>
        <v>#REF!</v>
      </c>
      <c r="L255" s="6" t="e">
        <f t="shared" si="76"/>
        <v>#REF!</v>
      </c>
      <c r="M255" s="185"/>
      <c r="N255" s="20"/>
      <c r="O255" s="215"/>
      <c r="U255" s="20"/>
      <c r="Y255" s="42"/>
    </row>
    <row r="256" spans="1:25" s="7" customFormat="1" ht="15">
      <c r="A256" s="21">
        <f t="shared" si="74"/>
        <v>249</v>
      </c>
      <c r="B256" s="216"/>
      <c r="C256" s="216"/>
      <c r="D256" s="214"/>
      <c r="E256" s="180"/>
      <c r="F256" s="22" t="str">
        <f>IFERROR(VLOOKUP($E256,Casilleros!$A$4:$I$830,4,FALSE),"")</f>
        <v/>
      </c>
      <c r="G256" s="22" t="str">
        <f>IFERROR(VLOOKUP($E256,Casilleros!$A$4:$I$830,9,FALSE),"")</f>
        <v/>
      </c>
      <c r="H256" s="22" t="str">
        <f>IFERROR(VLOOKUP($E256,Casilleros!$A$4:$J$830,10,FALSE),"")</f>
        <v/>
      </c>
      <c r="I256" s="6" t="e">
        <f>SUMIF(#REF!,$B256,#REF!)</f>
        <v>#REF!</v>
      </c>
      <c r="J256" s="6" t="e">
        <f>SUMIF(#REF!,$B256,#REF!)</f>
        <v>#REF!</v>
      </c>
      <c r="K256" s="6" t="e">
        <f t="shared" si="75"/>
        <v>#REF!</v>
      </c>
      <c r="L256" s="6" t="e">
        <f t="shared" si="76"/>
        <v>#REF!</v>
      </c>
      <c r="M256" s="185"/>
      <c r="N256" s="20"/>
      <c r="O256" s="215"/>
      <c r="U256" s="20"/>
      <c r="Y256" s="42"/>
    </row>
    <row r="257" spans="1:25" s="7" customFormat="1" ht="15">
      <c r="A257" s="21">
        <f t="shared" si="74"/>
        <v>250</v>
      </c>
      <c r="B257" s="216"/>
      <c r="C257" s="216"/>
      <c r="D257" s="214"/>
      <c r="E257" s="180"/>
      <c r="F257" s="22" t="str">
        <f>IFERROR(VLOOKUP($E257,Casilleros!$A$4:$I$830,4,FALSE),"")</f>
        <v/>
      </c>
      <c r="G257" s="22" t="str">
        <f>IFERROR(VLOOKUP($E257,Casilleros!$A$4:$I$830,9,FALSE),"")</f>
        <v/>
      </c>
      <c r="H257" s="22" t="str">
        <f>IFERROR(VLOOKUP($E257,Casilleros!$A$4:$J$830,10,FALSE),"")</f>
        <v/>
      </c>
      <c r="I257" s="6" t="e">
        <f>SUMIF(#REF!,$B257,#REF!)</f>
        <v>#REF!</v>
      </c>
      <c r="J257" s="6" t="e">
        <f>SUMIF(#REF!,$B257,#REF!)</f>
        <v>#REF!</v>
      </c>
      <c r="K257" s="6" t="e">
        <f t="shared" si="75"/>
        <v>#REF!</v>
      </c>
      <c r="L257" s="6" t="e">
        <f t="shared" si="76"/>
        <v>#REF!</v>
      </c>
      <c r="M257" s="185"/>
      <c r="N257" s="20"/>
      <c r="O257" s="215"/>
      <c r="U257" s="20"/>
      <c r="Y257" s="42"/>
    </row>
    <row r="258" spans="1:25" s="7" customFormat="1" ht="15">
      <c r="A258" s="21">
        <f t="shared" si="74"/>
        <v>251</v>
      </c>
      <c r="B258" s="216"/>
      <c r="C258" s="216"/>
      <c r="D258" s="214"/>
      <c r="E258" s="180"/>
      <c r="F258" s="22" t="str">
        <f>IFERROR(VLOOKUP($E258,Casilleros!$A$4:$I$830,4,FALSE),"")</f>
        <v/>
      </c>
      <c r="G258" s="22" t="str">
        <f>IFERROR(VLOOKUP($E258,Casilleros!$A$4:$I$830,9,FALSE),"")</f>
        <v/>
      </c>
      <c r="H258" s="22" t="str">
        <f>IFERROR(VLOOKUP($E258,Casilleros!$A$4:$J$830,10,FALSE),"")</f>
        <v/>
      </c>
      <c r="I258" s="6" t="e">
        <f>SUMIF(#REF!,$B258,#REF!)</f>
        <v>#REF!</v>
      </c>
      <c r="J258" s="6" t="e">
        <f>SUMIF(#REF!,$B258,#REF!)</f>
        <v>#REF!</v>
      </c>
      <c r="K258" s="6" t="e">
        <f t="shared" si="75"/>
        <v>#REF!</v>
      </c>
      <c r="L258" s="6" t="e">
        <f t="shared" si="76"/>
        <v>#REF!</v>
      </c>
      <c r="M258" s="185"/>
      <c r="N258" s="20"/>
      <c r="O258" s="215"/>
      <c r="U258" s="20"/>
      <c r="Y258" s="42"/>
    </row>
    <row r="259" spans="1:25" s="7" customFormat="1" ht="15">
      <c r="A259" s="21">
        <f t="shared" si="74"/>
        <v>252</v>
      </c>
      <c r="B259" s="216"/>
      <c r="C259" s="216"/>
      <c r="D259" s="214"/>
      <c r="E259" s="180"/>
      <c r="F259" s="22" t="str">
        <f>IFERROR(VLOOKUP($E259,Casilleros!$A$4:$I$830,4,FALSE),"")</f>
        <v/>
      </c>
      <c r="G259" s="22" t="str">
        <f>IFERROR(VLOOKUP($E259,Casilleros!$A$4:$I$830,9,FALSE),"")</f>
        <v/>
      </c>
      <c r="H259" s="22" t="str">
        <f>IFERROR(VLOOKUP($E259,Casilleros!$A$4:$J$830,10,FALSE),"")</f>
        <v/>
      </c>
      <c r="I259" s="6" t="e">
        <f>SUMIF(#REF!,$B259,#REF!)</f>
        <v>#REF!</v>
      </c>
      <c r="J259" s="6" t="e">
        <f>SUMIF(#REF!,$B259,#REF!)</f>
        <v>#REF!</v>
      </c>
      <c r="K259" s="6" t="e">
        <f t="shared" si="75"/>
        <v>#REF!</v>
      </c>
      <c r="L259" s="6" t="e">
        <f t="shared" si="76"/>
        <v>#REF!</v>
      </c>
      <c r="M259" s="185"/>
      <c r="N259" s="20"/>
      <c r="O259" s="215"/>
      <c r="U259" s="20"/>
      <c r="Y259" s="42"/>
    </row>
    <row r="260" spans="1:25" s="7" customFormat="1" ht="15">
      <c r="A260" s="21">
        <f t="shared" si="74"/>
        <v>253</v>
      </c>
      <c r="B260" s="216"/>
      <c r="C260" s="216"/>
      <c r="D260" s="214"/>
      <c r="E260" s="180"/>
      <c r="F260" s="22" t="str">
        <f>IFERROR(VLOOKUP($E260,Casilleros!$A$4:$I$830,4,FALSE),"")</f>
        <v/>
      </c>
      <c r="G260" s="22" t="str">
        <f>IFERROR(VLOOKUP($E260,Casilleros!$A$4:$I$830,9,FALSE),"")</f>
        <v/>
      </c>
      <c r="H260" s="22" t="str">
        <f>IFERROR(VLOOKUP($E260,Casilleros!$A$4:$J$830,10,FALSE),"")</f>
        <v/>
      </c>
      <c r="I260" s="6" t="e">
        <f>SUMIF(#REF!,$B260,#REF!)</f>
        <v>#REF!</v>
      </c>
      <c r="J260" s="6" t="e">
        <f>SUMIF(#REF!,$B260,#REF!)</f>
        <v>#REF!</v>
      </c>
      <c r="K260" s="6" t="e">
        <f t="shared" si="75"/>
        <v>#REF!</v>
      </c>
      <c r="L260" s="6" t="e">
        <f t="shared" si="76"/>
        <v>#REF!</v>
      </c>
      <c r="M260" s="185"/>
      <c r="N260" s="20"/>
      <c r="O260" s="215"/>
      <c r="U260" s="20"/>
      <c r="Y260" s="42"/>
    </row>
    <row r="261" spans="1:25" s="7" customFormat="1" ht="15">
      <c r="A261" s="21">
        <f t="shared" ref="A261:A324" si="87">ROW(A261)-7</f>
        <v>254</v>
      </c>
      <c r="B261" s="216"/>
      <c r="C261" s="216"/>
      <c r="D261" s="214"/>
      <c r="E261" s="180"/>
      <c r="F261" s="22" t="str">
        <f>IFERROR(VLOOKUP($E261,Casilleros!$A$4:$I$830,4,FALSE),"")</f>
        <v/>
      </c>
      <c r="G261" s="22" t="str">
        <f>IFERROR(VLOOKUP($E261,Casilleros!$A$4:$I$830,9,FALSE),"")</f>
        <v/>
      </c>
      <c r="H261" s="22" t="str">
        <f>IFERROR(VLOOKUP($E261,Casilleros!$A$4:$J$830,10,FALSE),"")</f>
        <v/>
      </c>
      <c r="I261" s="6" t="e">
        <f>SUMIF(#REF!,$B261,#REF!)</f>
        <v>#REF!</v>
      </c>
      <c r="J261" s="6" t="e">
        <f>SUMIF(#REF!,$B261,#REF!)</f>
        <v>#REF!</v>
      </c>
      <c r="K261" s="6" t="e">
        <f t="shared" ref="K261:K325" si="88">+D261+SUM(I261:J261)</f>
        <v>#REF!</v>
      </c>
      <c r="L261" s="6" t="e">
        <f t="shared" ref="L261:L325" si="89">IF(E261="",K261,0)</f>
        <v>#REF!</v>
      </c>
      <c r="M261" s="185"/>
      <c r="N261" s="20"/>
      <c r="O261" s="215"/>
      <c r="U261" s="20"/>
      <c r="Y261" s="42"/>
    </row>
    <row r="262" spans="1:25" s="7" customFormat="1">
      <c r="A262" s="21">
        <f t="shared" si="87"/>
        <v>255</v>
      </c>
      <c r="B262" s="175"/>
      <c r="C262" s="176"/>
      <c r="D262" s="177"/>
      <c r="E262" s="180"/>
      <c r="F262" s="22" t="str">
        <f>IFERROR(VLOOKUP($E262,Casilleros!$A$4:$I$830,4,FALSE),"")</f>
        <v/>
      </c>
      <c r="G262" s="22" t="str">
        <f>IFERROR(VLOOKUP($E262,Casilleros!$A$4:$I$830,9,FALSE),"")</f>
        <v/>
      </c>
      <c r="H262" s="22" t="str">
        <f>IFERROR(VLOOKUP($E262,Casilleros!$A$4:$J$830,10,FALSE),"")</f>
        <v/>
      </c>
      <c r="I262" s="6" t="e">
        <f>SUMIF(#REF!,$B262,#REF!)</f>
        <v>#REF!</v>
      </c>
      <c r="J262" s="6" t="e">
        <f>SUMIF(#REF!,$B262,#REF!)</f>
        <v>#REF!</v>
      </c>
      <c r="K262" s="6" t="e">
        <f t="shared" si="88"/>
        <v>#REF!</v>
      </c>
      <c r="L262" s="6" t="e">
        <f t="shared" si="89"/>
        <v>#REF!</v>
      </c>
      <c r="M262" s="185"/>
      <c r="N262" s="20"/>
      <c r="O262" s="215"/>
      <c r="U262" s="20"/>
      <c r="Y262" s="42"/>
    </row>
    <row r="263" spans="1:25" s="7" customFormat="1">
      <c r="A263" s="21">
        <f t="shared" si="87"/>
        <v>256</v>
      </c>
      <c r="B263" s="175"/>
      <c r="C263" s="176"/>
      <c r="D263" s="177">
        <v>0</v>
      </c>
      <c r="E263" s="180"/>
      <c r="F263" s="22" t="str">
        <f>IFERROR(VLOOKUP($E263,Casilleros!$A$4:$I$830,4,FALSE),"")</f>
        <v/>
      </c>
      <c r="G263" s="22" t="str">
        <f>IFERROR(VLOOKUP($E263,Casilleros!$A$4:$I$830,9,FALSE),"")</f>
        <v/>
      </c>
      <c r="H263" s="22" t="str">
        <f>IFERROR(VLOOKUP($E263,Casilleros!$A$4:$J$830,10,FALSE),"")</f>
        <v/>
      </c>
      <c r="I263" s="6" t="e">
        <f>SUMIF(#REF!,$B263,#REF!)</f>
        <v>#REF!</v>
      </c>
      <c r="J263" s="6" t="e">
        <f>SUMIF(#REF!,$B263,#REF!)</f>
        <v>#REF!</v>
      </c>
      <c r="K263" s="6" t="e">
        <f t="shared" si="88"/>
        <v>#REF!</v>
      </c>
      <c r="L263" s="6" t="e">
        <f t="shared" si="89"/>
        <v>#REF!</v>
      </c>
      <c r="M263" s="185"/>
      <c r="N263" s="20"/>
      <c r="O263" s="215"/>
      <c r="U263" s="20"/>
      <c r="Y263" s="42"/>
    </row>
    <row r="264" spans="1:25" s="7" customFormat="1">
      <c r="A264" s="21">
        <f t="shared" si="87"/>
        <v>257</v>
      </c>
      <c r="B264" s="175"/>
      <c r="C264" s="176"/>
      <c r="D264" s="177">
        <v>0</v>
      </c>
      <c r="E264" s="180"/>
      <c r="F264" s="22" t="str">
        <f>IFERROR(VLOOKUP($E264,Casilleros!$A$4:$I$830,4,FALSE),"")</f>
        <v/>
      </c>
      <c r="G264" s="22" t="str">
        <f>IFERROR(VLOOKUP($E264,Casilleros!$A$4:$I$830,9,FALSE),"")</f>
        <v/>
      </c>
      <c r="H264" s="22" t="str">
        <f>IFERROR(VLOOKUP($E264,Casilleros!$A$4:$J$830,10,FALSE),"")</f>
        <v/>
      </c>
      <c r="I264" s="6" t="e">
        <f>SUMIF(#REF!,$B264,#REF!)</f>
        <v>#REF!</v>
      </c>
      <c r="J264" s="6" t="e">
        <f>SUMIF(#REF!,$B264,#REF!)</f>
        <v>#REF!</v>
      </c>
      <c r="K264" s="6" t="e">
        <f t="shared" si="88"/>
        <v>#REF!</v>
      </c>
      <c r="L264" s="6" t="e">
        <f t="shared" si="89"/>
        <v>#REF!</v>
      </c>
      <c r="M264" s="185"/>
      <c r="N264" s="20"/>
      <c r="O264" s="215"/>
      <c r="U264" s="20"/>
      <c r="Y264" s="42"/>
    </row>
    <row r="265" spans="1:25" s="7" customFormat="1">
      <c r="A265" s="21">
        <f t="shared" si="87"/>
        <v>258</v>
      </c>
      <c r="B265" s="175"/>
      <c r="C265" s="176"/>
      <c r="D265" s="177">
        <v>0</v>
      </c>
      <c r="E265" s="180"/>
      <c r="F265" s="22" t="str">
        <f>IFERROR(VLOOKUP($E265,Casilleros!$A$4:$I$830,4,FALSE),"")</f>
        <v/>
      </c>
      <c r="G265" s="22" t="str">
        <f>IFERROR(VLOOKUP($E265,Casilleros!$A$4:$I$830,9,FALSE),"")</f>
        <v/>
      </c>
      <c r="H265" s="22" t="str">
        <f>IFERROR(VLOOKUP($E265,Casilleros!$A$4:$J$830,10,FALSE),"")</f>
        <v/>
      </c>
      <c r="I265" s="6" t="e">
        <f>SUMIF(#REF!,$B265,#REF!)</f>
        <v>#REF!</v>
      </c>
      <c r="J265" s="6" t="e">
        <f>SUMIF(#REF!,$B265,#REF!)</f>
        <v>#REF!</v>
      </c>
      <c r="K265" s="6" t="e">
        <f t="shared" si="88"/>
        <v>#REF!</v>
      </c>
      <c r="L265" s="6" t="e">
        <f t="shared" si="89"/>
        <v>#REF!</v>
      </c>
      <c r="M265" s="185"/>
      <c r="N265" s="20"/>
      <c r="O265" s="215"/>
      <c r="U265" s="20"/>
      <c r="Y265" s="42"/>
    </row>
    <row r="266" spans="1:25" s="7" customFormat="1">
      <c r="A266" s="21">
        <f t="shared" si="87"/>
        <v>259</v>
      </c>
      <c r="B266" s="175"/>
      <c r="C266" s="176"/>
      <c r="D266" s="177">
        <v>0</v>
      </c>
      <c r="E266" s="180"/>
      <c r="F266" s="22" t="str">
        <f>IFERROR(VLOOKUP($E266,Casilleros!$A$4:$I$830,4,FALSE),"")</f>
        <v/>
      </c>
      <c r="G266" s="22" t="str">
        <f>IFERROR(VLOOKUP($E266,Casilleros!$A$4:$I$830,9,FALSE),"")</f>
        <v/>
      </c>
      <c r="H266" s="22" t="str">
        <f>IFERROR(VLOOKUP($E266,Casilleros!$A$4:$J$830,10,FALSE),"")</f>
        <v/>
      </c>
      <c r="I266" s="6" t="e">
        <f>SUMIF(#REF!,$B266,#REF!)</f>
        <v>#REF!</v>
      </c>
      <c r="J266" s="6" t="e">
        <f>SUMIF(#REF!,$B266,#REF!)</f>
        <v>#REF!</v>
      </c>
      <c r="K266" s="6" t="e">
        <f t="shared" si="88"/>
        <v>#REF!</v>
      </c>
      <c r="L266" s="6" t="e">
        <f t="shared" si="89"/>
        <v>#REF!</v>
      </c>
      <c r="M266" s="185"/>
      <c r="N266" s="20"/>
      <c r="O266" s="215"/>
      <c r="U266" s="20"/>
      <c r="Y266" s="42"/>
    </row>
    <row r="267" spans="1:25" s="7" customFormat="1">
      <c r="A267" s="21">
        <f t="shared" si="87"/>
        <v>260</v>
      </c>
      <c r="B267" s="175"/>
      <c r="C267" s="176"/>
      <c r="D267" s="177">
        <v>0</v>
      </c>
      <c r="E267" s="180"/>
      <c r="F267" s="22" t="str">
        <f>IFERROR(VLOOKUP($E267,Casilleros!$A$4:$I$830,4,FALSE),"")</f>
        <v/>
      </c>
      <c r="G267" s="22" t="str">
        <f>IFERROR(VLOOKUP($E267,Casilleros!$A$4:$I$830,9,FALSE),"")</f>
        <v/>
      </c>
      <c r="H267" s="22" t="str">
        <f>IFERROR(VLOOKUP($E267,Casilleros!$A$4:$J$830,10,FALSE),"")</f>
        <v/>
      </c>
      <c r="I267" s="6" t="e">
        <f>SUMIF(#REF!,$B267,#REF!)</f>
        <v>#REF!</v>
      </c>
      <c r="J267" s="6" t="e">
        <f>SUMIF(#REF!,$B267,#REF!)</f>
        <v>#REF!</v>
      </c>
      <c r="K267" s="6" t="e">
        <f t="shared" si="88"/>
        <v>#REF!</v>
      </c>
      <c r="L267" s="6" t="e">
        <f t="shared" si="89"/>
        <v>#REF!</v>
      </c>
      <c r="M267" s="185"/>
      <c r="N267" s="20"/>
      <c r="O267" s="215"/>
      <c r="U267" s="20"/>
      <c r="Y267" s="42"/>
    </row>
    <row r="268" spans="1:25" s="7" customFormat="1">
      <c r="A268" s="21">
        <f t="shared" si="87"/>
        <v>261</v>
      </c>
      <c r="B268" s="175"/>
      <c r="C268" s="176"/>
      <c r="D268" s="177">
        <v>0</v>
      </c>
      <c r="E268" s="180"/>
      <c r="F268" s="22" t="str">
        <f>IFERROR(VLOOKUP($E268,Casilleros!$A$4:$I$830,4,FALSE),"")</f>
        <v/>
      </c>
      <c r="G268" s="22" t="str">
        <f>IFERROR(VLOOKUP($E268,Casilleros!$A$4:$I$830,9,FALSE),"")</f>
        <v/>
      </c>
      <c r="H268" s="22" t="str">
        <f>IFERROR(VLOOKUP($E268,Casilleros!$A$4:$J$830,10,FALSE),"")</f>
        <v/>
      </c>
      <c r="I268" s="6" t="e">
        <f>SUMIF(#REF!,$B268,#REF!)</f>
        <v>#REF!</v>
      </c>
      <c r="J268" s="6" t="e">
        <f>SUMIF(#REF!,$B268,#REF!)</f>
        <v>#REF!</v>
      </c>
      <c r="K268" s="6" t="e">
        <f t="shared" si="88"/>
        <v>#REF!</v>
      </c>
      <c r="L268" s="6" t="e">
        <f t="shared" si="89"/>
        <v>#REF!</v>
      </c>
      <c r="M268" s="185"/>
      <c r="N268" s="20"/>
      <c r="O268" s="215"/>
      <c r="U268" s="20"/>
      <c r="Y268" s="42"/>
    </row>
    <row r="269" spans="1:25" s="7" customFormat="1">
      <c r="A269" s="21">
        <f t="shared" si="87"/>
        <v>262</v>
      </c>
      <c r="B269" s="175"/>
      <c r="C269" s="176"/>
      <c r="D269" s="177">
        <v>0</v>
      </c>
      <c r="E269" s="180"/>
      <c r="F269" s="22" t="str">
        <f>IFERROR(VLOOKUP($E269,Casilleros!$A$4:$I$830,4,FALSE),"")</f>
        <v/>
      </c>
      <c r="G269" s="22" t="str">
        <f>IFERROR(VLOOKUP($E269,Casilleros!$A$4:$I$830,9,FALSE),"")</f>
        <v/>
      </c>
      <c r="H269" s="22" t="str">
        <f>IFERROR(VLOOKUP($E269,Casilleros!$A$4:$J$830,10,FALSE),"")</f>
        <v/>
      </c>
      <c r="I269" s="6" t="e">
        <f>SUMIF(#REF!,$B269,#REF!)</f>
        <v>#REF!</v>
      </c>
      <c r="J269" s="6" t="e">
        <f>SUMIF(#REF!,$B269,#REF!)</f>
        <v>#REF!</v>
      </c>
      <c r="K269" s="6" t="e">
        <f t="shared" si="88"/>
        <v>#REF!</v>
      </c>
      <c r="L269" s="6" t="e">
        <f t="shared" si="89"/>
        <v>#REF!</v>
      </c>
      <c r="M269" s="185"/>
      <c r="N269" s="20"/>
      <c r="O269" s="215"/>
      <c r="U269" s="20"/>
      <c r="Y269" s="42"/>
    </row>
    <row r="270" spans="1:25" s="7" customFormat="1">
      <c r="A270" s="21">
        <f t="shared" si="87"/>
        <v>263</v>
      </c>
      <c r="B270" s="175"/>
      <c r="C270" s="176"/>
      <c r="D270" s="177">
        <v>0</v>
      </c>
      <c r="E270" s="180"/>
      <c r="F270" s="22" t="str">
        <f>IFERROR(VLOOKUP($E270,Casilleros!$A$4:$I$830,4,FALSE),"")</f>
        <v/>
      </c>
      <c r="G270" s="22" t="str">
        <f>IFERROR(VLOOKUP($E270,Casilleros!$A$4:$I$830,9,FALSE),"")</f>
        <v/>
      </c>
      <c r="H270" s="22" t="str">
        <f>IFERROR(VLOOKUP($E270,Casilleros!$A$4:$J$830,10,FALSE),"")</f>
        <v/>
      </c>
      <c r="I270" s="6" t="e">
        <f>SUMIF(#REF!,$B270,#REF!)</f>
        <v>#REF!</v>
      </c>
      <c r="J270" s="6" t="e">
        <f>SUMIF(#REF!,$B270,#REF!)</f>
        <v>#REF!</v>
      </c>
      <c r="K270" s="6" t="e">
        <f t="shared" si="88"/>
        <v>#REF!</v>
      </c>
      <c r="L270" s="6" t="e">
        <f t="shared" si="89"/>
        <v>#REF!</v>
      </c>
      <c r="M270" s="185"/>
      <c r="N270" s="20"/>
      <c r="O270" s="215"/>
      <c r="U270" s="20"/>
      <c r="Y270" s="42"/>
    </row>
    <row r="271" spans="1:25" s="7" customFormat="1">
      <c r="A271" s="21">
        <f t="shared" si="87"/>
        <v>264</v>
      </c>
      <c r="B271" s="175"/>
      <c r="C271" s="176"/>
      <c r="D271" s="177">
        <v>0</v>
      </c>
      <c r="E271" s="180"/>
      <c r="F271" s="22" t="str">
        <f>IFERROR(VLOOKUP($E271,Casilleros!$A$4:$I$830,4,FALSE),"")</f>
        <v/>
      </c>
      <c r="G271" s="22" t="str">
        <f>IFERROR(VLOOKUP($E271,Casilleros!$A$4:$I$830,9,FALSE),"")</f>
        <v/>
      </c>
      <c r="H271" s="22" t="str">
        <f>IFERROR(VLOOKUP($E271,Casilleros!$A$4:$J$830,10,FALSE),"")</f>
        <v/>
      </c>
      <c r="I271" s="6" t="e">
        <f>SUMIF(#REF!,$B271,#REF!)</f>
        <v>#REF!</v>
      </c>
      <c r="J271" s="6" t="e">
        <f>SUMIF(#REF!,$B271,#REF!)</f>
        <v>#REF!</v>
      </c>
      <c r="K271" s="6" t="e">
        <f t="shared" si="88"/>
        <v>#REF!</v>
      </c>
      <c r="L271" s="6" t="e">
        <f t="shared" si="89"/>
        <v>#REF!</v>
      </c>
      <c r="M271" s="185"/>
      <c r="N271" s="20"/>
      <c r="O271" s="215"/>
      <c r="U271" s="20"/>
      <c r="Y271" s="42"/>
    </row>
    <row r="272" spans="1:25" s="7" customFormat="1">
      <c r="A272" s="21">
        <f t="shared" si="87"/>
        <v>265</v>
      </c>
      <c r="B272" s="178"/>
      <c r="C272" s="179"/>
      <c r="D272" s="177">
        <v>0</v>
      </c>
      <c r="E272" s="180"/>
      <c r="F272" s="22" t="str">
        <f>IFERROR(VLOOKUP($E272,Casilleros!$A$4:$I$830,4,FALSE),"")</f>
        <v/>
      </c>
      <c r="G272" s="22" t="str">
        <f>IFERROR(VLOOKUP($E272,Casilleros!$A$4:$I$830,9,FALSE),"")</f>
        <v/>
      </c>
      <c r="H272" s="22" t="str">
        <f>IFERROR(VLOOKUP($E272,Casilleros!$A$4:$J$830,10,FALSE),"")</f>
        <v/>
      </c>
      <c r="I272" s="6" t="e">
        <f>SUMIF(#REF!,$B272,#REF!)</f>
        <v>#REF!</v>
      </c>
      <c r="J272" s="6" t="e">
        <f>SUMIF(#REF!,$B272,#REF!)</f>
        <v>#REF!</v>
      </c>
      <c r="K272" s="6" t="e">
        <f t="shared" ref="K272" si="90">+D272+SUM(I272:J272)</f>
        <v>#REF!</v>
      </c>
      <c r="L272" s="6" t="e">
        <f t="shared" ref="L272" si="91">IF(E272="",K272,0)</f>
        <v>#REF!</v>
      </c>
      <c r="M272" s="185"/>
      <c r="N272" s="20"/>
      <c r="O272" s="215"/>
      <c r="U272" s="20"/>
      <c r="Y272" s="42"/>
    </row>
    <row r="273" spans="1:25" s="7" customFormat="1">
      <c r="A273" s="21">
        <f t="shared" si="87"/>
        <v>266</v>
      </c>
      <c r="B273" s="175"/>
      <c r="C273" s="176"/>
      <c r="D273" s="177">
        <v>0</v>
      </c>
      <c r="E273" s="180"/>
      <c r="F273" s="22" t="str">
        <f>IFERROR(VLOOKUP($E273,Casilleros!$A$4:$I$830,4,FALSE),"")</f>
        <v/>
      </c>
      <c r="G273" s="22" t="str">
        <f>IFERROR(VLOOKUP($E273,Casilleros!$A$4:$I$830,9,FALSE),"")</f>
        <v/>
      </c>
      <c r="H273" s="22" t="str">
        <f>IFERROR(VLOOKUP($E273,Casilleros!$A$4:$J$830,10,FALSE),"")</f>
        <v/>
      </c>
      <c r="I273" s="6" t="e">
        <f>SUMIF(#REF!,$B273,#REF!)</f>
        <v>#REF!</v>
      </c>
      <c r="J273" s="6" t="e">
        <f>SUMIF(#REF!,$B273,#REF!)</f>
        <v>#REF!</v>
      </c>
      <c r="K273" s="6" t="e">
        <f t="shared" si="88"/>
        <v>#REF!</v>
      </c>
      <c r="L273" s="6" t="e">
        <f t="shared" si="89"/>
        <v>#REF!</v>
      </c>
      <c r="M273" s="185"/>
      <c r="N273" s="20"/>
      <c r="O273" s="215"/>
      <c r="U273" s="20"/>
      <c r="Y273" s="42"/>
    </row>
    <row r="274" spans="1:25" s="7" customFormat="1">
      <c r="A274" s="21">
        <f t="shared" si="87"/>
        <v>267</v>
      </c>
      <c r="B274" s="175"/>
      <c r="C274" s="176"/>
      <c r="D274" s="177">
        <v>0</v>
      </c>
      <c r="E274" s="180"/>
      <c r="F274" s="22" t="str">
        <f>IFERROR(VLOOKUP($E274,Casilleros!$A$4:$I$830,4,FALSE),"")</f>
        <v/>
      </c>
      <c r="G274" s="22" t="str">
        <f>IFERROR(VLOOKUP($E274,Casilleros!$A$4:$I$830,9,FALSE),"")</f>
        <v/>
      </c>
      <c r="H274" s="22" t="str">
        <f>IFERROR(VLOOKUP($E274,Casilleros!$A$4:$J$830,10,FALSE),"")</f>
        <v/>
      </c>
      <c r="I274" s="6" t="e">
        <f>SUMIF(#REF!,$B274,#REF!)</f>
        <v>#REF!</v>
      </c>
      <c r="J274" s="6" t="e">
        <f>SUMIF(#REF!,$B274,#REF!)</f>
        <v>#REF!</v>
      </c>
      <c r="K274" s="6" t="e">
        <f t="shared" si="88"/>
        <v>#REF!</v>
      </c>
      <c r="L274" s="6" t="e">
        <f t="shared" si="89"/>
        <v>#REF!</v>
      </c>
      <c r="M274" s="185"/>
      <c r="N274" s="20"/>
      <c r="O274" s="215"/>
      <c r="U274" s="20"/>
      <c r="Y274" s="42"/>
    </row>
    <row r="275" spans="1:25" s="7" customFormat="1">
      <c r="A275" s="21">
        <f t="shared" si="87"/>
        <v>268</v>
      </c>
      <c r="B275" s="175"/>
      <c r="C275" s="176"/>
      <c r="D275" s="177">
        <v>0</v>
      </c>
      <c r="E275" s="180"/>
      <c r="F275" s="22" t="str">
        <f>IFERROR(VLOOKUP($E275,Casilleros!$A$4:$I$830,4,FALSE),"")</f>
        <v/>
      </c>
      <c r="G275" s="22" t="str">
        <f>IFERROR(VLOOKUP($E275,Casilleros!$A$4:$I$830,9,FALSE),"")</f>
        <v/>
      </c>
      <c r="H275" s="22" t="str">
        <f>IFERROR(VLOOKUP($E275,Casilleros!$A$4:$J$830,10,FALSE),"")</f>
        <v/>
      </c>
      <c r="I275" s="6" t="e">
        <f>SUMIF(#REF!,$B275,#REF!)</f>
        <v>#REF!</v>
      </c>
      <c r="J275" s="6" t="e">
        <f>SUMIF(#REF!,$B275,#REF!)</f>
        <v>#REF!</v>
      </c>
      <c r="K275" s="6" t="e">
        <f t="shared" si="88"/>
        <v>#REF!</v>
      </c>
      <c r="L275" s="6" t="e">
        <f t="shared" si="89"/>
        <v>#REF!</v>
      </c>
      <c r="M275" s="185"/>
      <c r="N275" s="20"/>
      <c r="O275" s="215"/>
      <c r="U275" s="20"/>
      <c r="Y275" s="42"/>
    </row>
    <row r="276" spans="1:25" s="7" customFormat="1">
      <c r="A276" s="21">
        <f t="shared" si="87"/>
        <v>269</v>
      </c>
      <c r="B276" s="175"/>
      <c r="C276" s="176"/>
      <c r="D276" s="177">
        <v>0</v>
      </c>
      <c r="E276" s="180"/>
      <c r="F276" s="22" t="str">
        <f>IFERROR(VLOOKUP($E276,Casilleros!$A$4:$I$830,4,FALSE),"")</f>
        <v/>
      </c>
      <c r="G276" s="22" t="str">
        <f>IFERROR(VLOOKUP($E276,Casilleros!$A$4:$I$830,9,FALSE),"")</f>
        <v/>
      </c>
      <c r="H276" s="22" t="str">
        <f>IFERROR(VLOOKUP($E276,Casilleros!$A$4:$J$830,10,FALSE),"")</f>
        <v/>
      </c>
      <c r="I276" s="6" t="e">
        <f>SUMIF(#REF!,$B276,#REF!)</f>
        <v>#REF!</v>
      </c>
      <c r="J276" s="6" t="e">
        <f>SUMIF(#REF!,$B276,#REF!)</f>
        <v>#REF!</v>
      </c>
      <c r="K276" s="6" t="e">
        <f t="shared" si="88"/>
        <v>#REF!</v>
      </c>
      <c r="L276" s="6" t="e">
        <f t="shared" si="89"/>
        <v>#REF!</v>
      </c>
      <c r="M276" s="185"/>
      <c r="N276" s="20"/>
      <c r="O276" s="215"/>
      <c r="U276" s="20"/>
      <c r="Y276" s="42"/>
    </row>
    <row r="277" spans="1:25" s="7" customFormat="1">
      <c r="A277" s="21">
        <f t="shared" si="87"/>
        <v>270</v>
      </c>
      <c r="B277" s="175"/>
      <c r="C277" s="176"/>
      <c r="D277" s="177">
        <v>0</v>
      </c>
      <c r="E277" s="180"/>
      <c r="F277" s="22" t="str">
        <f>IFERROR(VLOOKUP($E277,Casilleros!$A$4:$I$830,4,FALSE),"")</f>
        <v/>
      </c>
      <c r="G277" s="22" t="str">
        <f>IFERROR(VLOOKUP($E277,Casilleros!$A$4:$I$830,9,FALSE),"")</f>
        <v/>
      </c>
      <c r="H277" s="22" t="str">
        <f>IFERROR(VLOOKUP($E277,Casilleros!$A$4:$J$830,10,FALSE),"")</f>
        <v/>
      </c>
      <c r="I277" s="6" t="e">
        <f>SUMIF(#REF!,$B277,#REF!)</f>
        <v>#REF!</v>
      </c>
      <c r="J277" s="6" t="e">
        <f>SUMIF(#REF!,$B277,#REF!)</f>
        <v>#REF!</v>
      </c>
      <c r="K277" s="6" t="e">
        <f t="shared" si="88"/>
        <v>#REF!</v>
      </c>
      <c r="L277" s="6" t="e">
        <f t="shared" si="89"/>
        <v>#REF!</v>
      </c>
      <c r="M277" s="185"/>
      <c r="N277" s="20"/>
      <c r="O277" s="215"/>
      <c r="U277" s="20"/>
      <c r="Y277" s="42"/>
    </row>
    <row r="278" spans="1:25" s="7" customFormat="1">
      <c r="A278" s="21">
        <f t="shared" si="87"/>
        <v>271</v>
      </c>
      <c r="B278" s="175"/>
      <c r="C278" s="176"/>
      <c r="D278" s="177">
        <v>0</v>
      </c>
      <c r="E278" s="180"/>
      <c r="F278" s="22" t="str">
        <f>IFERROR(VLOOKUP($E278,Casilleros!$A$4:$I$830,4,FALSE),"")</f>
        <v/>
      </c>
      <c r="G278" s="22" t="str">
        <f>IFERROR(VLOOKUP($E278,Casilleros!$A$4:$I$830,9,FALSE),"")</f>
        <v/>
      </c>
      <c r="H278" s="22" t="str">
        <f>IFERROR(VLOOKUP($E278,Casilleros!$A$4:$J$830,10,FALSE),"")</f>
        <v/>
      </c>
      <c r="I278" s="6" t="e">
        <f>SUMIF(#REF!,$B278,#REF!)</f>
        <v>#REF!</v>
      </c>
      <c r="J278" s="6" t="e">
        <f>SUMIF(#REF!,$B278,#REF!)</f>
        <v>#REF!</v>
      </c>
      <c r="K278" s="6" t="e">
        <f t="shared" si="88"/>
        <v>#REF!</v>
      </c>
      <c r="L278" s="6" t="e">
        <f t="shared" si="89"/>
        <v>#REF!</v>
      </c>
      <c r="M278" s="185"/>
      <c r="N278" s="20"/>
      <c r="O278" s="215"/>
      <c r="U278" s="20"/>
      <c r="Y278" s="42"/>
    </row>
    <row r="279" spans="1:25" s="7" customFormat="1">
      <c r="A279" s="21">
        <f t="shared" si="87"/>
        <v>272</v>
      </c>
      <c r="B279" s="175"/>
      <c r="C279" s="176"/>
      <c r="D279" s="177">
        <v>0</v>
      </c>
      <c r="E279" s="180"/>
      <c r="F279" s="22" t="str">
        <f>IFERROR(VLOOKUP($E279,Casilleros!$A$4:$I$830,4,FALSE),"")</f>
        <v/>
      </c>
      <c r="G279" s="22" t="str">
        <f>IFERROR(VLOOKUP($E279,Casilleros!$A$4:$I$830,9,FALSE),"")</f>
        <v/>
      </c>
      <c r="H279" s="22" t="str">
        <f>IFERROR(VLOOKUP($E279,Casilleros!$A$4:$J$830,10,FALSE),"")</f>
        <v/>
      </c>
      <c r="I279" s="6" t="e">
        <f>SUMIF(#REF!,$B279,#REF!)</f>
        <v>#REF!</v>
      </c>
      <c r="J279" s="6" t="e">
        <f>SUMIF(#REF!,$B279,#REF!)</f>
        <v>#REF!</v>
      </c>
      <c r="K279" s="6" t="e">
        <f t="shared" si="88"/>
        <v>#REF!</v>
      </c>
      <c r="L279" s="6" t="e">
        <f t="shared" si="89"/>
        <v>#REF!</v>
      </c>
      <c r="M279" s="185"/>
      <c r="N279" s="20"/>
      <c r="O279" s="215"/>
      <c r="U279" s="20"/>
      <c r="Y279" s="42"/>
    </row>
    <row r="280" spans="1:25" s="7" customFormat="1">
      <c r="A280" s="21">
        <f t="shared" si="87"/>
        <v>273</v>
      </c>
      <c r="B280" s="175"/>
      <c r="C280" s="176"/>
      <c r="D280" s="177">
        <v>0</v>
      </c>
      <c r="E280" s="180"/>
      <c r="F280" s="22" t="str">
        <f>IFERROR(VLOOKUP($E280,Casilleros!$A$4:$I$830,4,FALSE),"")</f>
        <v/>
      </c>
      <c r="G280" s="22" t="str">
        <f>IFERROR(VLOOKUP($E280,Casilleros!$A$4:$I$830,9,FALSE),"")</f>
        <v/>
      </c>
      <c r="H280" s="22" t="str">
        <f>IFERROR(VLOOKUP($E280,Casilleros!$A$4:$J$830,10,FALSE),"")</f>
        <v/>
      </c>
      <c r="I280" s="6" t="e">
        <f>SUMIF(#REF!,$B280,#REF!)</f>
        <v>#REF!</v>
      </c>
      <c r="J280" s="6" t="e">
        <f>SUMIF(#REF!,$B280,#REF!)</f>
        <v>#REF!</v>
      </c>
      <c r="K280" s="6" t="e">
        <f t="shared" si="88"/>
        <v>#REF!</v>
      </c>
      <c r="L280" s="6" t="e">
        <f t="shared" si="89"/>
        <v>#REF!</v>
      </c>
      <c r="M280" s="185"/>
      <c r="N280" s="20"/>
      <c r="O280" s="215"/>
      <c r="U280" s="20"/>
      <c r="Y280" s="42"/>
    </row>
    <row r="281" spans="1:25" s="7" customFormat="1">
      <c r="A281" s="21">
        <f t="shared" si="87"/>
        <v>274</v>
      </c>
      <c r="B281" s="175"/>
      <c r="C281" s="176"/>
      <c r="D281" s="177">
        <v>0</v>
      </c>
      <c r="E281" s="180"/>
      <c r="F281" s="22" t="str">
        <f>IFERROR(VLOOKUP($E281,Casilleros!$A$4:$I$830,4,FALSE),"")</f>
        <v/>
      </c>
      <c r="G281" s="22" t="str">
        <f>IFERROR(VLOOKUP($E281,Casilleros!$A$4:$I$830,9,FALSE),"")</f>
        <v/>
      </c>
      <c r="H281" s="22" t="str">
        <f>IFERROR(VLOOKUP($E281,Casilleros!$A$4:$J$830,10,FALSE),"")</f>
        <v/>
      </c>
      <c r="I281" s="6" t="e">
        <f>SUMIF(#REF!,$B281,#REF!)</f>
        <v>#REF!</v>
      </c>
      <c r="J281" s="6" t="e">
        <f>SUMIF(#REF!,$B281,#REF!)</f>
        <v>#REF!</v>
      </c>
      <c r="K281" s="6" t="e">
        <f t="shared" si="88"/>
        <v>#REF!</v>
      </c>
      <c r="L281" s="6" t="e">
        <f t="shared" si="89"/>
        <v>#REF!</v>
      </c>
      <c r="M281" s="185"/>
      <c r="N281" s="20"/>
      <c r="O281" s="215"/>
      <c r="U281" s="20"/>
      <c r="Y281" s="42"/>
    </row>
    <row r="282" spans="1:25" s="7" customFormat="1">
      <c r="A282" s="21">
        <f t="shared" si="87"/>
        <v>275</v>
      </c>
      <c r="B282" s="175"/>
      <c r="C282" s="176"/>
      <c r="D282" s="177">
        <v>0</v>
      </c>
      <c r="E282" s="180"/>
      <c r="F282" s="22" t="str">
        <f>IFERROR(VLOOKUP($E282,Casilleros!$A$4:$I$830,4,FALSE),"")</f>
        <v/>
      </c>
      <c r="G282" s="22" t="str">
        <f>IFERROR(VLOOKUP($E282,Casilleros!$A$4:$I$830,9,FALSE),"")</f>
        <v/>
      </c>
      <c r="H282" s="22" t="str">
        <f>IFERROR(VLOOKUP($E282,Casilleros!$A$4:$J$830,10,FALSE),"")</f>
        <v/>
      </c>
      <c r="I282" s="6" t="e">
        <f>SUMIF(#REF!,$B282,#REF!)</f>
        <v>#REF!</v>
      </c>
      <c r="J282" s="6" t="e">
        <f>SUMIF(#REF!,$B282,#REF!)</f>
        <v>#REF!</v>
      </c>
      <c r="K282" s="6" t="e">
        <f t="shared" si="88"/>
        <v>#REF!</v>
      </c>
      <c r="L282" s="6" t="e">
        <f t="shared" si="89"/>
        <v>#REF!</v>
      </c>
      <c r="M282" s="185"/>
      <c r="N282" s="20"/>
      <c r="O282" s="215"/>
      <c r="U282" s="20"/>
      <c r="Y282" s="42"/>
    </row>
    <row r="283" spans="1:25" s="7" customFormat="1">
      <c r="A283" s="21">
        <f t="shared" si="87"/>
        <v>276</v>
      </c>
      <c r="B283" s="175"/>
      <c r="C283" s="176"/>
      <c r="D283" s="177">
        <v>0</v>
      </c>
      <c r="E283" s="180"/>
      <c r="F283" s="22" t="str">
        <f>IFERROR(VLOOKUP($E283,Casilleros!$A$4:$I$830,4,FALSE),"")</f>
        <v/>
      </c>
      <c r="G283" s="22" t="str">
        <f>IFERROR(VLOOKUP($E283,Casilleros!$A$4:$I$830,9,FALSE),"")</f>
        <v/>
      </c>
      <c r="H283" s="22" t="str">
        <f>IFERROR(VLOOKUP($E283,Casilleros!$A$4:$J$830,10,FALSE),"")</f>
        <v/>
      </c>
      <c r="I283" s="6" t="e">
        <f>SUMIF(#REF!,$B283,#REF!)</f>
        <v>#REF!</v>
      </c>
      <c r="J283" s="6" t="e">
        <f>SUMIF(#REF!,$B283,#REF!)</f>
        <v>#REF!</v>
      </c>
      <c r="K283" s="6" t="e">
        <f t="shared" si="88"/>
        <v>#REF!</v>
      </c>
      <c r="L283" s="6" t="e">
        <f t="shared" si="89"/>
        <v>#REF!</v>
      </c>
      <c r="M283" s="185"/>
      <c r="N283" s="20"/>
      <c r="O283" s="215"/>
      <c r="U283" s="20"/>
      <c r="Y283" s="42"/>
    </row>
    <row r="284" spans="1:25" s="7" customFormat="1">
      <c r="A284" s="21">
        <f t="shared" si="87"/>
        <v>277</v>
      </c>
      <c r="B284" s="175"/>
      <c r="C284" s="176"/>
      <c r="D284" s="177">
        <v>0</v>
      </c>
      <c r="E284" s="180"/>
      <c r="F284" s="22" t="str">
        <f>IFERROR(VLOOKUP($E284,Casilleros!$A$4:$I$830,4,FALSE),"")</f>
        <v/>
      </c>
      <c r="G284" s="22" t="str">
        <f>IFERROR(VLOOKUP($E284,Casilleros!$A$4:$I$830,9,FALSE),"")</f>
        <v/>
      </c>
      <c r="H284" s="22" t="str">
        <f>IFERROR(VLOOKUP($E284,Casilleros!$A$4:$J$830,10,FALSE),"")</f>
        <v/>
      </c>
      <c r="I284" s="6" t="e">
        <f>SUMIF(#REF!,$B284,#REF!)</f>
        <v>#REF!</v>
      </c>
      <c r="J284" s="6" t="e">
        <f>SUMIF(#REF!,$B284,#REF!)</f>
        <v>#REF!</v>
      </c>
      <c r="K284" s="6" t="e">
        <f t="shared" si="88"/>
        <v>#REF!</v>
      </c>
      <c r="L284" s="6" t="e">
        <f t="shared" si="89"/>
        <v>#REF!</v>
      </c>
      <c r="M284" s="185"/>
      <c r="N284" s="20"/>
      <c r="O284" s="215"/>
      <c r="U284" s="20"/>
      <c r="Y284" s="42"/>
    </row>
    <row r="285" spans="1:25" s="7" customFormat="1">
      <c r="A285" s="21">
        <f t="shared" si="87"/>
        <v>278</v>
      </c>
      <c r="B285" s="175"/>
      <c r="C285" s="176"/>
      <c r="D285" s="177">
        <v>0</v>
      </c>
      <c r="E285" s="180"/>
      <c r="F285" s="22" t="str">
        <f>IFERROR(VLOOKUP($E285,Casilleros!$A$4:$I$830,4,FALSE),"")</f>
        <v/>
      </c>
      <c r="G285" s="22" t="str">
        <f>IFERROR(VLOOKUP($E285,Casilleros!$A$4:$I$830,9,FALSE),"")</f>
        <v/>
      </c>
      <c r="H285" s="22" t="str">
        <f>IFERROR(VLOOKUP($E285,Casilleros!$A$4:$J$830,10,FALSE),"")</f>
        <v/>
      </c>
      <c r="I285" s="6" t="e">
        <f>SUMIF(#REF!,$B285,#REF!)</f>
        <v>#REF!</v>
      </c>
      <c r="J285" s="6" t="e">
        <f>SUMIF(#REF!,$B285,#REF!)</f>
        <v>#REF!</v>
      </c>
      <c r="K285" s="6" t="e">
        <f t="shared" si="88"/>
        <v>#REF!</v>
      </c>
      <c r="L285" s="6" t="e">
        <f t="shared" si="89"/>
        <v>#REF!</v>
      </c>
      <c r="M285" s="185"/>
      <c r="N285" s="20"/>
      <c r="O285" s="215"/>
      <c r="U285" s="20"/>
      <c r="Y285" s="42"/>
    </row>
    <row r="286" spans="1:25" s="7" customFormat="1">
      <c r="A286" s="21">
        <f t="shared" si="87"/>
        <v>279</v>
      </c>
      <c r="B286" s="175"/>
      <c r="C286" s="176"/>
      <c r="D286" s="177">
        <v>0</v>
      </c>
      <c r="E286" s="180"/>
      <c r="F286" s="22" t="str">
        <f>IFERROR(VLOOKUP($E286,Casilleros!$A$4:$I$830,4,FALSE),"")</f>
        <v/>
      </c>
      <c r="G286" s="22" t="str">
        <f>IFERROR(VLOOKUP($E286,Casilleros!$A$4:$I$830,9,FALSE),"")</f>
        <v/>
      </c>
      <c r="H286" s="22" t="str">
        <f>IFERROR(VLOOKUP($E286,Casilleros!$A$4:$J$830,10,FALSE),"")</f>
        <v/>
      </c>
      <c r="I286" s="6" t="e">
        <f>SUMIF(#REF!,$B286,#REF!)</f>
        <v>#REF!</v>
      </c>
      <c r="J286" s="6" t="e">
        <f>SUMIF(#REF!,$B286,#REF!)</f>
        <v>#REF!</v>
      </c>
      <c r="K286" s="6" t="e">
        <f t="shared" si="88"/>
        <v>#REF!</v>
      </c>
      <c r="L286" s="6" t="e">
        <f t="shared" si="89"/>
        <v>#REF!</v>
      </c>
      <c r="M286" s="185"/>
      <c r="N286" s="20"/>
      <c r="O286" s="215"/>
      <c r="U286" s="20"/>
      <c r="Y286" s="42"/>
    </row>
    <row r="287" spans="1:25" s="7" customFormat="1">
      <c r="A287" s="21">
        <f t="shared" si="87"/>
        <v>280</v>
      </c>
      <c r="B287" s="175"/>
      <c r="C287" s="176"/>
      <c r="D287" s="177">
        <v>0</v>
      </c>
      <c r="E287" s="180"/>
      <c r="F287" s="22" t="str">
        <f>IFERROR(VLOOKUP($E287,Casilleros!$A$4:$I$830,4,FALSE),"")</f>
        <v/>
      </c>
      <c r="G287" s="22" t="str">
        <f>IFERROR(VLOOKUP($E287,Casilleros!$A$4:$I$830,9,FALSE),"")</f>
        <v/>
      </c>
      <c r="H287" s="22" t="str">
        <f>IFERROR(VLOOKUP($E287,Casilleros!$A$4:$J$830,10,FALSE),"")</f>
        <v/>
      </c>
      <c r="I287" s="6" t="e">
        <f>SUMIF(#REF!,$B287,#REF!)</f>
        <v>#REF!</v>
      </c>
      <c r="J287" s="6" t="e">
        <f>SUMIF(#REF!,$B287,#REF!)</f>
        <v>#REF!</v>
      </c>
      <c r="K287" s="6" t="e">
        <f t="shared" si="88"/>
        <v>#REF!</v>
      </c>
      <c r="L287" s="6" t="e">
        <f t="shared" si="89"/>
        <v>#REF!</v>
      </c>
      <c r="M287" s="185"/>
      <c r="N287" s="20"/>
      <c r="O287" s="215"/>
      <c r="U287" s="20"/>
      <c r="Y287" s="42"/>
    </row>
    <row r="288" spans="1:25" s="7" customFormat="1">
      <c r="A288" s="21">
        <f t="shared" si="87"/>
        <v>281</v>
      </c>
      <c r="B288" s="175"/>
      <c r="C288" s="176"/>
      <c r="D288" s="177">
        <v>0</v>
      </c>
      <c r="E288" s="180"/>
      <c r="F288" s="22" t="str">
        <f>IFERROR(VLOOKUP($E288,Casilleros!$A$4:$I$830,4,FALSE),"")</f>
        <v/>
      </c>
      <c r="G288" s="22" t="str">
        <f>IFERROR(VLOOKUP($E288,Casilleros!$A$4:$I$830,9,FALSE),"")</f>
        <v/>
      </c>
      <c r="H288" s="22" t="str">
        <f>IFERROR(VLOOKUP($E288,Casilleros!$A$4:$J$830,10,FALSE),"")</f>
        <v/>
      </c>
      <c r="I288" s="6" t="e">
        <f>SUMIF(#REF!,$B288,#REF!)</f>
        <v>#REF!</v>
      </c>
      <c r="J288" s="6" t="e">
        <f>SUMIF(#REF!,$B288,#REF!)</f>
        <v>#REF!</v>
      </c>
      <c r="K288" s="6" t="e">
        <f t="shared" si="88"/>
        <v>#REF!</v>
      </c>
      <c r="L288" s="6" t="e">
        <f t="shared" si="89"/>
        <v>#REF!</v>
      </c>
      <c r="M288" s="185"/>
      <c r="N288" s="20"/>
      <c r="O288" s="215"/>
      <c r="U288" s="20"/>
      <c r="Y288" s="42"/>
    </row>
    <row r="289" spans="1:25" s="7" customFormat="1">
      <c r="A289" s="21">
        <f t="shared" si="87"/>
        <v>282</v>
      </c>
      <c r="B289" s="175"/>
      <c r="C289" s="176"/>
      <c r="D289" s="177">
        <v>0</v>
      </c>
      <c r="E289" s="180"/>
      <c r="F289" s="22" t="str">
        <f>IFERROR(VLOOKUP($E289,Casilleros!$A$4:$I$830,4,FALSE),"")</f>
        <v/>
      </c>
      <c r="G289" s="22" t="str">
        <f>IFERROR(VLOOKUP($E289,Casilleros!$A$4:$I$830,9,FALSE),"")</f>
        <v/>
      </c>
      <c r="H289" s="22" t="str">
        <f>IFERROR(VLOOKUP($E289,Casilleros!$A$4:$J$830,10,FALSE),"")</f>
        <v/>
      </c>
      <c r="I289" s="6" t="e">
        <f>SUMIF(#REF!,$B289,#REF!)</f>
        <v>#REF!</v>
      </c>
      <c r="J289" s="6" t="e">
        <f>SUMIF(#REF!,$B289,#REF!)</f>
        <v>#REF!</v>
      </c>
      <c r="K289" s="6" t="e">
        <f t="shared" si="88"/>
        <v>#REF!</v>
      </c>
      <c r="L289" s="6" t="e">
        <f t="shared" si="89"/>
        <v>#REF!</v>
      </c>
      <c r="M289" s="185"/>
      <c r="N289" s="20"/>
      <c r="O289" s="215"/>
      <c r="U289" s="20"/>
      <c r="Y289" s="42"/>
    </row>
    <row r="290" spans="1:25" s="7" customFormat="1">
      <c r="A290" s="21">
        <f t="shared" si="87"/>
        <v>283</v>
      </c>
      <c r="B290" s="175"/>
      <c r="C290" s="176"/>
      <c r="D290" s="177">
        <v>0</v>
      </c>
      <c r="E290" s="180"/>
      <c r="F290" s="22" t="str">
        <f>IFERROR(VLOOKUP($E290,Casilleros!$A$4:$I$830,4,FALSE),"")</f>
        <v/>
      </c>
      <c r="G290" s="22" t="str">
        <f>IFERROR(VLOOKUP($E290,Casilleros!$A$4:$I$830,9,FALSE),"")</f>
        <v/>
      </c>
      <c r="H290" s="22" t="str">
        <f>IFERROR(VLOOKUP($E290,Casilleros!$A$4:$J$830,10,FALSE),"")</f>
        <v/>
      </c>
      <c r="I290" s="6" t="e">
        <f>SUMIF(#REF!,$B290,#REF!)</f>
        <v>#REF!</v>
      </c>
      <c r="J290" s="6" t="e">
        <f>SUMIF(#REF!,$B290,#REF!)</f>
        <v>#REF!</v>
      </c>
      <c r="K290" s="6" t="e">
        <f t="shared" si="88"/>
        <v>#REF!</v>
      </c>
      <c r="L290" s="6" t="e">
        <f t="shared" si="89"/>
        <v>#REF!</v>
      </c>
      <c r="M290" s="185"/>
      <c r="N290" s="20"/>
      <c r="O290" s="215"/>
      <c r="U290" s="20"/>
      <c r="Y290" s="42"/>
    </row>
    <row r="291" spans="1:25" s="7" customFormat="1">
      <c r="A291" s="21">
        <f t="shared" si="87"/>
        <v>284</v>
      </c>
      <c r="B291" s="175"/>
      <c r="C291" s="176"/>
      <c r="D291" s="177">
        <v>0</v>
      </c>
      <c r="E291" s="180"/>
      <c r="F291" s="22" t="str">
        <f>IFERROR(VLOOKUP($E291,Casilleros!$A$4:$I$830,4,FALSE),"")</f>
        <v/>
      </c>
      <c r="G291" s="22" t="str">
        <f>IFERROR(VLOOKUP($E291,Casilleros!$A$4:$I$830,9,FALSE),"")</f>
        <v/>
      </c>
      <c r="H291" s="22" t="str">
        <f>IFERROR(VLOOKUP($E291,Casilleros!$A$4:$J$830,10,FALSE),"")</f>
        <v/>
      </c>
      <c r="I291" s="6" t="e">
        <f>SUMIF(#REF!,$B291,#REF!)</f>
        <v>#REF!</v>
      </c>
      <c r="J291" s="6" t="e">
        <f>SUMIF(#REF!,$B291,#REF!)</f>
        <v>#REF!</v>
      </c>
      <c r="K291" s="6" t="e">
        <f t="shared" si="88"/>
        <v>#REF!</v>
      </c>
      <c r="L291" s="6" t="e">
        <f t="shared" si="89"/>
        <v>#REF!</v>
      </c>
      <c r="M291" s="185"/>
      <c r="N291" s="20"/>
      <c r="O291" s="215"/>
      <c r="U291" s="20"/>
      <c r="Y291" s="42"/>
    </row>
    <row r="292" spans="1:25" s="7" customFormat="1">
      <c r="A292" s="21">
        <f t="shared" si="87"/>
        <v>285</v>
      </c>
      <c r="B292" s="175"/>
      <c r="C292" s="176"/>
      <c r="D292" s="177">
        <v>0</v>
      </c>
      <c r="E292" s="180"/>
      <c r="F292" s="22" t="str">
        <f>IFERROR(VLOOKUP($E292,Casilleros!$A$4:$I$830,4,FALSE),"")</f>
        <v/>
      </c>
      <c r="G292" s="22" t="str">
        <f>IFERROR(VLOOKUP($E292,Casilleros!$A$4:$I$830,9,FALSE),"")</f>
        <v/>
      </c>
      <c r="H292" s="22" t="str">
        <f>IFERROR(VLOOKUP($E292,Casilleros!$A$4:$J$830,10,FALSE),"")</f>
        <v/>
      </c>
      <c r="I292" s="6" t="e">
        <f>SUMIF(#REF!,$B292,#REF!)</f>
        <v>#REF!</v>
      </c>
      <c r="J292" s="6" t="e">
        <f>SUMIF(#REF!,$B292,#REF!)</f>
        <v>#REF!</v>
      </c>
      <c r="K292" s="6" t="e">
        <f t="shared" si="88"/>
        <v>#REF!</v>
      </c>
      <c r="L292" s="6" t="e">
        <f t="shared" si="89"/>
        <v>#REF!</v>
      </c>
      <c r="M292" s="185"/>
      <c r="N292" s="20"/>
      <c r="O292" s="215"/>
      <c r="U292" s="20"/>
      <c r="Y292" s="42"/>
    </row>
    <row r="293" spans="1:25" s="7" customFormat="1">
      <c r="A293" s="21">
        <f t="shared" si="87"/>
        <v>286</v>
      </c>
      <c r="B293" s="175"/>
      <c r="C293" s="176"/>
      <c r="D293" s="177">
        <v>0</v>
      </c>
      <c r="E293" s="180"/>
      <c r="F293" s="22" t="str">
        <f>IFERROR(VLOOKUP($E293,Casilleros!$A$4:$I$830,4,FALSE),"")</f>
        <v/>
      </c>
      <c r="G293" s="22" t="str">
        <f>IFERROR(VLOOKUP($E293,Casilleros!$A$4:$I$830,9,FALSE),"")</f>
        <v/>
      </c>
      <c r="H293" s="22" t="str">
        <f>IFERROR(VLOOKUP($E293,Casilleros!$A$4:$J$830,10,FALSE),"")</f>
        <v/>
      </c>
      <c r="I293" s="6" t="e">
        <f>SUMIF(#REF!,$B293,#REF!)</f>
        <v>#REF!</v>
      </c>
      <c r="J293" s="6" t="e">
        <f>SUMIF(#REF!,$B293,#REF!)</f>
        <v>#REF!</v>
      </c>
      <c r="K293" s="6" t="e">
        <f t="shared" si="88"/>
        <v>#REF!</v>
      </c>
      <c r="L293" s="6" t="e">
        <f t="shared" si="89"/>
        <v>#REF!</v>
      </c>
      <c r="M293" s="185"/>
      <c r="N293" s="20"/>
      <c r="O293" s="215"/>
      <c r="U293" s="20"/>
      <c r="Y293" s="42"/>
    </row>
    <row r="294" spans="1:25" s="7" customFormat="1">
      <c r="A294" s="21">
        <f t="shared" si="87"/>
        <v>287</v>
      </c>
      <c r="B294" s="175"/>
      <c r="C294" s="176"/>
      <c r="D294" s="177">
        <v>0</v>
      </c>
      <c r="E294" s="180"/>
      <c r="F294" s="22" t="str">
        <f>IFERROR(VLOOKUP($E294,Casilleros!$A$4:$I$830,4,FALSE),"")</f>
        <v/>
      </c>
      <c r="G294" s="22" t="str">
        <f>IFERROR(VLOOKUP($E294,Casilleros!$A$4:$I$830,9,FALSE),"")</f>
        <v/>
      </c>
      <c r="H294" s="22" t="str">
        <f>IFERROR(VLOOKUP($E294,Casilleros!$A$4:$J$830,10,FALSE),"")</f>
        <v/>
      </c>
      <c r="I294" s="6" t="e">
        <f>SUMIF(#REF!,$B294,#REF!)</f>
        <v>#REF!</v>
      </c>
      <c r="J294" s="6" t="e">
        <f>SUMIF(#REF!,$B294,#REF!)</f>
        <v>#REF!</v>
      </c>
      <c r="K294" s="6" t="e">
        <f t="shared" si="88"/>
        <v>#REF!</v>
      </c>
      <c r="L294" s="6" t="e">
        <f t="shared" si="89"/>
        <v>#REF!</v>
      </c>
      <c r="M294" s="185"/>
      <c r="N294" s="20"/>
      <c r="O294" s="215"/>
      <c r="U294" s="20"/>
      <c r="Y294" s="42"/>
    </row>
    <row r="295" spans="1:25" s="7" customFormat="1">
      <c r="A295" s="21">
        <f t="shared" si="87"/>
        <v>288</v>
      </c>
      <c r="B295" s="175"/>
      <c r="C295" s="176"/>
      <c r="D295" s="177">
        <v>0</v>
      </c>
      <c r="E295" s="180"/>
      <c r="F295" s="22" t="str">
        <f>IFERROR(VLOOKUP($E295,Casilleros!$A$4:$I$830,4,FALSE),"")</f>
        <v/>
      </c>
      <c r="G295" s="22" t="str">
        <f>IFERROR(VLOOKUP($E295,Casilleros!$A$4:$I$830,9,FALSE),"")</f>
        <v/>
      </c>
      <c r="H295" s="22" t="str">
        <f>IFERROR(VLOOKUP($E295,Casilleros!$A$4:$J$830,10,FALSE),"")</f>
        <v/>
      </c>
      <c r="I295" s="6" t="e">
        <f>SUMIF(#REF!,$B295,#REF!)</f>
        <v>#REF!</v>
      </c>
      <c r="J295" s="6" t="e">
        <f>SUMIF(#REF!,$B295,#REF!)</f>
        <v>#REF!</v>
      </c>
      <c r="K295" s="6" t="e">
        <f t="shared" si="88"/>
        <v>#REF!</v>
      </c>
      <c r="L295" s="6" t="e">
        <f t="shared" si="89"/>
        <v>#REF!</v>
      </c>
      <c r="M295" s="185"/>
      <c r="N295" s="20"/>
      <c r="O295" s="215"/>
      <c r="U295" s="20"/>
      <c r="Y295" s="42"/>
    </row>
    <row r="296" spans="1:25" s="7" customFormat="1">
      <c r="A296" s="21">
        <f t="shared" si="87"/>
        <v>289</v>
      </c>
      <c r="B296" s="175"/>
      <c r="C296" s="176"/>
      <c r="D296" s="177">
        <v>0</v>
      </c>
      <c r="E296" s="180"/>
      <c r="F296" s="22" t="str">
        <f>IFERROR(VLOOKUP($E296,Casilleros!$A$4:$I$830,4,FALSE),"")</f>
        <v/>
      </c>
      <c r="G296" s="22" t="str">
        <f>IFERROR(VLOOKUP($E296,Casilleros!$A$4:$I$830,9,FALSE),"")</f>
        <v/>
      </c>
      <c r="H296" s="22" t="str">
        <f>IFERROR(VLOOKUP($E296,Casilleros!$A$4:$J$830,10,FALSE),"")</f>
        <v/>
      </c>
      <c r="I296" s="6" t="e">
        <f>SUMIF(#REF!,$B296,#REF!)</f>
        <v>#REF!</v>
      </c>
      <c r="J296" s="6" t="e">
        <f>SUMIF(#REF!,$B296,#REF!)</f>
        <v>#REF!</v>
      </c>
      <c r="K296" s="6" t="e">
        <f t="shared" si="88"/>
        <v>#REF!</v>
      </c>
      <c r="L296" s="6" t="e">
        <f t="shared" si="89"/>
        <v>#REF!</v>
      </c>
      <c r="M296" s="185"/>
      <c r="N296" s="20"/>
      <c r="O296" s="215"/>
      <c r="U296" s="20"/>
      <c r="Y296" s="42"/>
    </row>
    <row r="297" spans="1:25" s="7" customFormat="1">
      <c r="A297" s="21">
        <f t="shared" si="87"/>
        <v>290</v>
      </c>
      <c r="B297" s="175"/>
      <c r="C297" s="176"/>
      <c r="D297" s="177">
        <v>0</v>
      </c>
      <c r="E297" s="180"/>
      <c r="F297" s="22" t="str">
        <f>IFERROR(VLOOKUP($E297,Casilleros!$A$4:$I$830,4,FALSE),"")</f>
        <v/>
      </c>
      <c r="G297" s="22" t="str">
        <f>IFERROR(VLOOKUP($E297,Casilleros!$A$4:$I$830,9,FALSE),"")</f>
        <v/>
      </c>
      <c r="H297" s="22" t="str">
        <f>IFERROR(VLOOKUP($E297,Casilleros!$A$4:$J$830,10,FALSE),"")</f>
        <v/>
      </c>
      <c r="I297" s="6" t="e">
        <f>SUMIF(#REF!,$B297,#REF!)</f>
        <v>#REF!</v>
      </c>
      <c r="J297" s="6" t="e">
        <f>SUMIF(#REF!,$B297,#REF!)</f>
        <v>#REF!</v>
      </c>
      <c r="K297" s="6" t="e">
        <f t="shared" si="88"/>
        <v>#REF!</v>
      </c>
      <c r="L297" s="6" t="e">
        <f t="shared" si="89"/>
        <v>#REF!</v>
      </c>
      <c r="M297" s="185"/>
      <c r="N297" s="20"/>
      <c r="O297" s="215"/>
      <c r="U297" s="20"/>
      <c r="Y297" s="42"/>
    </row>
    <row r="298" spans="1:25" s="7" customFormat="1">
      <c r="A298" s="21">
        <f t="shared" si="87"/>
        <v>291</v>
      </c>
      <c r="B298" s="175"/>
      <c r="C298" s="176"/>
      <c r="D298" s="177">
        <v>0</v>
      </c>
      <c r="E298" s="180"/>
      <c r="F298" s="22" t="str">
        <f>IFERROR(VLOOKUP($E298,Casilleros!$A$4:$I$830,4,FALSE),"")</f>
        <v/>
      </c>
      <c r="G298" s="22" t="str">
        <f>IFERROR(VLOOKUP($E298,Casilleros!$A$4:$I$830,9,FALSE),"")</f>
        <v/>
      </c>
      <c r="H298" s="22" t="str">
        <f>IFERROR(VLOOKUP($E298,Casilleros!$A$4:$J$830,10,FALSE),"")</f>
        <v/>
      </c>
      <c r="I298" s="6" t="e">
        <f>SUMIF(#REF!,$B298,#REF!)</f>
        <v>#REF!</v>
      </c>
      <c r="J298" s="6" t="e">
        <f>SUMIF(#REF!,$B298,#REF!)</f>
        <v>#REF!</v>
      </c>
      <c r="K298" s="6" t="e">
        <f t="shared" si="88"/>
        <v>#REF!</v>
      </c>
      <c r="L298" s="6" t="e">
        <f t="shared" si="89"/>
        <v>#REF!</v>
      </c>
      <c r="M298" s="185"/>
      <c r="N298" s="20"/>
      <c r="O298" s="215"/>
      <c r="U298" s="20"/>
      <c r="Y298" s="42"/>
    </row>
    <row r="299" spans="1:25" s="7" customFormat="1">
      <c r="A299" s="21">
        <f t="shared" si="87"/>
        <v>292</v>
      </c>
      <c r="B299" s="175"/>
      <c r="C299" s="176"/>
      <c r="D299" s="177">
        <v>0</v>
      </c>
      <c r="E299" s="180"/>
      <c r="F299" s="22" t="str">
        <f>IFERROR(VLOOKUP($E299,Casilleros!$A$4:$I$830,4,FALSE),"")</f>
        <v/>
      </c>
      <c r="G299" s="22" t="str">
        <f>IFERROR(VLOOKUP($E299,Casilleros!$A$4:$I$830,9,FALSE),"")</f>
        <v/>
      </c>
      <c r="H299" s="22" t="str">
        <f>IFERROR(VLOOKUP($E299,Casilleros!$A$4:$J$830,10,FALSE),"")</f>
        <v/>
      </c>
      <c r="I299" s="6" t="e">
        <f>SUMIF(#REF!,$B299,#REF!)</f>
        <v>#REF!</v>
      </c>
      <c r="J299" s="6" t="e">
        <f>SUMIF(#REF!,$B299,#REF!)</f>
        <v>#REF!</v>
      </c>
      <c r="K299" s="6" t="e">
        <f t="shared" si="88"/>
        <v>#REF!</v>
      </c>
      <c r="L299" s="6" t="e">
        <f t="shared" si="89"/>
        <v>#REF!</v>
      </c>
      <c r="M299" s="185"/>
      <c r="N299" s="20"/>
      <c r="O299" s="215"/>
      <c r="U299" s="20"/>
      <c r="Y299" s="42"/>
    </row>
    <row r="300" spans="1:25" s="7" customFormat="1">
      <c r="A300" s="21">
        <f t="shared" si="87"/>
        <v>293</v>
      </c>
      <c r="B300" s="175"/>
      <c r="C300" s="176"/>
      <c r="D300" s="177">
        <v>0</v>
      </c>
      <c r="E300" s="180"/>
      <c r="F300" s="22" t="str">
        <f>IFERROR(VLOOKUP($E300,Casilleros!$A$4:$I$830,4,FALSE),"")</f>
        <v/>
      </c>
      <c r="G300" s="22" t="str">
        <f>IFERROR(VLOOKUP($E300,Casilleros!$A$4:$I$830,9,FALSE),"")</f>
        <v/>
      </c>
      <c r="H300" s="22" t="str">
        <f>IFERROR(VLOOKUP($E300,Casilleros!$A$4:$J$830,10,FALSE),"")</f>
        <v/>
      </c>
      <c r="I300" s="6" t="e">
        <f>SUMIF(#REF!,$B300,#REF!)</f>
        <v>#REF!</v>
      </c>
      <c r="J300" s="6" t="e">
        <f>SUMIF(#REF!,$B300,#REF!)</f>
        <v>#REF!</v>
      </c>
      <c r="K300" s="6" t="e">
        <f t="shared" si="88"/>
        <v>#REF!</v>
      </c>
      <c r="L300" s="6" t="e">
        <f t="shared" si="89"/>
        <v>#REF!</v>
      </c>
      <c r="M300" s="185"/>
      <c r="N300" s="20"/>
      <c r="O300" s="215"/>
      <c r="U300" s="20"/>
      <c r="Y300" s="42"/>
    </row>
    <row r="301" spans="1:25" s="7" customFormat="1">
      <c r="A301" s="21">
        <f t="shared" si="87"/>
        <v>294</v>
      </c>
      <c r="B301" s="175"/>
      <c r="C301" s="176"/>
      <c r="D301" s="177">
        <v>0</v>
      </c>
      <c r="E301" s="180"/>
      <c r="F301" s="22" t="str">
        <f>IFERROR(VLOOKUP($E301,Casilleros!$A$4:$I$830,4,FALSE),"")</f>
        <v/>
      </c>
      <c r="G301" s="22" t="str">
        <f>IFERROR(VLOOKUP($E301,Casilleros!$A$4:$I$830,9,FALSE),"")</f>
        <v/>
      </c>
      <c r="H301" s="22" t="str">
        <f>IFERROR(VLOOKUP($E301,Casilleros!$A$4:$J$830,10,FALSE),"")</f>
        <v/>
      </c>
      <c r="I301" s="6" t="e">
        <f>SUMIF(#REF!,$B301,#REF!)</f>
        <v>#REF!</v>
      </c>
      <c r="J301" s="6" t="e">
        <f>SUMIF(#REF!,$B301,#REF!)</f>
        <v>#REF!</v>
      </c>
      <c r="K301" s="6" t="e">
        <f t="shared" si="88"/>
        <v>#REF!</v>
      </c>
      <c r="L301" s="6" t="e">
        <f t="shared" si="89"/>
        <v>#REF!</v>
      </c>
      <c r="M301" s="185"/>
      <c r="N301" s="20"/>
      <c r="O301" s="215"/>
      <c r="U301" s="20"/>
      <c r="Y301" s="42"/>
    </row>
    <row r="302" spans="1:25" s="7" customFormat="1">
      <c r="A302" s="21">
        <f t="shared" si="87"/>
        <v>295</v>
      </c>
      <c r="B302" s="175"/>
      <c r="C302" s="176"/>
      <c r="D302" s="177">
        <v>0</v>
      </c>
      <c r="E302" s="180"/>
      <c r="F302" s="22" t="str">
        <f>IFERROR(VLOOKUP($E302,Casilleros!$A$4:$I$830,4,FALSE),"")</f>
        <v/>
      </c>
      <c r="G302" s="22" t="str">
        <f>IFERROR(VLOOKUP($E302,Casilleros!$A$4:$I$830,9,FALSE),"")</f>
        <v/>
      </c>
      <c r="H302" s="22" t="str">
        <f>IFERROR(VLOOKUP($E302,Casilleros!$A$4:$J$830,10,FALSE),"")</f>
        <v/>
      </c>
      <c r="I302" s="6" t="e">
        <f>SUMIF(#REF!,$B302,#REF!)</f>
        <v>#REF!</v>
      </c>
      <c r="J302" s="6" t="e">
        <f>SUMIF(#REF!,$B302,#REF!)</f>
        <v>#REF!</v>
      </c>
      <c r="K302" s="6" t="e">
        <f t="shared" si="88"/>
        <v>#REF!</v>
      </c>
      <c r="L302" s="6" t="e">
        <f t="shared" si="89"/>
        <v>#REF!</v>
      </c>
      <c r="M302" s="185"/>
      <c r="N302" s="20"/>
      <c r="O302" s="215"/>
      <c r="U302" s="20"/>
      <c r="Y302" s="42"/>
    </row>
    <row r="303" spans="1:25" s="7" customFormat="1">
      <c r="A303" s="21">
        <f t="shared" si="87"/>
        <v>296</v>
      </c>
      <c r="B303" s="175"/>
      <c r="C303" s="176"/>
      <c r="D303" s="177">
        <v>0</v>
      </c>
      <c r="E303" s="180"/>
      <c r="F303" s="22" t="str">
        <f>IFERROR(VLOOKUP($E303,Casilleros!$A$4:$I$830,4,FALSE),"")</f>
        <v/>
      </c>
      <c r="G303" s="22" t="str">
        <f>IFERROR(VLOOKUP($E303,Casilleros!$A$4:$I$830,9,FALSE),"")</f>
        <v/>
      </c>
      <c r="H303" s="22" t="str">
        <f>IFERROR(VLOOKUP($E303,Casilleros!$A$4:$J$830,10,FALSE),"")</f>
        <v/>
      </c>
      <c r="I303" s="6" t="e">
        <f>SUMIF(#REF!,$B303,#REF!)</f>
        <v>#REF!</v>
      </c>
      <c r="J303" s="6" t="e">
        <f>SUMIF(#REF!,$B303,#REF!)</f>
        <v>#REF!</v>
      </c>
      <c r="K303" s="6" t="e">
        <f t="shared" si="88"/>
        <v>#REF!</v>
      </c>
      <c r="L303" s="6" t="e">
        <f t="shared" si="89"/>
        <v>#REF!</v>
      </c>
      <c r="M303" s="185"/>
      <c r="N303" s="20"/>
      <c r="O303" s="215"/>
      <c r="U303" s="20"/>
      <c r="Y303" s="42"/>
    </row>
    <row r="304" spans="1:25" s="7" customFormat="1">
      <c r="A304" s="21">
        <f t="shared" si="87"/>
        <v>297</v>
      </c>
      <c r="B304" s="175"/>
      <c r="C304" s="176"/>
      <c r="D304" s="177">
        <v>0</v>
      </c>
      <c r="E304" s="180"/>
      <c r="F304" s="22" t="str">
        <f>IFERROR(VLOOKUP($E304,Casilleros!$A$4:$I$830,4,FALSE),"")</f>
        <v/>
      </c>
      <c r="G304" s="22" t="str">
        <f>IFERROR(VLOOKUP($E304,Casilleros!$A$4:$I$830,9,FALSE),"")</f>
        <v/>
      </c>
      <c r="H304" s="22" t="str">
        <f>IFERROR(VLOOKUP($E304,Casilleros!$A$4:$J$830,10,FALSE),"")</f>
        <v/>
      </c>
      <c r="I304" s="6" t="e">
        <f>SUMIF(#REF!,$B304,#REF!)</f>
        <v>#REF!</v>
      </c>
      <c r="J304" s="6" t="e">
        <f>SUMIF(#REF!,$B304,#REF!)</f>
        <v>#REF!</v>
      </c>
      <c r="K304" s="6" t="e">
        <f t="shared" si="88"/>
        <v>#REF!</v>
      </c>
      <c r="L304" s="6" t="e">
        <f t="shared" si="89"/>
        <v>#REF!</v>
      </c>
      <c r="M304" s="185"/>
      <c r="N304" s="20"/>
      <c r="O304" s="215"/>
      <c r="U304" s="20"/>
      <c r="Y304" s="42"/>
    </row>
    <row r="305" spans="1:25" s="7" customFormat="1">
      <c r="A305" s="21">
        <f t="shared" si="87"/>
        <v>298</v>
      </c>
      <c r="B305" s="175"/>
      <c r="C305" s="176"/>
      <c r="D305" s="177">
        <v>0</v>
      </c>
      <c r="E305" s="180"/>
      <c r="F305" s="22" t="str">
        <f>IFERROR(VLOOKUP($E305,Casilleros!$A$4:$I$830,4,FALSE),"")</f>
        <v/>
      </c>
      <c r="G305" s="22" t="str">
        <f>IFERROR(VLOOKUP($E305,Casilleros!$A$4:$I$830,9,FALSE),"")</f>
        <v/>
      </c>
      <c r="H305" s="22" t="str">
        <f>IFERROR(VLOOKUP($E305,Casilleros!$A$4:$J$830,10,FALSE),"")</f>
        <v/>
      </c>
      <c r="I305" s="6" t="e">
        <f>SUMIF(#REF!,$B305,#REF!)</f>
        <v>#REF!</v>
      </c>
      <c r="J305" s="6" t="e">
        <f>SUMIF(#REF!,$B305,#REF!)</f>
        <v>#REF!</v>
      </c>
      <c r="K305" s="6" t="e">
        <f t="shared" si="88"/>
        <v>#REF!</v>
      </c>
      <c r="L305" s="6" t="e">
        <f t="shared" si="89"/>
        <v>#REF!</v>
      </c>
      <c r="M305" s="185"/>
      <c r="N305" s="20"/>
      <c r="O305" s="215"/>
      <c r="U305" s="20"/>
      <c r="Y305" s="42"/>
    </row>
    <row r="306" spans="1:25" s="7" customFormat="1">
      <c r="A306" s="21">
        <f t="shared" si="87"/>
        <v>299</v>
      </c>
      <c r="B306" s="175"/>
      <c r="C306" s="176"/>
      <c r="D306" s="177">
        <v>0</v>
      </c>
      <c r="E306" s="180"/>
      <c r="F306" s="22" t="str">
        <f>IFERROR(VLOOKUP($E306,Casilleros!$A$4:$I$830,4,FALSE),"")</f>
        <v/>
      </c>
      <c r="G306" s="22" t="str">
        <f>IFERROR(VLOOKUP($E306,Casilleros!$A$4:$I$830,9,FALSE),"")</f>
        <v/>
      </c>
      <c r="H306" s="22" t="str">
        <f>IFERROR(VLOOKUP($E306,Casilleros!$A$4:$J$830,10,FALSE),"")</f>
        <v/>
      </c>
      <c r="I306" s="6" t="e">
        <f>SUMIF(#REF!,$B306,#REF!)</f>
        <v>#REF!</v>
      </c>
      <c r="J306" s="6" t="e">
        <f>SUMIF(#REF!,$B306,#REF!)</f>
        <v>#REF!</v>
      </c>
      <c r="K306" s="6" t="e">
        <f t="shared" si="88"/>
        <v>#REF!</v>
      </c>
      <c r="L306" s="6" t="e">
        <f t="shared" si="89"/>
        <v>#REF!</v>
      </c>
      <c r="M306" s="185"/>
      <c r="N306" s="20"/>
      <c r="O306" s="215"/>
      <c r="U306" s="20"/>
      <c r="Y306" s="42"/>
    </row>
    <row r="307" spans="1:25" s="7" customFormat="1">
      <c r="A307" s="21">
        <f t="shared" si="87"/>
        <v>300</v>
      </c>
      <c r="B307" s="175"/>
      <c r="C307" s="176"/>
      <c r="D307" s="177">
        <v>0</v>
      </c>
      <c r="E307" s="180"/>
      <c r="F307" s="22" t="str">
        <f>IFERROR(VLOOKUP($E307,Casilleros!$A$4:$I$830,4,FALSE),"")</f>
        <v/>
      </c>
      <c r="G307" s="22" t="str">
        <f>IFERROR(VLOOKUP($E307,Casilleros!$A$4:$I$830,9,FALSE),"")</f>
        <v/>
      </c>
      <c r="H307" s="22" t="str">
        <f>IFERROR(VLOOKUP($E307,Casilleros!$A$4:$J$830,10,FALSE),"")</f>
        <v/>
      </c>
      <c r="I307" s="6" t="e">
        <f>SUMIF(#REF!,$B307,#REF!)</f>
        <v>#REF!</v>
      </c>
      <c r="J307" s="6" t="e">
        <f>SUMIF(#REF!,$B307,#REF!)</f>
        <v>#REF!</v>
      </c>
      <c r="K307" s="6" t="e">
        <f t="shared" si="88"/>
        <v>#REF!</v>
      </c>
      <c r="L307" s="6" t="e">
        <f t="shared" si="89"/>
        <v>#REF!</v>
      </c>
      <c r="M307" s="185"/>
      <c r="N307" s="20"/>
      <c r="O307" s="215"/>
      <c r="U307" s="20"/>
      <c r="Y307" s="42"/>
    </row>
    <row r="308" spans="1:25" s="7" customFormat="1">
      <c r="A308" s="21">
        <f t="shared" si="87"/>
        <v>301</v>
      </c>
      <c r="B308" s="175"/>
      <c r="C308" s="176"/>
      <c r="D308" s="177">
        <v>0</v>
      </c>
      <c r="E308" s="180"/>
      <c r="F308" s="22" t="str">
        <f>IFERROR(VLOOKUP($E308,Casilleros!$A$4:$I$830,4,FALSE),"")</f>
        <v/>
      </c>
      <c r="G308" s="22" t="str">
        <f>IFERROR(VLOOKUP($E308,Casilleros!$A$4:$I$830,9,FALSE),"")</f>
        <v/>
      </c>
      <c r="H308" s="22" t="str">
        <f>IFERROR(VLOOKUP($E308,Casilleros!$A$4:$J$830,10,FALSE),"")</f>
        <v/>
      </c>
      <c r="I308" s="6" t="e">
        <f>SUMIF(#REF!,$B308,#REF!)</f>
        <v>#REF!</v>
      </c>
      <c r="J308" s="6" t="e">
        <f>SUMIF(#REF!,$B308,#REF!)</f>
        <v>#REF!</v>
      </c>
      <c r="K308" s="6" t="e">
        <f t="shared" si="88"/>
        <v>#REF!</v>
      </c>
      <c r="L308" s="6" t="e">
        <f t="shared" si="89"/>
        <v>#REF!</v>
      </c>
      <c r="M308" s="185"/>
      <c r="N308" s="20"/>
      <c r="O308" s="215"/>
      <c r="U308" s="20"/>
      <c r="Y308" s="42"/>
    </row>
    <row r="309" spans="1:25" s="7" customFormat="1">
      <c r="A309" s="21">
        <f t="shared" si="87"/>
        <v>302</v>
      </c>
      <c r="B309" s="175"/>
      <c r="C309" s="176"/>
      <c r="D309" s="177">
        <v>0</v>
      </c>
      <c r="E309" s="180"/>
      <c r="F309" s="22" t="str">
        <f>IFERROR(VLOOKUP($E309,Casilleros!$A$4:$I$830,4,FALSE),"")</f>
        <v/>
      </c>
      <c r="G309" s="22" t="str">
        <f>IFERROR(VLOOKUP($E309,Casilleros!$A$4:$I$830,9,FALSE),"")</f>
        <v/>
      </c>
      <c r="H309" s="22" t="str">
        <f>IFERROR(VLOOKUP($E309,Casilleros!$A$4:$J$830,10,FALSE),"")</f>
        <v/>
      </c>
      <c r="I309" s="6" t="e">
        <f>SUMIF(#REF!,$B309,#REF!)</f>
        <v>#REF!</v>
      </c>
      <c r="J309" s="6" t="e">
        <f>SUMIF(#REF!,$B309,#REF!)</f>
        <v>#REF!</v>
      </c>
      <c r="K309" s="6" t="e">
        <f t="shared" si="88"/>
        <v>#REF!</v>
      </c>
      <c r="L309" s="6" t="e">
        <f t="shared" si="89"/>
        <v>#REF!</v>
      </c>
      <c r="M309" s="185"/>
      <c r="N309" s="20"/>
      <c r="O309" s="215"/>
      <c r="U309" s="20"/>
      <c r="Y309" s="42"/>
    </row>
    <row r="310" spans="1:25" s="7" customFormat="1">
      <c r="A310" s="21">
        <f t="shared" si="87"/>
        <v>303</v>
      </c>
      <c r="B310" s="175"/>
      <c r="C310" s="176"/>
      <c r="D310" s="177">
        <v>0</v>
      </c>
      <c r="E310" s="180"/>
      <c r="F310" s="22" t="str">
        <f>IFERROR(VLOOKUP($E310,Casilleros!$A$4:$I$830,4,FALSE),"")</f>
        <v/>
      </c>
      <c r="G310" s="22" t="str">
        <f>IFERROR(VLOOKUP($E310,Casilleros!$A$4:$I$830,9,FALSE),"")</f>
        <v/>
      </c>
      <c r="H310" s="22" t="str">
        <f>IFERROR(VLOOKUP($E310,Casilleros!$A$4:$J$830,10,FALSE),"")</f>
        <v/>
      </c>
      <c r="I310" s="6" t="e">
        <f>SUMIF(#REF!,$B310,#REF!)</f>
        <v>#REF!</v>
      </c>
      <c r="J310" s="6" t="e">
        <f>SUMIF(#REF!,$B310,#REF!)</f>
        <v>#REF!</v>
      </c>
      <c r="K310" s="6" t="e">
        <f t="shared" si="88"/>
        <v>#REF!</v>
      </c>
      <c r="L310" s="6" t="e">
        <f t="shared" si="89"/>
        <v>#REF!</v>
      </c>
      <c r="M310" s="185"/>
      <c r="N310" s="20"/>
      <c r="O310" s="215"/>
      <c r="U310" s="20"/>
      <c r="Y310" s="42"/>
    </row>
    <row r="311" spans="1:25" s="7" customFormat="1">
      <c r="A311" s="21">
        <f t="shared" si="87"/>
        <v>304</v>
      </c>
      <c r="B311" s="175"/>
      <c r="C311" s="176"/>
      <c r="D311" s="177">
        <v>0</v>
      </c>
      <c r="E311" s="180"/>
      <c r="F311" s="22" t="str">
        <f>IFERROR(VLOOKUP($E311,Casilleros!$A$4:$I$830,4,FALSE),"")</f>
        <v/>
      </c>
      <c r="G311" s="22" t="str">
        <f>IFERROR(VLOOKUP($E311,Casilleros!$A$4:$I$830,9,FALSE),"")</f>
        <v/>
      </c>
      <c r="H311" s="22" t="str">
        <f>IFERROR(VLOOKUP($E311,Casilleros!$A$4:$J$830,10,FALSE),"")</f>
        <v/>
      </c>
      <c r="I311" s="6" t="e">
        <f>SUMIF(#REF!,$B311,#REF!)</f>
        <v>#REF!</v>
      </c>
      <c r="J311" s="6" t="e">
        <f>SUMIF(#REF!,$B311,#REF!)</f>
        <v>#REF!</v>
      </c>
      <c r="K311" s="6" t="e">
        <f t="shared" si="88"/>
        <v>#REF!</v>
      </c>
      <c r="L311" s="6" t="e">
        <f t="shared" si="89"/>
        <v>#REF!</v>
      </c>
      <c r="M311" s="185"/>
      <c r="N311" s="20"/>
      <c r="O311" s="215"/>
      <c r="U311" s="20"/>
      <c r="Y311" s="42"/>
    </row>
    <row r="312" spans="1:25" s="7" customFormat="1">
      <c r="A312" s="21">
        <f t="shared" si="87"/>
        <v>305</v>
      </c>
      <c r="B312" s="175"/>
      <c r="C312" s="176"/>
      <c r="D312" s="177">
        <v>0</v>
      </c>
      <c r="E312" s="180"/>
      <c r="F312" s="22" t="str">
        <f>IFERROR(VLOOKUP($E312,Casilleros!$A$4:$I$830,4,FALSE),"")</f>
        <v/>
      </c>
      <c r="G312" s="22" t="str">
        <f>IFERROR(VLOOKUP($E312,Casilleros!$A$4:$I$830,9,FALSE),"")</f>
        <v/>
      </c>
      <c r="H312" s="22" t="str">
        <f>IFERROR(VLOOKUP($E312,Casilleros!$A$4:$J$830,10,FALSE),"")</f>
        <v/>
      </c>
      <c r="I312" s="6" t="e">
        <f>SUMIF(#REF!,$B312,#REF!)</f>
        <v>#REF!</v>
      </c>
      <c r="J312" s="6" t="e">
        <f>SUMIF(#REF!,$B312,#REF!)</f>
        <v>#REF!</v>
      </c>
      <c r="K312" s="6" t="e">
        <f t="shared" si="88"/>
        <v>#REF!</v>
      </c>
      <c r="L312" s="6" t="e">
        <f t="shared" si="89"/>
        <v>#REF!</v>
      </c>
      <c r="M312" s="185"/>
      <c r="N312" s="20"/>
      <c r="O312" s="215"/>
      <c r="U312" s="20"/>
      <c r="Y312" s="42"/>
    </row>
    <row r="313" spans="1:25" s="7" customFormat="1">
      <c r="A313" s="21">
        <f t="shared" si="87"/>
        <v>306</v>
      </c>
      <c r="B313" s="175"/>
      <c r="C313" s="176"/>
      <c r="D313" s="177">
        <v>0</v>
      </c>
      <c r="E313" s="180"/>
      <c r="F313" s="22" t="str">
        <f>IFERROR(VLOOKUP($E313,Casilleros!$A$4:$I$830,4,FALSE),"")</f>
        <v/>
      </c>
      <c r="G313" s="22" t="str">
        <f>IFERROR(VLOOKUP($E313,Casilleros!$A$4:$I$830,9,FALSE),"")</f>
        <v/>
      </c>
      <c r="H313" s="22" t="str">
        <f>IFERROR(VLOOKUP($E313,Casilleros!$A$4:$J$830,10,FALSE),"")</f>
        <v/>
      </c>
      <c r="I313" s="6" t="e">
        <f>SUMIF(#REF!,$B313,#REF!)</f>
        <v>#REF!</v>
      </c>
      <c r="J313" s="6" t="e">
        <f>SUMIF(#REF!,$B313,#REF!)</f>
        <v>#REF!</v>
      </c>
      <c r="K313" s="6" t="e">
        <f t="shared" si="88"/>
        <v>#REF!</v>
      </c>
      <c r="L313" s="6" t="e">
        <f t="shared" si="89"/>
        <v>#REF!</v>
      </c>
      <c r="M313" s="185"/>
      <c r="N313" s="20"/>
      <c r="O313" s="215"/>
      <c r="U313" s="20"/>
      <c r="Y313" s="42"/>
    </row>
    <row r="314" spans="1:25" s="7" customFormat="1">
      <c r="A314" s="21">
        <f t="shared" si="87"/>
        <v>307</v>
      </c>
      <c r="B314" s="175"/>
      <c r="C314" s="176"/>
      <c r="D314" s="177">
        <v>0</v>
      </c>
      <c r="E314" s="180"/>
      <c r="F314" s="22" t="str">
        <f>IFERROR(VLOOKUP($E314,Casilleros!$A$4:$I$830,4,FALSE),"")</f>
        <v/>
      </c>
      <c r="G314" s="22" t="str">
        <f>IFERROR(VLOOKUP($E314,Casilleros!$A$4:$I$830,9,FALSE),"")</f>
        <v/>
      </c>
      <c r="H314" s="22" t="str">
        <f>IFERROR(VLOOKUP($E314,Casilleros!$A$4:$J$830,10,FALSE),"")</f>
        <v/>
      </c>
      <c r="I314" s="6" t="e">
        <f>SUMIF(#REF!,$B314,#REF!)</f>
        <v>#REF!</v>
      </c>
      <c r="J314" s="6" t="e">
        <f>SUMIF(#REF!,$B314,#REF!)</f>
        <v>#REF!</v>
      </c>
      <c r="K314" s="6" t="e">
        <f t="shared" si="88"/>
        <v>#REF!</v>
      </c>
      <c r="L314" s="6" t="e">
        <f t="shared" si="89"/>
        <v>#REF!</v>
      </c>
      <c r="M314" s="185"/>
      <c r="N314" s="20"/>
      <c r="O314" s="215"/>
      <c r="U314" s="20"/>
      <c r="Y314" s="42"/>
    </row>
    <row r="315" spans="1:25" s="7" customFormat="1">
      <c r="A315" s="21">
        <f t="shared" si="87"/>
        <v>308</v>
      </c>
      <c r="B315" s="175"/>
      <c r="C315" s="176"/>
      <c r="D315" s="177">
        <v>0</v>
      </c>
      <c r="E315" s="180"/>
      <c r="F315" s="22" t="str">
        <f>IFERROR(VLOOKUP($E315,Casilleros!$A$4:$I$830,4,FALSE),"")</f>
        <v/>
      </c>
      <c r="G315" s="22" t="str">
        <f>IFERROR(VLOOKUP($E315,Casilleros!$A$4:$I$830,9,FALSE),"")</f>
        <v/>
      </c>
      <c r="H315" s="22" t="str">
        <f>IFERROR(VLOOKUP($E315,Casilleros!$A$4:$J$830,10,FALSE),"")</f>
        <v/>
      </c>
      <c r="I315" s="6" t="e">
        <f>SUMIF(#REF!,$B315,#REF!)</f>
        <v>#REF!</v>
      </c>
      <c r="J315" s="6" t="e">
        <f>SUMIF(#REF!,$B315,#REF!)</f>
        <v>#REF!</v>
      </c>
      <c r="K315" s="6" t="e">
        <f t="shared" si="88"/>
        <v>#REF!</v>
      </c>
      <c r="L315" s="6" t="e">
        <f t="shared" si="89"/>
        <v>#REF!</v>
      </c>
      <c r="M315" s="185"/>
      <c r="N315" s="20"/>
      <c r="O315" s="215"/>
      <c r="U315" s="20"/>
      <c r="Y315" s="42"/>
    </row>
    <row r="316" spans="1:25" s="7" customFormat="1">
      <c r="A316" s="21">
        <f t="shared" si="87"/>
        <v>309</v>
      </c>
      <c r="B316" s="175"/>
      <c r="C316" s="176"/>
      <c r="D316" s="177">
        <v>0</v>
      </c>
      <c r="E316" s="180"/>
      <c r="F316" s="22" t="str">
        <f>IFERROR(VLOOKUP($E316,Casilleros!$A$4:$I$830,4,FALSE),"")</f>
        <v/>
      </c>
      <c r="G316" s="22" t="str">
        <f>IFERROR(VLOOKUP($E316,Casilleros!$A$4:$I$830,9,FALSE),"")</f>
        <v/>
      </c>
      <c r="H316" s="22" t="str">
        <f>IFERROR(VLOOKUP($E316,Casilleros!$A$4:$J$830,10,FALSE),"")</f>
        <v/>
      </c>
      <c r="I316" s="6" t="e">
        <f>SUMIF(#REF!,$B316,#REF!)</f>
        <v>#REF!</v>
      </c>
      <c r="J316" s="6" t="e">
        <f>SUMIF(#REF!,$B316,#REF!)</f>
        <v>#REF!</v>
      </c>
      <c r="K316" s="6" t="e">
        <f t="shared" si="88"/>
        <v>#REF!</v>
      </c>
      <c r="L316" s="6" t="e">
        <f t="shared" si="89"/>
        <v>#REF!</v>
      </c>
      <c r="M316" s="185"/>
      <c r="N316" s="20"/>
      <c r="O316" s="215"/>
      <c r="U316" s="20"/>
      <c r="Y316" s="42"/>
    </row>
    <row r="317" spans="1:25" s="7" customFormat="1">
      <c r="A317" s="21">
        <f t="shared" si="87"/>
        <v>310</v>
      </c>
      <c r="B317" s="175"/>
      <c r="C317" s="176"/>
      <c r="D317" s="177">
        <v>0</v>
      </c>
      <c r="E317" s="180"/>
      <c r="F317" s="22" t="str">
        <f>IFERROR(VLOOKUP($E317,Casilleros!$A$4:$I$830,4,FALSE),"")</f>
        <v/>
      </c>
      <c r="G317" s="22" t="str">
        <f>IFERROR(VLOOKUP($E317,Casilleros!$A$4:$I$830,9,FALSE),"")</f>
        <v/>
      </c>
      <c r="H317" s="22" t="str">
        <f>IFERROR(VLOOKUP($E317,Casilleros!$A$4:$J$830,10,FALSE),"")</f>
        <v/>
      </c>
      <c r="I317" s="6" t="e">
        <f>SUMIF(#REF!,$B317,#REF!)</f>
        <v>#REF!</v>
      </c>
      <c r="J317" s="6" t="e">
        <f>SUMIF(#REF!,$B317,#REF!)</f>
        <v>#REF!</v>
      </c>
      <c r="K317" s="6" t="e">
        <f t="shared" si="88"/>
        <v>#REF!</v>
      </c>
      <c r="L317" s="6" t="e">
        <f t="shared" si="89"/>
        <v>#REF!</v>
      </c>
      <c r="M317" s="185"/>
      <c r="N317" s="20"/>
      <c r="O317" s="215"/>
      <c r="U317" s="20"/>
      <c r="Y317" s="42"/>
    </row>
    <row r="318" spans="1:25" s="7" customFormat="1">
      <c r="A318" s="21">
        <f t="shared" si="87"/>
        <v>311</v>
      </c>
      <c r="B318" s="175"/>
      <c r="C318" s="176"/>
      <c r="D318" s="177">
        <v>0</v>
      </c>
      <c r="E318" s="180"/>
      <c r="F318" s="22" t="str">
        <f>IFERROR(VLOOKUP($E318,Casilleros!$A$4:$I$830,4,FALSE),"")</f>
        <v/>
      </c>
      <c r="G318" s="22" t="str">
        <f>IFERROR(VLOOKUP($E318,Casilleros!$A$4:$I$830,9,FALSE),"")</f>
        <v/>
      </c>
      <c r="H318" s="22" t="str">
        <f>IFERROR(VLOOKUP($E318,Casilleros!$A$4:$J$830,10,FALSE),"")</f>
        <v/>
      </c>
      <c r="I318" s="6" t="e">
        <f>SUMIF(#REF!,$B318,#REF!)</f>
        <v>#REF!</v>
      </c>
      <c r="J318" s="6" t="e">
        <f>SUMIF(#REF!,$B318,#REF!)</f>
        <v>#REF!</v>
      </c>
      <c r="K318" s="6" t="e">
        <f t="shared" si="88"/>
        <v>#REF!</v>
      </c>
      <c r="L318" s="6" t="e">
        <f t="shared" si="89"/>
        <v>#REF!</v>
      </c>
      <c r="M318" s="185"/>
      <c r="N318" s="20"/>
      <c r="O318" s="215"/>
      <c r="U318" s="20"/>
      <c r="Y318" s="42"/>
    </row>
    <row r="319" spans="1:25" s="7" customFormat="1">
      <c r="A319" s="21">
        <f t="shared" si="87"/>
        <v>312</v>
      </c>
      <c r="B319" s="175"/>
      <c r="C319" s="176"/>
      <c r="D319" s="177">
        <v>0</v>
      </c>
      <c r="E319" s="180"/>
      <c r="F319" s="22" t="str">
        <f>IFERROR(VLOOKUP($E319,Casilleros!$A$4:$I$830,4,FALSE),"")</f>
        <v/>
      </c>
      <c r="G319" s="22" t="str">
        <f>IFERROR(VLOOKUP($E319,Casilleros!$A$4:$I$830,9,FALSE),"")</f>
        <v/>
      </c>
      <c r="H319" s="22" t="str">
        <f>IFERROR(VLOOKUP($E319,Casilleros!$A$4:$J$830,10,FALSE),"")</f>
        <v/>
      </c>
      <c r="I319" s="6" t="e">
        <f>SUMIF(#REF!,$B319,#REF!)</f>
        <v>#REF!</v>
      </c>
      <c r="J319" s="6" t="e">
        <f>SUMIF(#REF!,$B319,#REF!)</f>
        <v>#REF!</v>
      </c>
      <c r="K319" s="6" t="e">
        <f t="shared" si="88"/>
        <v>#REF!</v>
      </c>
      <c r="L319" s="6" t="e">
        <f t="shared" si="89"/>
        <v>#REF!</v>
      </c>
      <c r="M319" s="185"/>
      <c r="N319" s="20"/>
      <c r="O319" s="215"/>
      <c r="U319" s="20"/>
      <c r="Y319" s="42"/>
    </row>
    <row r="320" spans="1:25" s="7" customFormat="1">
      <c r="A320" s="21">
        <f t="shared" si="87"/>
        <v>313</v>
      </c>
      <c r="B320" s="175"/>
      <c r="C320" s="176"/>
      <c r="D320" s="177">
        <v>0</v>
      </c>
      <c r="E320" s="180"/>
      <c r="F320" s="22" t="str">
        <f>IFERROR(VLOOKUP($E320,Casilleros!$A$4:$I$830,4,FALSE),"")</f>
        <v/>
      </c>
      <c r="G320" s="22" t="str">
        <f>IFERROR(VLOOKUP($E320,Casilleros!$A$4:$I$830,9,FALSE),"")</f>
        <v/>
      </c>
      <c r="H320" s="22" t="str">
        <f>IFERROR(VLOOKUP($E320,Casilleros!$A$4:$J$830,10,FALSE),"")</f>
        <v/>
      </c>
      <c r="I320" s="6" t="e">
        <f>SUMIF(#REF!,$B320,#REF!)</f>
        <v>#REF!</v>
      </c>
      <c r="J320" s="6" t="e">
        <f>SUMIF(#REF!,$B320,#REF!)</f>
        <v>#REF!</v>
      </c>
      <c r="K320" s="6" t="e">
        <f t="shared" si="88"/>
        <v>#REF!</v>
      </c>
      <c r="L320" s="6" t="e">
        <f t="shared" si="89"/>
        <v>#REF!</v>
      </c>
      <c r="M320" s="185"/>
      <c r="N320" s="20"/>
      <c r="O320" s="215"/>
      <c r="U320" s="20"/>
      <c r="Y320" s="42"/>
    </row>
    <row r="321" spans="1:25" s="7" customFormat="1">
      <c r="A321" s="21">
        <f t="shared" si="87"/>
        <v>314</v>
      </c>
      <c r="B321" s="175"/>
      <c r="C321" s="176"/>
      <c r="D321" s="177">
        <v>0</v>
      </c>
      <c r="E321" s="180"/>
      <c r="F321" s="22" t="str">
        <f>IFERROR(VLOOKUP($E321,Casilleros!$A$4:$I$830,4,FALSE),"")</f>
        <v/>
      </c>
      <c r="G321" s="22" t="str">
        <f>IFERROR(VLOOKUP($E321,Casilleros!$A$4:$I$830,9,FALSE),"")</f>
        <v/>
      </c>
      <c r="H321" s="22" t="str">
        <f>IFERROR(VLOOKUP($E321,Casilleros!$A$4:$J$830,10,FALSE),"")</f>
        <v/>
      </c>
      <c r="I321" s="6" t="e">
        <f>SUMIF(#REF!,$B321,#REF!)</f>
        <v>#REF!</v>
      </c>
      <c r="J321" s="6" t="e">
        <f>SUMIF(#REF!,$B321,#REF!)</f>
        <v>#REF!</v>
      </c>
      <c r="K321" s="6" t="e">
        <f t="shared" si="88"/>
        <v>#REF!</v>
      </c>
      <c r="L321" s="6" t="e">
        <f t="shared" si="89"/>
        <v>#REF!</v>
      </c>
      <c r="M321" s="185"/>
      <c r="N321" s="20"/>
      <c r="O321" s="215"/>
      <c r="U321" s="20"/>
      <c r="Y321" s="42"/>
    </row>
    <row r="322" spans="1:25" s="7" customFormat="1">
      <c r="A322" s="21">
        <f t="shared" si="87"/>
        <v>315</v>
      </c>
      <c r="B322" s="175"/>
      <c r="C322" s="176"/>
      <c r="D322" s="177">
        <v>0</v>
      </c>
      <c r="E322" s="180"/>
      <c r="F322" s="22" t="str">
        <f>IFERROR(VLOOKUP($E322,Casilleros!$A$4:$I$830,4,FALSE),"")</f>
        <v/>
      </c>
      <c r="G322" s="22" t="str">
        <f>IFERROR(VLOOKUP($E322,Casilleros!$A$4:$I$830,9,FALSE),"")</f>
        <v/>
      </c>
      <c r="H322" s="22" t="str">
        <f>IFERROR(VLOOKUP($E322,Casilleros!$A$4:$J$830,10,FALSE),"")</f>
        <v/>
      </c>
      <c r="I322" s="6" t="e">
        <f>SUMIF(#REF!,$B322,#REF!)</f>
        <v>#REF!</v>
      </c>
      <c r="J322" s="6" t="e">
        <f>SUMIF(#REF!,$B322,#REF!)</f>
        <v>#REF!</v>
      </c>
      <c r="K322" s="6" t="e">
        <f t="shared" si="88"/>
        <v>#REF!</v>
      </c>
      <c r="L322" s="6" t="e">
        <f t="shared" si="89"/>
        <v>#REF!</v>
      </c>
      <c r="M322" s="185"/>
      <c r="N322" s="20"/>
      <c r="O322" s="215"/>
      <c r="U322" s="20"/>
      <c r="Y322" s="42"/>
    </row>
    <row r="323" spans="1:25" s="7" customFormat="1">
      <c r="A323" s="21">
        <f t="shared" si="87"/>
        <v>316</v>
      </c>
      <c r="B323" s="175"/>
      <c r="C323" s="176"/>
      <c r="D323" s="177">
        <v>0</v>
      </c>
      <c r="E323" s="180"/>
      <c r="F323" s="22" t="str">
        <f>IFERROR(VLOOKUP($E323,Casilleros!$A$4:$I$830,4,FALSE),"")</f>
        <v/>
      </c>
      <c r="G323" s="22" t="str">
        <f>IFERROR(VLOOKUP($E323,Casilleros!$A$4:$I$830,9,FALSE),"")</f>
        <v/>
      </c>
      <c r="H323" s="22" t="str">
        <f>IFERROR(VLOOKUP($E323,Casilleros!$A$4:$J$830,10,FALSE),"")</f>
        <v/>
      </c>
      <c r="I323" s="6" t="e">
        <f>SUMIF(#REF!,$B323,#REF!)</f>
        <v>#REF!</v>
      </c>
      <c r="J323" s="6" t="e">
        <f>SUMIF(#REF!,$B323,#REF!)</f>
        <v>#REF!</v>
      </c>
      <c r="K323" s="6" t="e">
        <f t="shared" si="88"/>
        <v>#REF!</v>
      </c>
      <c r="L323" s="6" t="e">
        <f t="shared" si="89"/>
        <v>#REF!</v>
      </c>
      <c r="M323" s="185"/>
      <c r="N323" s="20"/>
      <c r="O323" s="215"/>
      <c r="U323" s="20"/>
      <c r="Y323" s="42"/>
    </row>
    <row r="324" spans="1:25" s="7" customFormat="1">
      <c r="A324" s="21">
        <f t="shared" si="87"/>
        <v>317</v>
      </c>
      <c r="B324" s="175"/>
      <c r="C324" s="176"/>
      <c r="D324" s="177">
        <v>0</v>
      </c>
      <c r="E324" s="180"/>
      <c r="F324" s="22" t="str">
        <f>IFERROR(VLOOKUP($E324,Casilleros!$A$4:$I$830,4,FALSE),"")</f>
        <v/>
      </c>
      <c r="G324" s="22" t="str">
        <f>IFERROR(VLOOKUP($E324,Casilleros!$A$4:$I$830,9,FALSE),"")</f>
        <v/>
      </c>
      <c r="H324" s="22" t="str">
        <f>IFERROR(VLOOKUP($E324,Casilleros!$A$4:$J$830,10,FALSE),"")</f>
        <v/>
      </c>
      <c r="I324" s="6" t="e">
        <f>SUMIF(#REF!,$B324,#REF!)</f>
        <v>#REF!</v>
      </c>
      <c r="J324" s="6" t="e">
        <f>SUMIF(#REF!,$B324,#REF!)</f>
        <v>#REF!</v>
      </c>
      <c r="K324" s="6" t="e">
        <f t="shared" si="88"/>
        <v>#REF!</v>
      </c>
      <c r="L324" s="6" t="e">
        <f t="shared" si="89"/>
        <v>#REF!</v>
      </c>
      <c r="M324" s="185"/>
      <c r="N324" s="20"/>
      <c r="O324" s="215"/>
      <c r="U324" s="20"/>
      <c r="Y324" s="42"/>
    </row>
    <row r="325" spans="1:25" s="7" customFormat="1">
      <c r="A325" s="21">
        <f t="shared" ref="A325:A345" si="92">ROW(A325)-7</f>
        <v>318</v>
      </c>
      <c r="B325" s="175"/>
      <c r="C325" s="176"/>
      <c r="D325" s="177">
        <v>0</v>
      </c>
      <c r="E325" s="180"/>
      <c r="F325" s="22" t="str">
        <f>IFERROR(VLOOKUP($E325,Casilleros!$A$4:$I$830,4,FALSE),"")</f>
        <v/>
      </c>
      <c r="G325" s="22" t="str">
        <f>IFERROR(VLOOKUP($E325,Casilleros!$A$4:$I$830,9,FALSE),"")</f>
        <v/>
      </c>
      <c r="H325" s="22" t="str">
        <f>IFERROR(VLOOKUP($E325,Casilleros!$A$4:$J$830,10,FALSE),"")</f>
        <v/>
      </c>
      <c r="I325" s="6" t="e">
        <f>SUMIF(#REF!,$B325,#REF!)</f>
        <v>#REF!</v>
      </c>
      <c r="J325" s="6" t="e">
        <f>SUMIF(#REF!,$B325,#REF!)</f>
        <v>#REF!</v>
      </c>
      <c r="K325" s="6" t="e">
        <f t="shared" si="88"/>
        <v>#REF!</v>
      </c>
      <c r="L325" s="6" t="e">
        <f t="shared" si="89"/>
        <v>#REF!</v>
      </c>
      <c r="M325" s="185"/>
      <c r="N325" s="20"/>
      <c r="O325" s="215"/>
      <c r="U325" s="20"/>
      <c r="Y325" s="42"/>
    </row>
    <row r="326" spans="1:25" s="7" customFormat="1">
      <c r="A326" s="21">
        <f t="shared" si="92"/>
        <v>319</v>
      </c>
      <c r="B326" s="175"/>
      <c r="C326" s="176"/>
      <c r="D326" s="177">
        <v>0</v>
      </c>
      <c r="E326" s="180"/>
      <c r="F326" s="22" t="str">
        <f>IFERROR(VLOOKUP($E326,Casilleros!$A$4:$I$830,4,FALSE),"")</f>
        <v/>
      </c>
      <c r="G326" s="22" t="str">
        <f>IFERROR(VLOOKUP($E326,Casilleros!$A$4:$I$830,9,FALSE),"")</f>
        <v/>
      </c>
      <c r="H326" s="22" t="str">
        <f>IFERROR(VLOOKUP($E326,Casilleros!$A$4:$J$830,10,FALSE),"")</f>
        <v/>
      </c>
      <c r="I326" s="6" t="e">
        <f>SUMIF(#REF!,$B326,#REF!)</f>
        <v>#REF!</v>
      </c>
      <c r="J326" s="6" t="e">
        <f>SUMIF(#REF!,$B326,#REF!)</f>
        <v>#REF!</v>
      </c>
      <c r="K326" s="6" t="e">
        <f t="shared" ref="K326:K345" si="93">+D326+SUM(I326:J326)</f>
        <v>#REF!</v>
      </c>
      <c r="L326" s="6" t="e">
        <f t="shared" ref="L326:L345" si="94">IF(E326="",K326,0)</f>
        <v>#REF!</v>
      </c>
      <c r="M326" s="185"/>
      <c r="N326" s="20"/>
      <c r="O326" s="215"/>
      <c r="U326" s="20"/>
      <c r="Y326" s="42"/>
    </row>
    <row r="327" spans="1:25" s="7" customFormat="1">
      <c r="A327" s="21">
        <f t="shared" si="92"/>
        <v>320</v>
      </c>
      <c r="B327" s="175"/>
      <c r="C327" s="176"/>
      <c r="D327" s="177">
        <v>0</v>
      </c>
      <c r="E327" s="180"/>
      <c r="F327" s="22" t="str">
        <f>IFERROR(VLOOKUP($E327,Casilleros!$A$4:$I$830,4,FALSE),"")</f>
        <v/>
      </c>
      <c r="G327" s="22" t="str">
        <f>IFERROR(VLOOKUP($E327,Casilleros!$A$4:$I$830,9,FALSE),"")</f>
        <v/>
      </c>
      <c r="H327" s="22" t="str">
        <f>IFERROR(VLOOKUP($E327,Casilleros!$A$4:$J$830,10,FALSE),"")</f>
        <v/>
      </c>
      <c r="I327" s="6" t="e">
        <f>SUMIF(#REF!,$B327,#REF!)</f>
        <v>#REF!</v>
      </c>
      <c r="J327" s="6" t="e">
        <f>SUMIF(#REF!,$B327,#REF!)</f>
        <v>#REF!</v>
      </c>
      <c r="K327" s="6" t="e">
        <f t="shared" si="93"/>
        <v>#REF!</v>
      </c>
      <c r="L327" s="6" t="e">
        <f t="shared" si="94"/>
        <v>#REF!</v>
      </c>
      <c r="M327" s="185"/>
      <c r="N327" s="20"/>
      <c r="O327" s="215"/>
      <c r="U327" s="20"/>
      <c r="Y327" s="42"/>
    </row>
    <row r="328" spans="1:25" s="7" customFormat="1">
      <c r="A328" s="21">
        <f t="shared" si="92"/>
        <v>321</v>
      </c>
      <c r="B328" s="175"/>
      <c r="C328" s="176"/>
      <c r="D328" s="177">
        <v>0</v>
      </c>
      <c r="E328" s="180"/>
      <c r="F328" s="22" t="str">
        <f>IFERROR(VLOOKUP($E328,Casilleros!$A$4:$I$830,4,FALSE),"")</f>
        <v/>
      </c>
      <c r="G328" s="22" t="str">
        <f>IFERROR(VLOOKUP($E328,Casilleros!$A$4:$I$830,9,FALSE),"")</f>
        <v/>
      </c>
      <c r="H328" s="22" t="str">
        <f>IFERROR(VLOOKUP($E328,Casilleros!$A$4:$J$830,10,FALSE),"")</f>
        <v/>
      </c>
      <c r="I328" s="6" t="e">
        <f>SUMIF(#REF!,$B328,#REF!)</f>
        <v>#REF!</v>
      </c>
      <c r="J328" s="6" t="e">
        <f>SUMIF(#REF!,$B328,#REF!)</f>
        <v>#REF!</v>
      </c>
      <c r="K328" s="6" t="e">
        <f t="shared" si="93"/>
        <v>#REF!</v>
      </c>
      <c r="L328" s="6" t="e">
        <f t="shared" si="94"/>
        <v>#REF!</v>
      </c>
      <c r="M328" s="185"/>
      <c r="N328" s="20"/>
      <c r="O328" s="215"/>
      <c r="U328" s="20"/>
      <c r="Y328" s="42"/>
    </row>
    <row r="329" spans="1:25" s="7" customFormat="1">
      <c r="A329" s="21">
        <f t="shared" si="92"/>
        <v>322</v>
      </c>
      <c r="B329" s="175"/>
      <c r="C329" s="176"/>
      <c r="D329" s="177">
        <v>0</v>
      </c>
      <c r="E329" s="180"/>
      <c r="F329" s="22" t="str">
        <f>IFERROR(VLOOKUP($E329,Casilleros!$A$4:$I$830,4,FALSE),"")</f>
        <v/>
      </c>
      <c r="G329" s="22" t="str">
        <f>IFERROR(VLOOKUP($E329,Casilleros!$A$4:$I$830,9,FALSE),"")</f>
        <v/>
      </c>
      <c r="H329" s="22" t="str">
        <f>IFERROR(VLOOKUP($E329,Casilleros!$A$4:$J$830,10,FALSE),"")</f>
        <v/>
      </c>
      <c r="I329" s="6" t="e">
        <f>SUMIF(#REF!,$B329,#REF!)</f>
        <v>#REF!</v>
      </c>
      <c r="J329" s="6" t="e">
        <f>SUMIF(#REF!,$B329,#REF!)</f>
        <v>#REF!</v>
      </c>
      <c r="K329" s="6" t="e">
        <f t="shared" si="93"/>
        <v>#REF!</v>
      </c>
      <c r="L329" s="6" t="e">
        <f t="shared" si="94"/>
        <v>#REF!</v>
      </c>
      <c r="M329" s="185"/>
      <c r="N329" s="20"/>
      <c r="O329" s="215"/>
      <c r="U329" s="20"/>
      <c r="Y329" s="42"/>
    </row>
    <row r="330" spans="1:25" s="7" customFormat="1">
      <c r="A330" s="21">
        <f t="shared" si="92"/>
        <v>323</v>
      </c>
      <c r="B330" s="175"/>
      <c r="C330" s="176"/>
      <c r="D330" s="177">
        <v>0</v>
      </c>
      <c r="E330" s="180"/>
      <c r="F330" s="22" t="str">
        <f>IFERROR(VLOOKUP($E330,Casilleros!$A$4:$I$830,4,FALSE),"")</f>
        <v/>
      </c>
      <c r="G330" s="22" t="str">
        <f>IFERROR(VLOOKUP($E330,Casilleros!$A$4:$I$830,9,FALSE),"")</f>
        <v/>
      </c>
      <c r="H330" s="22" t="str">
        <f>IFERROR(VLOOKUP($E330,Casilleros!$A$4:$J$830,10,FALSE),"")</f>
        <v/>
      </c>
      <c r="I330" s="6" t="e">
        <f>SUMIF(#REF!,$B330,#REF!)</f>
        <v>#REF!</v>
      </c>
      <c r="J330" s="6" t="e">
        <f>SUMIF(#REF!,$B330,#REF!)</f>
        <v>#REF!</v>
      </c>
      <c r="K330" s="6" t="e">
        <f t="shared" si="93"/>
        <v>#REF!</v>
      </c>
      <c r="L330" s="6" t="e">
        <f t="shared" si="94"/>
        <v>#REF!</v>
      </c>
      <c r="M330" s="185"/>
      <c r="N330" s="20"/>
      <c r="O330" s="215"/>
      <c r="U330" s="20"/>
      <c r="Y330" s="42"/>
    </row>
    <row r="331" spans="1:25" s="7" customFormat="1">
      <c r="A331" s="21">
        <f t="shared" si="92"/>
        <v>324</v>
      </c>
      <c r="B331" s="175"/>
      <c r="C331" s="176"/>
      <c r="D331" s="177">
        <v>0</v>
      </c>
      <c r="E331" s="180"/>
      <c r="F331" s="22" t="str">
        <f>IFERROR(VLOOKUP($E331,Casilleros!$A$4:$I$830,4,FALSE),"")</f>
        <v/>
      </c>
      <c r="G331" s="22" t="str">
        <f>IFERROR(VLOOKUP($E331,Casilleros!$A$4:$I$830,9,FALSE),"")</f>
        <v/>
      </c>
      <c r="H331" s="22" t="str">
        <f>IFERROR(VLOOKUP($E331,Casilleros!$A$4:$J$830,10,FALSE),"")</f>
        <v/>
      </c>
      <c r="I331" s="6" t="e">
        <f>SUMIF(#REF!,$B331,#REF!)</f>
        <v>#REF!</v>
      </c>
      <c r="J331" s="6" t="e">
        <f>SUMIF(#REF!,$B331,#REF!)</f>
        <v>#REF!</v>
      </c>
      <c r="K331" s="6" t="e">
        <f t="shared" si="93"/>
        <v>#REF!</v>
      </c>
      <c r="L331" s="6" t="e">
        <f t="shared" si="94"/>
        <v>#REF!</v>
      </c>
      <c r="M331" s="185"/>
      <c r="N331" s="20"/>
      <c r="O331" s="215"/>
      <c r="U331" s="20"/>
      <c r="Y331" s="42"/>
    </row>
    <row r="332" spans="1:25" s="7" customFormat="1">
      <c r="A332" s="21">
        <f t="shared" si="92"/>
        <v>325</v>
      </c>
      <c r="B332" s="175"/>
      <c r="C332" s="176"/>
      <c r="D332" s="177">
        <v>0</v>
      </c>
      <c r="E332" s="180"/>
      <c r="F332" s="22" t="str">
        <f>IFERROR(VLOOKUP($E332,Casilleros!$A$4:$I$830,4,FALSE),"")</f>
        <v/>
      </c>
      <c r="G332" s="22" t="str">
        <f>IFERROR(VLOOKUP($E332,Casilleros!$A$4:$I$830,9,FALSE),"")</f>
        <v/>
      </c>
      <c r="H332" s="22" t="str">
        <f>IFERROR(VLOOKUP($E332,Casilleros!$A$4:$J$830,10,FALSE),"")</f>
        <v/>
      </c>
      <c r="I332" s="6" t="e">
        <f>SUMIF(#REF!,$B332,#REF!)</f>
        <v>#REF!</v>
      </c>
      <c r="J332" s="6" t="e">
        <f>SUMIF(#REF!,$B332,#REF!)</f>
        <v>#REF!</v>
      </c>
      <c r="K332" s="6" t="e">
        <f t="shared" si="93"/>
        <v>#REF!</v>
      </c>
      <c r="L332" s="6" t="e">
        <f t="shared" si="94"/>
        <v>#REF!</v>
      </c>
      <c r="M332" s="185"/>
      <c r="N332" s="20"/>
      <c r="O332" s="215"/>
      <c r="U332" s="20"/>
      <c r="Y332" s="42"/>
    </row>
    <row r="333" spans="1:25" s="7" customFormat="1">
      <c r="A333" s="21">
        <f t="shared" si="92"/>
        <v>326</v>
      </c>
      <c r="B333" s="175"/>
      <c r="C333" s="176"/>
      <c r="D333" s="177">
        <v>0</v>
      </c>
      <c r="E333" s="180"/>
      <c r="F333" s="22" t="str">
        <f>IFERROR(VLOOKUP($E333,Casilleros!$A$4:$I$830,4,FALSE),"")</f>
        <v/>
      </c>
      <c r="G333" s="22" t="str">
        <f>IFERROR(VLOOKUP($E333,Casilleros!$A$4:$I$830,9,FALSE),"")</f>
        <v/>
      </c>
      <c r="H333" s="22" t="str">
        <f>IFERROR(VLOOKUP($E333,Casilleros!$A$4:$J$830,10,FALSE),"")</f>
        <v/>
      </c>
      <c r="I333" s="6" t="e">
        <f>SUMIF(#REF!,$B333,#REF!)</f>
        <v>#REF!</v>
      </c>
      <c r="J333" s="6" t="e">
        <f>SUMIF(#REF!,$B333,#REF!)</f>
        <v>#REF!</v>
      </c>
      <c r="K333" s="6" t="e">
        <f t="shared" si="93"/>
        <v>#REF!</v>
      </c>
      <c r="L333" s="6" t="e">
        <f t="shared" si="94"/>
        <v>#REF!</v>
      </c>
      <c r="M333" s="185"/>
      <c r="N333" s="20"/>
      <c r="O333" s="215"/>
      <c r="U333" s="20"/>
      <c r="Y333" s="42"/>
    </row>
    <row r="334" spans="1:25" s="7" customFormat="1">
      <c r="A334" s="21">
        <f t="shared" si="92"/>
        <v>327</v>
      </c>
      <c r="B334" s="175"/>
      <c r="C334" s="176"/>
      <c r="D334" s="177">
        <v>0</v>
      </c>
      <c r="E334" s="180"/>
      <c r="F334" s="22" t="str">
        <f>IFERROR(VLOOKUP($E334,Casilleros!$A$4:$I$830,4,FALSE),"")</f>
        <v/>
      </c>
      <c r="G334" s="22" t="str">
        <f>IFERROR(VLOOKUP($E334,Casilleros!$A$4:$I$830,9,FALSE),"")</f>
        <v/>
      </c>
      <c r="H334" s="22" t="str">
        <f>IFERROR(VLOOKUP($E334,Casilleros!$A$4:$J$830,10,FALSE),"")</f>
        <v/>
      </c>
      <c r="I334" s="6" t="e">
        <f>SUMIF(#REF!,$B334,#REF!)</f>
        <v>#REF!</v>
      </c>
      <c r="J334" s="6" t="e">
        <f>SUMIF(#REF!,$B334,#REF!)</f>
        <v>#REF!</v>
      </c>
      <c r="K334" s="6" t="e">
        <f t="shared" si="93"/>
        <v>#REF!</v>
      </c>
      <c r="L334" s="6" t="e">
        <f t="shared" si="94"/>
        <v>#REF!</v>
      </c>
      <c r="M334" s="185"/>
      <c r="N334" s="20"/>
      <c r="O334" s="215"/>
      <c r="U334" s="20"/>
      <c r="Y334" s="42"/>
    </row>
    <row r="335" spans="1:25" s="7" customFormat="1">
      <c r="A335" s="21">
        <f t="shared" si="92"/>
        <v>328</v>
      </c>
      <c r="B335" s="175"/>
      <c r="C335" s="176"/>
      <c r="D335" s="177">
        <v>0</v>
      </c>
      <c r="E335" s="180"/>
      <c r="F335" s="22" t="str">
        <f>IFERROR(VLOOKUP($E335,Casilleros!$A$4:$I$830,4,FALSE),"")</f>
        <v/>
      </c>
      <c r="G335" s="22" t="str">
        <f>IFERROR(VLOOKUP($E335,Casilleros!$A$4:$I$830,9,FALSE),"")</f>
        <v/>
      </c>
      <c r="H335" s="22" t="str">
        <f>IFERROR(VLOOKUP($E335,Casilleros!$A$4:$J$830,10,FALSE),"")</f>
        <v/>
      </c>
      <c r="I335" s="6" t="e">
        <f>SUMIF(#REF!,$B335,#REF!)</f>
        <v>#REF!</v>
      </c>
      <c r="J335" s="6" t="e">
        <f>SUMIF(#REF!,$B335,#REF!)</f>
        <v>#REF!</v>
      </c>
      <c r="K335" s="6" t="e">
        <f t="shared" si="93"/>
        <v>#REF!</v>
      </c>
      <c r="L335" s="6" t="e">
        <f t="shared" si="94"/>
        <v>#REF!</v>
      </c>
      <c r="M335" s="185"/>
      <c r="N335" s="20"/>
      <c r="O335" s="215"/>
      <c r="U335" s="20"/>
      <c r="Y335" s="42"/>
    </row>
    <row r="336" spans="1:25" s="7" customFormat="1">
      <c r="A336" s="21">
        <f t="shared" si="92"/>
        <v>329</v>
      </c>
      <c r="B336" s="175"/>
      <c r="C336" s="176"/>
      <c r="D336" s="177">
        <v>0</v>
      </c>
      <c r="E336" s="180"/>
      <c r="F336" s="22" t="str">
        <f>IFERROR(VLOOKUP($E336,Casilleros!$A$4:$I$830,4,FALSE),"")</f>
        <v/>
      </c>
      <c r="G336" s="22" t="str">
        <f>IFERROR(VLOOKUP($E336,Casilleros!$A$4:$I$830,9,FALSE),"")</f>
        <v/>
      </c>
      <c r="H336" s="22" t="str">
        <f>IFERROR(VLOOKUP($E336,Casilleros!$A$4:$J$830,10,FALSE),"")</f>
        <v/>
      </c>
      <c r="I336" s="6" t="e">
        <f>SUMIF(#REF!,$B336,#REF!)</f>
        <v>#REF!</v>
      </c>
      <c r="J336" s="6" t="e">
        <f>SUMIF(#REF!,$B336,#REF!)</f>
        <v>#REF!</v>
      </c>
      <c r="K336" s="6" t="e">
        <f t="shared" si="93"/>
        <v>#REF!</v>
      </c>
      <c r="L336" s="6" t="e">
        <f t="shared" si="94"/>
        <v>#REF!</v>
      </c>
      <c r="M336" s="185"/>
      <c r="N336" s="20"/>
      <c r="O336" s="215"/>
      <c r="U336" s="20"/>
      <c r="Y336" s="42"/>
    </row>
    <row r="337" spans="1:25" s="7" customFormat="1">
      <c r="A337" s="21">
        <f t="shared" si="92"/>
        <v>330</v>
      </c>
      <c r="B337" s="175"/>
      <c r="C337" s="176"/>
      <c r="D337" s="177">
        <v>0</v>
      </c>
      <c r="E337" s="180"/>
      <c r="F337" s="22" t="str">
        <f>IFERROR(VLOOKUP($E337,Casilleros!$A$4:$I$830,4,FALSE),"")</f>
        <v/>
      </c>
      <c r="G337" s="22" t="str">
        <f>IFERROR(VLOOKUP($E337,Casilleros!$A$4:$I$830,9,FALSE),"")</f>
        <v/>
      </c>
      <c r="H337" s="22" t="str">
        <f>IFERROR(VLOOKUP($E337,Casilleros!$A$4:$J$830,10,FALSE),"")</f>
        <v/>
      </c>
      <c r="I337" s="6" t="e">
        <f>SUMIF(#REF!,$B337,#REF!)</f>
        <v>#REF!</v>
      </c>
      <c r="J337" s="6" t="e">
        <f>SUMIF(#REF!,$B337,#REF!)</f>
        <v>#REF!</v>
      </c>
      <c r="K337" s="6" t="e">
        <f t="shared" si="93"/>
        <v>#REF!</v>
      </c>
      <c r="L337" s="6" t="e">
        <f t="shared" si="94"/>
        <v>#REF!</v>
      </c>
      <c r="M337" s="185"/>
      <c r="N337" s="20"/>
      <c r="O337" s="215"/>
      <c r="U337" s="20"/>
      <c r="Y337" s="42"/>
    </row>
    <row r="338" spans="1:25" s="7" customFormat="1">
      <c r="A338" s="21">
        <f t="shared" si="92"/>
        <v>331</v>
      </c>
      <c r="B338" s="175"/>
      <c r="C338" s="176"/>
      <c r="D338" s="177">
        <v>0</v>
      </c>
      <c r="E338" s="180"/>
      <c r="F338" s="22" t="str">
        <f>IFERROR(VLOOKUP($E338,Casilleros!$A$4:$I$830,4,FALSE),"")</f>
        <v/>
      </c>
      <c r="G338" s="22" t="str">
        <f>IFERROR(VLOOKUP($E338,Casilleros!$A$4:$I$830,9,FALSE),"")</f>
        <v/>
      </c>
      <c r="H338" s="22" t="str">
        <f>IFERROR(VLOOKUP($E338,Casilleros!$A$4:$J$830,10,FALSE),"")</f>
        <v/>
      </c>
      <c r="I338" s="6" t="e">
        <f>SUMIF(#REF!,$B338,#REF!)</f>
        <v>#REF!</v>
      </c>
      <c r="J338" s="6" t="e">
        <f>SUMIF(#REF!,$B338,#REF!)</f>
        <v>#REF!</v>
      </c>
      <c r="K338" s="6" t="e">
        <f t="shared" si="93"/>
        <v>#REF!</v>
      </c>
      <c r="L338" s="6" t="e">
        <f t="shared" si="94"/>
        <v>#REF!</v>
      </c>
      <c r="M338" s="185"/>
      <c r="N338" s="20"/>
      <c r="O338" s="215"/>
      <c r="U338" s="20"/>
      <c r="Y338" s="42"/>
    </row>
    <row r="339" spans="1:25" s="7" customFormat="1">
      <c r="A339" s="21">
        <f t="shared" si="92"/>
        <v>332</v>
      </c>
      <c r="B339" s="175"/>
      <c r="C339" s="176"/>
      <c r="D339" s="177">
        <v>0</v>
      </c>
      <c r="E339" s="180"/>
      <c r="F339" s="22" t="str">
        <f>IFERROR(VLOOKUP($E339,Casilleros!$A$4:$I$830,4,FALSE),"")</f>
        <v/>
      </c>
      <c r="G339" s="22" t="str">
        <f>IFERROR(VLOOKUP($E339,Casilleros!$A$4:$I$830,9,FALSE),"")</f>
        <v/>
      </c>
      <c r="H339" s="22" t="str">
        <f>IFERROR(VLOOKUP($E339,Casilleros!$A$4:$J$830,10,FALSE),"")</f>
        <v/>
      </c>
      <c r="I339" s="6" t="e">
        <f>SUMIF(#REF!,$B339,#REF!)</f>
        <v>#REF!</v>
      </c>
      <c r="J339" s="6" t="e">
        <f>SUMIF(#REF!,$B339,#REF!)</f>
        <v>#REF!</v>
      </c>
      <c r="K339" s="6" t="e">
        <f t="shared" si="93"/>
        <v>#REF!</v>
      </c>
      <c r="L339" s="6" t="e">
        <f t="shared" si="94"/>
        <v>#REF!</v>
      </c>
      <c r="M339" s="185"/>
      <c r="N339" s="20"/>
      <c r="O339" s="215"/>
      <c r="U339" s="20"/>
      <c r="Y339" s="42"/>
    </row>
    <row r="340" spans="1:25" s="7" customFormat="1">
      <c r="A340" s="21">
        <f t="shared" si="92"/>
        <v>333</v>
      </c>
      <c r="B340" s="175"/>
      <c r="C340" s="176"/>
      <c r="D340" s="177">
        <v>0</v>
      </c>
      <c r="E340" s="180"/>
      <c r="F340" s="22" t="str">
        <f>IFERROR(VLOOKUP($E340,Casilleros!$A$4:$I$830,4,FALSE),"")</f>
        <v/>
      </c>
      <c r="G340" s="22" t="str">
        <f>IFERROR(VLOOKUP($E340,Casilleros!$A$4:$I$830,9,FALSE),"")</f>
        <v/>
      </c>
      <c r="H340" s="22" t="str">
        <f>IFERROR(VLOOKUP($E340,Casilleros!$A$4:$J$830,10,FALSE),"")</f>
        <v/>
      </c>
      <c r="I340" s="6" t="e">
        <f>SUMIF(#REF!,$B340,#REF!)</f>
        <v>#REF!</v>
      </c>
      <c r="J340" s="6" t="e">
        <f>SUMIF(#REF!,$B340,#REF!)</f>
        <v>#REF!</v>
      </c>
      <c r="K340" s="6" t="e">
        <f t="shared" si="93"/>
        <v>#REF!</v>
      </c>
      <c r="L340" s="6" t="e">
        <f t="shared" si="94"/>
        <v>#REF!</v>
      </c>
      <c r="M340" s="185"/>
      <c r="N340" s="20"/>
      <c r="O340" s="215"/>
      <c r="U340" s="20"/>
      <c r="Y340" s="42"/>
    </row>
    <row r="341" spans="1:25" s="7" customFormat="1">
      <c r="A341" s="21">
        <f t="shared" si="92"/>
        <v>334</v>
      </c>
      <c r="B341" s="175"/>
      <c r="C341" s="176"/>
      <c r="D341" s="177">
        <v>0</v>
      </c>
      <c r="E341" s="180"/>
      <c r="F341" s="22" t="str">
        <f>IFERROR(VLOOKUP($E341,Casilleros!$A$4:$I$830,4,FALSE),"")</f>
        <v/>
      </c>
      <c r="G341" s="22" t="str">
        <f>IFERROR(VLOOKUP($E341,Casilleros!$A$4:$I$830,9,FALSE),"")</f>
        <v/>
      </c>
      <c r="H341" s="22" t="str">
        <f>IFERROR(VLOOKUP($E341,Casilleros!$A$4:$J$830,10,FALSE),"")</f>
        <v/>
      </c>
      <c r="I341" s="6" t="e">
        <f>SUMIF(#REF!,$B341,#REF!)</f>
        <v>#REF!</v>
      </c>
      <c r="J341" s="6" t="e">
        <f>SUMIF(#REF!,$B341,#REF!)</f>
        <v>#REF!</v>
      </c>
      <c r="K341" s="6" t="e">
        <f t="shared" si="93"/>
        <v>#REF!</v>
      </c>
      <c r="L341" s="6" t="e">
        <f t="shared" si="94"/>
        <v>#REF!</v>
      </c>
      <c r="M341" s="185"/>
      <c r="N341" s="20"/>
      <c r="O341" s="215"/>
      <c r="U341" s="20"/>
      <c r="Y341" s="42"/>
    </row>
    <row r="342" spans="1:25" s="7" customFormat="1">
      <c r="A342" s="21">
        <f t="shared" si="92"/>
        <v>335</v>
      </c>
      <c r="B342" s="175"/>
      <c r="C342" s="176"/>
      <c r="D342" s="177">
        <v>0</v>
      </c>
      <c r="E342" s="180"/>
      <c r="F342" s="22" t="str">
        <f>IFERROR(VLOOKUP($E342,Casilleros!$A$4:$I$830,4,FALSE),"")</f>
        <v/>
      </c>
      <c r="G342" s="22" t="str">
        <f>IFERROR(VLOOKUP($E342,Casilleros!$A$4:$I$830,9,FALSE),"")</f>
        <v/>
      </c>
      <c r="H342" s="22" t="str">
        <f>IFERROR(VLOOKUP($E342,Casilleros!$A$4:$J$830,10,FALSE),"")</f>
        <v/>
      </c>
      <c r="I342" s="6" t="e">
        <f>SUMIF(#REF!,$B342,#REF!)</f>
        <v>#REF!</v>
      </c>
      <c r="J342" s="6" t="e">
        <f>SUMIF(#REF!,$B342,#REF!)</f>
        <v>#REF!</v>
      </c>
      <c r="K342" s="6" t="e">
        <f t="shared" si="93"/>
        <v>#REF!</v>
      </c>
      <c r="L342" s="6" t="e">
        <f t="shared" si="94"/>
        <v>#REF!</v>
      </c>
      <c r="M342" s="185"/>
      <c r="N342" s="20"/>
      <c r="O342" s="215"/>
      <c r="U342" s="20"/>
      <c r="Y342" s="42"/>
    </row>
    <row r="343" spans="1:25" s="7" customFormat="1">
      <c r="A343" s="21">
        <f t="shared" si="92"/>
        <v>336</v>
      </c>
      <c r="B343" s="175"/>
      <c r="C343" s="176"/>
      <c r="D343" s="177"/>
      <c r="E343" s="180"/>
      <c r="F343" s="22" t="str">
        <f>IFERROR(VLOOKUP($E343,Casilleros!$A$4:$I$830,4,FALSE),"")</f>
        <v/>
      </c>
      <c r="G343" s="22" t="str">
        <f>IFERROR(VLOOKUP($E343,Casilleros!$A$4:$I$830,9,FALSE),"")</f>
        <v/>
      </c>
      <c r="H343" s="22" t="str">
        <f>IFERROR(VLOOKUP($E343,Casilleros!$A$4:$J$830,10,FALSE),"")</f>
        <v/>
      </c>
      <c r="I343" s="6" t="e">
        <f>SUMIF(#REF!,$B343,#REF!)</f>
        <v>#REF!</v>
      </c>
      <c r="J343" s="6" t="e">
        <f>SUMIF(#REF!,$B343,#REF!)</f>
        <v>#REF!</v>
      </c>
      <c r="K343" s="6" t="e">
        <f t="shared" si="93"/>
        <v>#REF!</v>
      </c>
      <c r="L343" s="6" t="e">
        <f t="shared" si="94"/>
        <v>#REF!</v>
      </c>
      <c r="M343" s="185"/>
      <c r="N343" s="20"/>
      <c r="O343" s="215"/>
      <c r="U343" s="20"/>
      <c r="Y343" s="42"/>
    </row>
    <row r="344" spans="1:25" s="7" customFormat="1">
      <c r="A344" s="21">
        <f t="shared" si="92"/>
        <v>337</v>
      </c>
      <c r="B344" s="175"/>
      <c r="C344" s="176"/>
      <c r="D344" s="177">
        <v>0</v>
      </c>
      <c r="E344" s="180"/>
      <c r="F344" s="22" t="str">
        <f>IFERROR(VLOOKUP($E344,Casilleros!$A$4:$I$830,4,FALSE),"")</f>
        <v/>
      </c>
      <c r="G344" s="22" t="str">
        <f>IFERROR(VLOOKUP($E344,Casilleros!$A$4:$I$830,9,FALSE),"")</f>
        <v/>
      </c>
      <c r="H344" s="22" t="str">
        <f>IFERROR(VLOOKUP($E344,Casilleros!$A$4:$J$830,10,FALSE),"")</f>
        <v/>
      </c>
      <c r="I344" s="6" t="e">
        <f>SUMIF(#REF!,$B344,#REF!)</f>
        <v>#REF!</v>
      </c>
      <c r="J344" s="6" t="e">
        <f>SUMIF(#REF!,$B344,#REF!)</f>
        <v>#REF!</v>
      </c>
      <c r="K344" s="6" t="e">
        <f t="shared" si="93"/>
        <v>#REF!</v>
      </c>
      <c r="L344" s="6" t="e">
        <f t="shared" si="94"/>
        <v>#REF!</v>
      </c>
      <c r="M344" s="185"/>
      <c r="N344" s="20"/>
      <c r="O344" s="215"/>
      <c r="U344" s="20"/>
      <c r="Y344" s="42"/>
    </row>
    <row r="345" spans="1:25" s="7" customFormat="1">
      <c r="A345" s="21">
        <f t="shared" si="92"/>
        <v>338</v>
      </c>
      <c r="B345" s="175"/>
      <c r="C345" s="176"/>
      <c r="D345" s="177">
        <v>0</v>
      </c>
      <c r="E345" s="180"/>
      <c r="F345" s="22" t="str">
        <f>IFERROR(VLOOKUP($E345,Casilleros!$A$4:$I$830,4,FALSE),"")</f>
        <v/>
      </c>
      <c r="G345" s="22" t="str">
        <f>IFERROR(VLOOKUP($E345,Casilleros!$A$4:$I$830,9,FALSE),"")</f>
        <v/>
      </c>
      <c r="H345" s="22" t="str">
        <f>IFERROR(VLOOKUP($E345,Casilleros!$A$4:$J$830,10,FALSE),"")</f>
        <v/>
      </c>
      <c r="I345" s="6" t="e">
        <f>SUMIF(#REF!,$B345,#REF!)</f>
        <v>#REF!</v>
      </c>
      <c r="J345" s="6" t="e">
        <f>SUMIF(#REF!,$B345,#REF!)</f>
        <v>#REF!</v>
      </c>
      <c r="K345" s="6" t="e">
        <f t="shared" si="93"/>
        <v>#REF!</v>
      </c>
      <c r="L345" s="6" t="e">
        <f t="shared" si="94"/>
        <v>#REF!</v>
      </c>
      <c r="M345" s="185"/>
      <c r="N345" s="20"/>
      <c r="O345" s="215"/>
      <c r="U345" s="20"/>
      <c r="Y345" s="42"/>
    </row>
    <row r="346" spans="1:25" s="7" customFormat="1">
      <c r="A346" s="21"/>
      <c r="B346" s="220"/>
      <c r="C346" s="221"/>
      <c r="D346" s="222"/>
      <c r="E346" s="23"/>
      <c r="F346" s="22" t="str">
        <f>IFERROR(VLOOKUP($E346,Casilleros!$A$4:$I$830,4,FALSE),"")</f>
        <v/>
      </c>
      <c r="G346" s="22" t="str">
        <f>IFERROR(VLOOKUP($E346,Casilleros!$A$4:$I$830,9,FALSE),"")</f>
        <v/>
      </c>
      <c r="H346" s="22" t="str">
        <f>IFERROR(VLOOKUP($E346,Casilleros!$A$4:$J$830,10,FALSE),"")</f>
        <v/>
      </c>
      <c r="I346" s="6" t="e">
        <f>SUMIF(#REF!,$B346,#REF!)</f>
        <v>#REF!</v>
      </c>
      <c r="J346" s="6" t="e">
        <f>SUMIF(#REF!,$B346,#REF!)</f>
        <v>#REF!</v>
      </c>
      <c r="K346" s="6" t="e">
        <f t="shared" ref="K346" si="95">+D346+SUM(I346:J346)</f>
        <v>#REF!</v>
      </c>
      <c r="L346" s="6" t="e">
        <f t="shared" ref="L346" si="96">IF(E346="",K346,0)</f>
        <v>#REF!</v>
      </c>
      <c r="M346" s="185"/>
      <c r="N346" s="20"/>
      <c r="O346" s="215"/>
      <c r="U346" s="20"/>
      <c r="Y346" s="42"/>
    </row>
    <row r="347" spans="1:25">
      <c r="A347" s="25" t="s">
        <v>3</v>
      </c>
      <c r="B347" s="26"/>
      <c r="C347" s="27"/>
      <c r="D347" s="28"/>
      <c r="E347" s="164" t="s">
        <v>27</v>
      </c>
      <c r="F347" s="29"/>
      <c r="G347" s="30" t="s">
        <v>4</v>
      </c>
      <c r="H347" s="30"/>
      <c r="I347" s="31"/>
      <c r="J347" s="31"/>
      <c r="K347" s="31"/>
      <c r="L347" s="31"/>
      <c r="M347" s="31"/>
      <c r="N347" s="223"/>
      <c r="O347" s="215"/>
      <c r="Y347" s="42"/>
    </row>
    <row r="348" spans="1:25" s="15" customFormat="1" ht="31" thickBot="1">
      <c r="A348" s="32" t="s">
        <v>0</v>
      </c>
      <c r="B348" s="33"/>
      <c r="C348" s="34" t="s">
        <v>34</v>
      </c>
      <c r="D348" s="35" t="e">
        <f>SUM(D7:D347)</f>
        <v>#REF!</v>
      </c>
      <c r="E348" s="165"/>
      <c r="F348" s="36"/>
      <c r="G348" s="35"/>
      <c r="H348" s="35"/>
      <c r="I348" s="35" t="e">
        <f>SUM(I7:I347)</f>
        <v>#REF!</v>
      </c>
      <c r="J348" s="35" t="e">
        <f>SUM(J7:J347)</f>
        <v>#REF!</v>
      </c>
      <c r="K348" s="35" t="e">
        <f>SUM(K7:K347)</f>
        <v>#REF!</v>
      </c>
      <c r="L348" s="35" t="e">
        <f>SUM(L7:L347)</f>
        <v>#REF!</v>
      </c>
      <c r="M348" s="35">
        <f>SUM(M7:M347)</f>
        <v>0</v>
      </c>
      <c r="N348" s="224"/>
      <c r="O348" s="215"/>
      <c r="P348" s="14"/>
      <c r="S348" s="14"/>
    </row>
  </sheetData>
  <autoFilter ref="A5:O348" xr:uid="{00000000-0001-0000-0500-000000000000}"/>
  <sortState xmlns:xlrd2="http://schemas.microsoft.com/office/spreadsheetml/2017/richdata2" ref="B7:S356">
    <sortCondition ref="B7:B356"/>
  </sortState>
  <phoneticPr fontId="24" type="noConversion"/>
  <conditionalFormatting sqref="L6:L346">
    <cfRule type="cellIs" dxfId="38" priority="1" operator="notEqual">
      <formula>0</formula>
    </cfRule>
  </conditionalFormatting>
  <conditionalFormatting sqref="M6:N6">
    <cfRule type="cellIs" dxfId="37" priority="17" operator="notEqual">
      <formula>0</formula>
    </cfRule>
  </conditionalFormatting>
  <pageMargins left="0.39370078740157483" right="0.11811023622047245" top="0.43307086614173229" bottom="0.51181102362204722" header="0.31496062992125984" footer="0.31496062992125984"/>
  <pageSetup paperSize="9" scale="11" fitToHeight="10" orientation="landscape" r:id="rId1"/>
  <headerFooter>
    <oddFooter>&amp;R&amp;P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/>
  <dimension ref="A1:PI779"/>
  <sheetViews>
    <sheetView showGridLines="0" tabSelected="1" view="pageBreakPreview" zoomScale="90" zoomScaleNormal="80" zoomScaleSheetLayoutView="90" workbookViewId="0">
      <pane ySplit="6" topLeftCell="A398" activePane="bottomLeft" state="frozen"/>
      <selection pane="bottomLeft" activeCell="P605" sqref="P605"/>
    </sheetView>
  </sheetViews>
  <sheetFormatPr baseColWidth="10" defaultColWidth="11.5" defaultRowHeight="13" outlineLevelCol="1"/>
  <cols>
    <col min="1" max="2" width="5.33203125" style="63" bestFit="1" customWidth="1"/>
    <col min="3" max="6" width="6.83203125" style="63" customWidth="1"/>
    <col min="7" max="7" width="21.5" style="64" bestFit="1" customWidth="1"/>
    <col min="8" max="8" width="16.33203125" style="64" bestFit="1" customWidth="1"/>
    <col min="9" max="9" width="12.6640625" style="64" customWidth="1"/>
    <col min="10" max="10" width="12.6640625" style="8" customWidth="1"/>
    <col min="11" max="11" width="16.5" style="65" customWidth="1"/>
    <col min="12" max="12" width="13.83203125" style="8" customWidth="1"/>
    <col min="13" max="13" width="16.5" style="65" customWidth="1"/>
    <col min="14" max="14" width="12.6640625" style="8" customWidth="1"/>
    <col min="15" max="15" width="18.1640625" style="66" customWidth="1"/>
    <col min="16" max="18" width="16.1640625" style="67" customWidth="1"/>
    <col min="19" max="19" width="11.5" style="64" hidden="1" customWidth="1" outlineLevel="1"/>
    <col min="20" max="20" width="7.1640625" style="64" hidden="1" customWidth="1" outlineLevel="1"/>
    <col min="21" max="21" width="4.5" style="64" hidden="1" customWidth="1" outlineLevel="1"/>
    <col min="22" max="22" width="31" style="64" hidden="1" customWidth="1" outlineLevel="1"/>
    <col min="23" max="23" width="12.83203125" style="64" hidden="1" customWidth="1" outlineLevel="1"/>
    <col min="24" max="24" width="7.1640625" style="64" hidden="1" customWidth="1" outlineLevel="1"/>
    <col min="25" max="25" width="5.5" style="64" hidden="1" customWidth="1" outlineLevel="1"/>
    <col min="26" max="26" width="7.5" style="64" hidden="1" customWidth="1" outlineLevel="1"/>
    <col min="27" max="38" width="11.5" style="64" hidden="1" customWidth="1" outlineLevel="1"/>
    <col min="39" max="48" width="0" style="64" hidden="1" customWidth="1" outlineLevel="1"/>
    <col min="49" max="49" width="11.5" style="64" collapsed="1"/>
    <col min="50" max="16384" width="11.5" style="64"/>
  </cols>
  <sheetData>
    <row r="1" spans="1:37" s="1" customFormat="1" ht="36.75" customHeight="1">
      <c r="A1" s="191" t="e">
        <f>RAZÓN_SOCIAL</f>
        <v>#REF!</v>
      </c>
      <c r="B1" s="16"/>
      <c r="C1" s="16"/>
      <c r="D1" s="16"/>
      <c r="E1" s="16"/>
      <c r="F1" s="62"/>
      <c r="G1" s="62"/>
      <c r="H1" s="16"/>
      <c r="I1" s="16"/>
      <c r="J1" s="16"/>
      <c r="K1" s="16"/>
      <c r="L1" s="16"/>
      <c r="M1" s="16"/>
      <c r="N1" s="16"/>
      <c r="O1" s="16"/>
      <c r="P1" s="2"/>
      <c r="Q1" s="2"/>
      <c r="R1" s="2"/>
      <c r="S1" s="2"/>
      <c r="T1" s="2"/>
      <c r="U1" s="2"/>
      <c r="V1" s="2"/>
      <c r="W1" s="2"/>
      <c r="X1" s="2"/>
      <c r="Y1" s="2"/>
    </row>
    <row r="2" spans="1:37" s="1" customFormat="1" ht="16">
      <c r="A2" s="191" t="s">
        <v>2297</v>
      </c>
      <c r="B2" s="16"/>
      <c r="C2" s="16"/>
      <c r="D2" s="16"/>
      <c r="E2" s="17"/>
      <c r="F2" s="62"/>
      <c r="G2" s="62"/>
      <c r="H2" s="16"/>
      <c r="I2" s="16"/>
      <c r="J2" s="16"/>
      <c r="K2" s="16"/>
      <c r="L2" s="16"/>
      <c r="M2" s="16"/>
      <c r="N2" s="16"/>
      <c r="O2" s="16"/>
      <c r="P2" s="2"/>
      <c r="Q2" s="2"/>
      <c r="R2" s="2"/>
      <c r="S2" s="2"/>
      <c r="T2" s="2"/>
      <c r="U2" s="2"/>
      <c r="V2" s="2"/>
      <c r="W2" s="2"/>
      <c r="X2" s="2"/>
      <c r="Y2" s="2"/>
    </row>
    <row r="3" spans="1:37" s="1" customFormat="1" ht="16">
      <c r="A3" s="191" t="e">
        <f>Ejercicio_fiscal</f>
        <v>#REF!</v>
      </c>
      <c r="B3" s="16"/>
      <c r="C3" s="16"/>
      <c r="D3" s="16"/>
      <c r="E3" s="16"/>
      <c r="F3" s="62"/>
      <c r="G3" s="62"/>
      <c r="H3" s="16"/>
      <c r="I3" s="16"/>
      <c r="J3" s="16"/>
      <c r="K3" s="16"/>
      <c r="L3" s="16"/>
      <c r="M3" s="16"/>
      <c r="N3" s="16"/>
      <c r="O3" s="16"/>
      <c r="P3" s="2"/>
      <c r="Q3" s="2"/>
      <c r="R3" s="2"/>
      <c r="S3" s="2"/>
      <c r="T3" s="2"/>
      <c r="U3" s="2"/>
      <c r="V3" s="2"/>
      <c r="W3" s="2"/>
      <c r="X3" s="2"/>
      <c r="Y3" s="2"/>
    </row>
    <row r="4" spans="1:37" ht="6" customHeight="1">
      <c r="A4" s="12"/>
    </row>
    <row r="5" spans="1:37" ht="25">
      <c r="A5" s="237" t="s">
        <v>36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S5" s="68"/>
      <c r="T5" s="68"/>
      <c r="U5" s="68"/>
      <c r="V5" s="68"/>
      <c r="W5" s="68"/>
      <c r="X5" s="68"/>
      <c r="Y5" s="68"/>
      <c r="Z5" s="68"/>
      <c r="AA5" s="68"/>
      <c r="AC5" s="68"/>
      <c r="AD5" s="68"/>
      <c r="AE5" s="68"/>
      <c r="AF5" s="68"/>
      <c r="AG5" s="68"/>
      <c r="AH5" s="68"/>
      <c r="AI5" s="68"/>
      <c r="AJ5" s="68"/>
      <c r="AK5" s="68"/>
    </row>
    <row r="6" spans="1:37" ht="5.25" customHeight="1">
      <c r="S6" s="61">
        <f>+N6</f>
        <v>0</v>
      </c>
      <c r="T6" s="64">
        <f>IF(A6&lt;&gt;"",A6,T5)</f>
        <v>0</v>
      </c>
      <c r="U6" s="64">
        <f t="shared" ref="U6:Z8" si="0">IF(T5&lt;&gt;T6,"",(IF(B6&lt;&gt;"",B6,U5)))</f>
        <v>0</v>
      </c>
      <c r="V6" s="64">
        <f t="shared" si="0"/>
        <v>0</v>
      </c>
      <c r="W6" s="64">
        <f t="shared" si="0"/>
        <v>0</v>
      </c>
      <c r="X6" s="64">
        <f t="shared" si="0"/>
        <v>0</v>
      </c>
      <c r="Y6" s="64">
        <f t="shared" si="0"/>
        <v>0</v>
      </c>
      <c r="Z6" s="64">
        <f t="shared" si="0"/>
        <v>0</v>
      </c>
      <c r="AA6" s="69" t="str">
        <f t="shared" ref="AA6:AA30" si="1">IF(X6&lt;&gt;"",CONCATENATE(W6,"_",X6,"_",Y6,"_",Z6,""),CONCATENATE(U6,"_",V6, "_",W6,""))</f>
        <v>0_0_0_0</v>
      </c>
    </row>
    <row r="7" spans="1:37">
      <c r="A7" s="236" t="s">
        <v>37</v>
      </c>
      <c r="B7" s="236"/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236"/>
      <c r="S7" s="61">
        <f>+N7</f>
        <v>0</v>
      </c>
      <c r="T7" s="64" t="str">
        <f>IF(A7&lt;&gt;"",A7,T6)</f>
        <v>OPERACIONES CON PARTES RELACIONADAS LOCALES Y/O DEL EXTERIOR</v>
      </c>
      <c r="U7" s="64" t="str">
        <f t="shared" si="0"/>
        <v/>
      </c>
      <c r="V7" s="64" t="str">
        <f t="shared" si="0"/>
        <v/>
      </c>
      <c r="W7" s="64" t="str">
        <f t="shared" si="0"/>
        <v/>
      </c>
      <c r="X7" s="64" t="str">
        <f t="shared" si="0"/>
        <v/>
      </c>
      <c r="Y7" s="64" t="str">
        <f t="shared" si="0"/>
        <v/>
      </c>
      <c r="Z7" s="64" t="str">
        <f t="shared" si="0"/>
        <v/>
      </c>
      <c r="AA7" s="69" t="str">
        <f t="shared" si="1"/>
        <v>__</v>
      </c>
    </row>
    <row r="8" spans="1:37">
      <c r="A8" s="53"/>
      <c r="B8" s="236" t="s">
        <v>38</v>
      </c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  <c r="O8" s="236"/>
      <c r="S8" s="61">
        <f>+N8</f>
        <v>0</v>
      </c>
      <c r="T8" s="64" t="str">
        <f>IF(A8&lt;&gt;"",A8,T7)</f>
        <v>OPERACIONES CON PARTES RELACIONADAS LOCALES Y/O DEL EXTERIOR</v>
      </c>
      <c r="U8" s="64" t="str">
        <f t="shared" si="0"/>
        <v>CON PARTES RELACIONADAS LOCALES</v>
      </c>
      <c r="V8" s="64" t="str">
        <f t="shared" si="0"/>
        <v/>
      </c>
      <c r="W8" s="64" t="str">
        <f t="shared" si="0"/>
        <v/>
      </c>
      <c r="X8" s="64" t="str">
        <f t="shared" si="0"/>
        <v/>
      </c>
      <c r="Y8" s="64" t="str">
        <f t="shared" si="0"/>
        <v/>
      </c>
      <c r="Z8" s="64" t="str">
        <f t="shared" si="0"/>
        <v/>
      </c>
      <c r="AA8" s="69" t="str">
        <f t="shared" si="1"/>
        <v>CON PARTES RELACIONADAS LOCALES__</v>
      </c>
    </row>
    <row r="9" spans="1:37">
      <c r="A9" s="53"/>
      <c r="B9" s="70"/>
      <c r="C9" s="235" t="s">
        <v>39</v>
      </c>
      <c r="D9" s="235"/>
      <c r="E9" s="235"/>
      <c r="F9" s="235"/>
      <c r="G9" s="235"/>
      <c r="H9" s="235"/>
      <c r="I9" s="235"/>
      <c r="J9" s="235"/>
      <c r="K9" s="235"/>
      <c r="L9" s="235"/>
      <c r="M9" s="235"/>
      <c r="N9" s="9" t="s">
        <v>40</v>
      </c>
      <c r="O9" s="55" t="e">
        <f>VLOOKUP(N9,Casilleros!$A$4:$Q$830,17,FALSE)</f>
        <v>#REF!</v>
      </c>
      <c r="S9" s="61" t="str">
        <f t="shared" ref="S9:S30" si="2">+N9</f>
        <v>003</v>
      </c>
      <c r="T9" s="64" t="str">
        <f t="shared" ref="T9:T30" si="3">IF(A9&lt;&gt;"",A9,T8)</f>
        <v>OPERACIONES CON PARTES RELACIONADAS LOCALES Y/O DEL EXTERIOR</v>
      </c>
      <c r="U9" s="64" t="str">
        <f t="shared" ref="U9:U30" si="4">IF(T8&lt;&gt;T9,"",(IF(B9&lt;&gt;"",B9,U8)))</f>
        <v>CON PARTES RELACIONADAS LOCALES</v>
      </c>
      <c r="V9" s="64" t="str">
        <f t="shared" ref="V9:V30" si="5">IF(U8&lt;&gt;U9,"",(IF(C9&lt;&gt;"",C9,V8)))</f>
        <v>Operaciones de activo</v>
      </c>
      <c r="W9" s="64" t="str">
        <f t="shared" ref="W9:W30" si="6">IF(V8&lt;&gt;V9,"",(IF(D9&lt;&gt;"",D9,W8)))</f>
        <v/>
      </c>
      <c r="X9" s="64" t="str">
        <f t="shared" ref="X9:X30" si="7">IF(W8&lt;&gt;W9,"",(IF(E9&lt;&gt;"",E9,X8)))</f>
        <v/>
      </c>
      <c r="Y9" s="64" t="str">
        <f t="shared" ref="Y9:Y30" si="8">IF(X8&lt;&gt;X9,"",(IF(F9&lt;&gt;"",F9,Y8)))</f>
        <v/>
      </c>
      <c r="Z9" s="64" t="str">
        <f t="shared" ref="Z9:Z30" si="9">IF(Y8&lt;&gt;Y9,"",(IF(G9&lt;&gt;"",G9,Z8)))</f>
        <v/>
      </c>
      <c r="AA9" s="69" t="str">
        <f t="shared" si="1"/>
        <v>CON PARTES RELACIONADAS LOCALES_Operaciones de activo_</v>
      </c>
    </row>
    <row r="10" spans="1:37">
      <c r="A10" s="53"/>
      <c r="B10" s="70"/>
      <c r="C10" s="235" t="s">
        <v>41</v>
      </c>
      <c r="D10" s="235"/>
      <c r="E10" s="235"/>
      <c r="F10" s="235"/>
      <c r="G10" s="235"/>
      <c r="H10" s="235"/>
      <c r="I10" s="235"/>
      <c r="J10" s="235"/>
      <c r="K10" s="235"/>
      <c r="L10" s="235"/>
      <c r="M10" s="235"/>
      <c r="N10" s="9" t="s">
        <v>42</v>
      </c>
      <c r="O10" s="55" t="e">
        <f>VLOOKUP(N10,Casilleros!$A$4:$Q$830,17,FALSE)</f>
        <v>#REF!</v>
      </c>
      <c r="S10" s="61" t="str">
        <f t="shared" si="2"/>
        <v>004</v>
      </c>
      <c r="T10" s="64" t="str">
        <f t="shared" si="3"/>
        <v>OPERACIONES CON PARTES RELACIONADAS LOCALES Y/O DEL EXTERIOR</v>
      </c>
      <c r="U10" s="64" t="str">
        <f t="shared" si="4"/>
        <v>CON PARTES RELACIONADAS LOCALES</v>
      </c>
      <c r="V10" s="64" t="str">
        <f t="shared" si="5"/>
        <v>Operaciones de pasivo</v>
      </c>
      <c r="W10" s="64" t="str">
        <f t="shared" si="6"/>
        <v/>
      </c>
      <c r="X10" s="64" t="str">
        <f t="shared" si="7"/>
        <v/>
      </c>
      <c r="Y10" s="64" t="str">
        <f t="shared" si="8"/>
        <v/>
      </c>
      <c r="Z10" s="64" t="str">
        <f t="shared" si="9"/>
        <v/>
      </c>
      <c r="AA10" s="69" t="str">
        <f t="shared" si="1"/>
        <v>CON PARTES RELACIONADAS LOCALES_Operaciones de pasivo_</v>
      </c>
    </row>
    <row r="11" spans="1:37">
      <c r="A11" s="53"/>
      <c r="B11" s="70"/>
      <c r="C11" s="235" t="s">
        <v>43</v>
      </c>
      <c r="D11" s="235"/>
      <c r="E11" s="235"/>
      <c r="F11" s="235"/>
      <c r="G11" s="235"/>
      <c r="H11" s="235"/>
      <c r="I11" s="235"/>
      <c r="J11" s="235"/>
      <c r="K11" s="235"/>
      <c r="L11" s="235"/>
      <c r="M11" s="235"/>
      <c r="N11" s="9" t="s">
        <v>44</v>
      </c>
      <c r="O11" s="55" t="e">
        <f>VLOOKUP(N11,Casilleros!$A$4:$Q$830,17,FALSE)</f>
        <v>#REF!</v>
      </c>
      <c r="S11" s="61" t="str">
        <f t="shared" si="2"/>
        <v>005</v>
      </c>
      <c r="T11" s="64" t="str">
        <f t="shared" si="3"/>
        <v>OPERACIONES CON PARTES RELACIONADAS LOCALES Y/O DEL EXTERIOR</v>
      </c>
      <c r="U11" s="64" t="str">
        <f t="shared" si="4"/>
        <v>CON PARTES RELACIONADAS LOCALES</v>
      </c>
      <c r="V11" s="64" t="str">
        <f t="shared" si="5"/>
        <v>Operaciones de ingreso</v>
      </c>
      <c r="W11" s="64" t="str">
        <f t="shared" si="6"/>
        <v/>
      </c>
      <c r="X11" s="64" t="str">
        <f t="shared" si="7"/>
        <v/>
      </c>
      <c r="Y11" s="64" t="str">
        <f t="shared" si="8"/>
        <v/>
      </c>
      <c r="Z11" s="64" t="str">
        <f t="shared" si="9"/>
        <v/>
      </c>
      <c r="AA11" s="69" t="str">
        <f t="shared" si="1"/>
        <v>CON PARTES RELACIONADAS LOCALES_Operaciones de ingreso_</v>
      </c>
    </row>
    <row r="12" spans="1:37">
      <c r="A12" s="53"/>
      <c r="B12" s="70"/>
      <c r="C12" s="235" t="s">
        <v>45</v>
      </c>
      <c r="D12" s="235"/>
      <c r="E12" s="235"/>
      <c r="F12" s="235"/>
      <c r="G12" s="235"/>
      <c r="H12" s="235"/>
      <c r="I12" s="235"/>
      <c r="J12" s="235"/>
      <c r="K12" s="235"/>
      <c r="L12" s="235"/>
      <c r="M12" s="235"/>
      <c r="N12" s="9" t="s">
        <v>46</v>
      </c>
      <c r="O12" s="55" t="e">
        <f>VLOOKUP(N12,Casilleros!$A$4:$Q$830,17,FALSE)</f>
        <v>#REF!</v>
      </c>
      <c r="S12" s="61" t="str">
        <f t="shared" si="2"/>
        <v>006</v>
      </c>
      <c r="T12" s="64" t="str">
        <f t="shared" si="3"/>
        <v>OPERACIONES CON PARTES RELACIONADAS LOCALES Y/O DEL EXTERIOR</v>
      </c>
      <c r="U12" s="64" t="str">
        <f t="shared" si="4"/>
        <v>CON PARTES RELACIONADAS LOCALES</v>
      </c>
      <c r="V12" s="64" t="str">
        <f t="shared" si="5"/>
        <v>Operaciones de egreso</v>
      </c>
      <c r="W12" s="64" t="str">
        <f t="shared" si="6"/>
        <v/>
      </c>
      <c r="X12" s="64" t="str">
        <f t="shared" si="7"/>
        <v/>
      </c>
      <c r="Y12" s="64" t="str">
        <f t="shared" si="8"/>
        <v/>
      </c>
      <c r="Z12" s="64" t="str">
        <f t="shared" si="9"/>
        <v/>
      </c>
      <c r="AA12" s="69" t="str">
        <f t="shared" si="1"/>
        <v>CON PARTES RELACIONADAS LOCALES_Operaciones de egreso_</v>
      </c>
    </row>
    <row r="13" spans="1:37">
      <c r="A13" s="53"/>
      <c r="B13" s="70"/>
      <c r="C13" s="235" t="s">
        <v>47</v>
      </c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9" t="s">
        <v>48</v>
      </c>
      <c r="O13" s="55" t="e">
        <f>VLOOKUP(N13,Casilleros!$A$4:$Q$830,17,FALSE)</f>
        <v>#REF!</v>
      </c>
      <c r="S13" s="61" t="str">
        <f t="shared" si="2"/>
        <v>007</v>
      </c>
      <c r="T13" s="64" t="str">
        <f t="shared" si="3"/>
        <v>OPERACIONES CON PARTES RELACIONADAS LOCALES Y/O DEL EXTERIOR</v>
      </c>
      <c r="U13" s="64" t="str">
        <f t="shared" si="4"/>
        <v>CON PARTES RELACIONADAS LOCALES</v>
      </c>
      <c r="V13" s="64" t="str">
        <f t="shared" si="5"/>
        <v>Operaciones de regalías, servicios técnicos, administrativos, de consultoría y similares</v>
      </c>
      <c r="W13" s="64" t="str">
        <f t="shared" si="6"/>
        <v/>
      </c>
      <c r="X13" s="64" t="str">
        <f t="shared" si="7"/>
        <v/>
      </c>
      <c r="Y13" s="64" t="str">
        <f t="shared" si="8"/>
        <v/>
      </c>
      <c r="Z13" s="64" t="str">
        <f t="shared" si="9"/>
        <v/>
      </c>
      <c r="AA13" s="69" t="str">
        <f t="shared" si="1"/>
        <v>CON PARTES RELACIONADAS LOCALES_Operaciones de regalías, servicios técnicos, administrativos, de consultoría y similares_</v>
      </c>
    </row>
    <row r="14" spans="1:37">
      <c r="A14" s="53"/>
      <c r="B14" s="236" t="s">
        <v>49</v>
      </c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236"/>
      <c r="S14" s="61">
        <f t="shared" si="2"/>
        <v>0</v>
      </c>
      <c r="T14" s="64" t="str">
        <f t="shared" si="3"/>
        <v>OPERACIONES CON PARTES RELACIONADAS LOCALES Y/O DEL EXTERIOR</v>
      </c>
      <c r="U14" s="64" t="str">
        <f t="shared" si="4"/>
        <v>CON PARTES RELACIONADAS EN PARAÍSOS FISCALES, JURISDICCIONES DE MENOR IMPOSICIÓN Y RÉGIMENES FISCALES PREFERENTES</v>
      </c>
      <c r="V14" s="64" t="str">
        <f t="shared" si="5"/>
        <v/>
      </c>
      <c r="W14" s="64" t="str">
        <f t="shared" si="6"/>
        <v/>
      </c>
      <c r="X14" s="64" t="str">
        <f t="shared" si="7"/>
        <v/>
      </c>
      <c r="Y14" s="64" t="str">
        <f t="shared" si="8"/>
        <v/>
      </c>
      <c r="Z14" s="64" t="str">
        <f t="shared" si="9"/>
        <v/>
      </c>
      <c r="AA14" s="69" t="str">
        <f t="shared" si="1"/>
        <v>CON PARTES RELACIONADAS EN PARAÍSOS FISCALES, JURISDICCIONES DE MENOR IMPOSICIÓN Y RÉGIMENES FISCALES PREFERENTES__</v>
      </c>
    </row>
    <row r="15" spans="1:37">
      <c r="A15" s="53"/>
      <c r="B15" s="70"/>
      <c r="C15" s="235" t="s">
        <v>39</v>
      </c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9" t="s">
        <v>50</v>
      </c>
      <c r="O15" s="55" t="e">
        <f>VLOOKUP(N15,Casilleros!$A$4:$Q$830,17,FALSE)</f>
        <v>#REF!</v>
      </c>
      <c r="S15" s="61" t="str">
        <f t="shared" si="2"/>
        <v>008</v>
      </c>
      <c r="T15" s="64" t="str">
        <f t="shared" si="3"/>
        <v>OPERACIONES CON PARTES RELACIONADAS LOCALES Y/O DEL EXTERIOR</v>
      </c>
      <c r="U15" s="64" t="str">
        <f t="shared" si="4"/>
        <v>CON PARTES RELACIONADAS EN PARAÍSOS FISCALES, JURISDICCIONES DE MENOR IMPOSICIÓN Y RÉGIMENES FISCALES PREFERENTES</v>
      </c>
      <c r="V15" s="64" t="str">
        <f t="shared" si="5"/>
        <v>Operaciones de activo</v>
      </c>
      <c r="W15" s="64" t="str">
        <f t="shared" si="6"/>
        <v/>
      </c>
      <c r="X15" s="64" t="str">
        <f t="shared" si="7"/>
        <v/>
      </c>
      <c r="Y15" s="64" t="str">
        <f t="shared" si="8"/>
        <v/>
      </c>
      <c r="Z15" s="64" t="str">
        <f t="shared" si="9"/>
        <v/>
      </c>
      <c r="AA15" s="69" t="str">
        <f t="shared" si="1"/>
        <v>CON PARTES RELACIONADAS EN PARAÍSOS FISCALES, JURISDICCIONES DE MENOR IMPOSICIÓN Y RÉGIMENES FISCALES PREFERENTES_Operaciones de activo_</v>
      </c>
    </row>
    <row r="16" spans="1:37">
      <c r="A16" s="53"/>
      <c r="B16" s="70"/>
      <c r="C16" s="235" t="s">
        <v>41</v>
      </c>
      <c r="D16" s="235"/>
      <c r="E16" s="235"/>
      <c r="F16" s="235"/>
      <c r="G16" s="235"/>
      <c r="H16" s="235"/>
      <c r="I16" s="235"/>
      <c r="J16" s="235"/>
      <c r="K16" s="235"/>
      <c r="L16" s="235"/>
      <c r="M16" s="235"/>
      <c r="N16" s="9" t="s">
        <v>51</v>
      </c>
      <c r="O16" s="55" t="e">
        <f>VLOOKUP(N16,Casilleros!$A$4:$Q$830,17,FALSE)</f>
        <v>#REF!</v>
      </c>
      <c r="S16" s="61" t="str">
        <f t="shared" si="2"/>
        <v>009</v>
      </c>
      <c r="T16" s="64" t="str">
        <f t="shared" si="3"/>
        <v>OPERACIONES CON PARTES RELACIONADAS LOCALES Y/O DEL EXTERIOR</v>
      </c>
      <c r="U16" s="64" t="str">
        <f t="shared" si="4"/>
        <v>CON PARTES RELACIONADAS EN PARAÍSOS FISCALES, JURISDICCIONES DE MENOR IMPOSICIÓN Y RÉGIMENES FISCALES PREFERENTES</v>
      </c>
      <c r="V16" s="64" t="str">
        <f t="shared" si="5"/>
        <v>Operaciones de pasivo</v>
      </c>
      <c r="W16" s="64" t="str">
        <f t="shared" si="6"/>
        <v/>
      </c>
      <c r="X16" s="64" t="str">
        <f t="shared" si="7"/>
        <v/>
      </c>
      <c r="Y16" s="64" t="str">
        <f t="shared" si="8"/>
        <v/>
      </c>
      <c r="Z16" s="64" t="str">
        <f t="shared" si="9"/>
        <v/>
      </c>
      <c r="AA16" s="69" t="str">
        <f t="shared" si="1"/>
        <v>CON PARTES RELACIONADAS EN PARAÍSOS FISCALES, JURISDICCIONES DE MENOR IMPOSICIÓN Y RÉGIMENES FISCALES PREFERENTES_Operaciones de pasivo_</v>
      </c>
    </row>
    <row r="17" spans="1:39">
      <c r="A17" s="53"/>
      <c r="B17" s="70"/>
      <c r="C17" s="235" t="s">
        <v>43</v>
      </c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9" t="s">
        <v>52</v>
      </c>
      <c r="O17" s="55" t="e">
        <f>VLOOKUP(N17,Casilleros!$A$4:$Q$830,17,FALSE)</f>
        <v>#REF!</v>
      </c>
      <c r="P17" s="168"/>
      <c r="Q17" s="168"/>
      <c r="R17" s="168"/>
      <c r="S17" s="169" t="str">
        <f t="shared" si="2"/>
        <v>010</v>
      </c>
      <c r="T17" s="85" t="str">
        <f t="shared" si="3"/>
        <v>OPERACIONES CON PARTES RELACIONADAS LOCALES Y/O DEL EXTERIOR</v>
      </c>
      <c r="U17" s="85" t="str">
        <f t="shared" si="4"/>
        <v>CON PARTES RELACIONADAS EN PARAÍSOS FISCALES, JURISDICCIONES DE MENOR IMPOSICIÓN Y RÉGIMENES FISCALES PREFERENTES</v>
      </c>
      <c r="V17" s="85" t="str">
        <f t="shared" si="5"/>
        <v>Operaciones de ingreso</v>
      </c>
      <c r="W17" s="85" t="str">
        <f t="shared" si="6"/>
        <v/>
      </c>
      <c r="X17" s="85" t="str">
        <f t="shared" si="7"/>
        <v/>
      </c>
      <c r="Y17" s="85" t="str">
        <f t="shared" si="8"/>
        <v/>
      </c>
      <c r="Z17" s="85" t="str">
        <f t="shared" si="9"/>
        <v/>
      </c>
      <c r="AA17" s="170" t="str">
        <f t="shared" si="1"/>
        <v>CON PARTES RELACIONADAS EN PARAÍSOS FISCALES, JURISDICCIONES DE MENOR IMPOSICIÓN Y RÉGIMENES FISCALES PREFERENTES_Operaciones de ingreso_</v>
      </c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</row>
    <row r="18" spans="1:39">
      <c r="A18" s="53"/>
      <c r="B18" s="70"/>
      <c r="C18" s="235" t="s">
        <v>45</v>
      </c>
      <c r="D18" s="235"/>
      <c r="E18" s="235"/>
      <c r="F18" s="235"/>
      <c r="G18" s="235"/>
      <c r="H18" s="235"/>
      <c r="I18" s="235"/>
      <c r="J18" s="235"/>
      <c r="K18" s="235"/>
      <c r="L18" s="235"/>
      <c r="M18" s="235"/>
      <c r="N18" s="9" t="s">
        <v>53</v>
      </c>
      <c r="O18" s="55" t="e">
        <f>VLOOKUP(N18,Casilleros!$A$4:$Q$830,17,FALSE)</f>
        <v>#REF!</v>
      </c>
      <c r="P18" s="168"/>
      <c r="Q18" s="168"/>
      <c r="R18" s="168"/>
      <c r="S18" s="169" t="str">
        <f t="shared" si="2"/>
        <v>011</v>
      </c>
      <c r="T18" s="85" t="str">
        <f t="shared" si="3"/>
        <v>OPERACIONES CON PARTES RELACIONADAS LOCALES Y/O DEL EXTERIOR</v>
      </c>
      <c r="U18" s="85" t="str">
        <f t="shared" si="4"/>
        <v>CON PARTES RELACIONADAS EN PARAÍSOS FISCALES, JURISDICCIONES DE MENOR IMPOSICIÓN Y RÉGIMENES FISCALES PREFERENTES</v>
      </c>
      <c r="V18" s="85" t="str">
        <f t="shared" si="5"/>
        <v>Operaciones de egreso</v>
      </c>
      <c r="W18" s="85" t="str">
        <f t="shared" si="6"/>
        <v/>
      </c>
      <c r="X18" s="85" t="str">
        <f t="shared" si="7"/>
        <v/>
      </c>
      <c r="Y18" s="85" t="str">
        <f t="shared" si="8"/>
        <v/>
      </c>
      <c r="Z18" s="85" t="str">
        <f t="shared" si="9"/>
        <v/>
      </c>
      <c r="AA18" s="170" t="str">
        <f t="shared" si="1"/>
        <v>CON PARTES RELACIONADAS EN PARAÍSOS FISCALES, JURISDICCIONES DE MENOR IMPOSICIÓN Y RÉGIMENES FISCALES PREFERENTES_Operaciones de egreso_</v>
      </c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</row>
    <row r="19" spans="1:39" ht="14">
      <c r="A19" s="53"/>
      <c r="B19" s="70"/>
      <c r="C19" s="235" t="s">
        <v>47</v>
      </c>
      <c r="D19" s="235"/>
      <c r="E19" s="235"/>
      <c r="F19" s="235"/>
      <c r="G19" s="235"/>
      <c r="H19" s="235"/>
      <c r="I19" s="235"/>
      <c r="J19" s="240"/>
      <c r="K19" s="235"/>
      <c r="L19" s="235"/>
      <c r="M19" s="235"/>
      <c r="N19" s="9" t="s">
        <v>54</v>
      </c>
      <c r="O19" s="55" t="e">
        <f>VLOOKUP(N19,Casilleros!$A$4:$Q$830,17,FALSE)</f>
        <v>#REF!</v>
      </c>
      <c r="P19" s="168"/>
      <c r="Q19" s="168"/>
      <c r="R19" s="168"/>
      <c r="S19" s="169" t="str">
        <f t="shared" si="2"/>
        <v>012</v>
      </c>
      <c r="T19" s="85" t="str">
        <f t="shared" si="3"/>
        <v>OPERACIONES CON PARTES RELACIONADAS LOCALES Y/O DEL EXTERIOR</v>
      </c>
      <c r="U19" s="85" t="str">
        <f t="shared" si="4"/>
        <v>CON PARTES RELACIONADAS EN PARAÍSOS FISCALES, JURISDICCIONES DE MENOR IMPOSICIÓN Y RÉGIMENES FISCALES PREFERENTES</v>
      </c>
      <c r="V19" s="85" t="str">
        <f t="shared" si="5"/>
        <v>Operaciones de regalías, servicios técnicos, administrativos, de consultoría y similares</v>
      </c>
      <c r="W19" s="85" t="str">
        <f t="shared" si="6"/>
        <v/>
      </c>
      <c r="X19" s="85" t="str">
        <f t="shared" si="7"/>
        <v/>
      </c>
      <c r="Y19" s="85" t="str">
        <f t="shared" si="8"/>
        <v/>
      </c>
      <c r="Z19" s="85" t="str">
        <f t="shared" si="9"/>
        <v/>
      </c>
      <c r="AA19" s="170" t="str">
        <f t="shared" si="1"/>
        <v>CON PARTES RELACIONADAS EN PARAÍSOS FISCALES, JURISDICCIONES DE MENOR IMPOSICIÓN Y RÉGIMENES FISCALES PREFERENTES_Operaciones de regalías, servicios técnicos, administrativos, de consultoría y similares_</v>
      </c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</row>
    <row r="20" spans="1:39">
      <c r="A20" s="53"/>
      <c r="B20" s="236" t="s">
        <v>55</v>
      </c>
      <c r="C20" s="236"/>
      <c r="D20" s="236"/>
      <c r="E20" s="236"/>
      <c r="F20" s="236"/>
      <c r="G20" s="236"/>
      <c r="H20" s="236"/>
      <c r="I20" s="236"/>
      <c r="J20" s="236"/>
      <c r="K20" s="236"/>
      <c r="L20" s="236"/>
      <c r="M20" s="236"/>
      <c r="N20" s="236"/>
      <c r="O20" s="236"/>
      <c r="P20" s="168"/>
      <c r="Q20" s="168"/>
      <c r="R20" s="168"/>
      <c r="S20" s="169">
        <f t="shared" si="2"/>
        <v>0</v>
      </c>
      <c r="T20" s="85" t="str">
        <f t="shared" si="3"/>
        <v>OPERACIONES CON PARTES RELACIONADAS LOCALES Y/O DEL EXTERIOR</v>
      </c>
      <c r="U20" s="85" t="str">
        <f t="shared" si="4"/>
        <v>CON PARTES RELACIONADAS EN OTRAS JURISDICCIONES O RÉGIMENES DEL EXTERIOR</v>
      </c>
      <c r="V20" s="85" t="str">
        <f t="shared" si="5"/>
        <v/>
      </c>
      <c r="W20" s="85" t="str">
        <f t="shared" si="6"/>
        <v/>
      </c>
      <c r="X20" s="85" t="str">
        <f t="shared" si="7"/>
        <v/>
      </c>
      <c r="Y20" s="85" t="str">
        <f t="shared" si="8"/>
        <v/>
      </c>
      <c r="Z20" s="85" t="str">
        <f t="shared" si="9"/>
        <v/>
      </c>
      <c r="AA20" s="170" t="str">
        <f t="shared" si="1"/>
        <v>CON PARTES RELACIONADAS EN OTRAS JURISDICCIONES O RÉGIMENES DEL EXTERIOR__</v>
      </c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</row>
    <row r="21" spans="1:39">
      <c r="A21" s="53"/>
      <c r="B21" s="70"/>
      <c r="C21" s="235" t="s">
        <v>39</v>
      </c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9" t="s">
        <v>56</v>
      </c>
      <c r="O21" s="55" t="e">
        <f>VLOOKUP(N21,Casilleros!$A$4:$Q$830,17,FALSE)</f>
        <v>#REF!</v>
      </c>
      <c r="P21" s="168"/>
      <c r="Q21" s="168"/>
      <c r="R21" s="168"/>
      <c r="S21" s="169" t="str">
        <f t="shared" si="2"/>
        <v>013</v>
      </c>
      <c r="T21" s="85" t="str">
        <f t="shared" si="3"/>
        <v>OPERACIONES CON PARTES RELACIONADAS LOCALES Y/O DEL EXTERIOR</v>
      </c>
      <c r="U21" s="85" t="str">
        <f t="shared" si="4"/>
        <v>CON PARTES RELACIONADAS EN OTRAS JURISDICCIONES O RÉGIMENES DEL EXTERIOR</v>
      </c>
      <c r="V21" s="85" t="str">
        <f t="shared" si="5"/>
        <v>Operaciones de activo</v>
      </c>
      <c r="W21" s="85" t="str">
        <f t="shared" si="6"/>
        <v/>
      </c>
      <c r="X21" s="85" t="str">
        <f t="shared" si="7"/>
        <v/>
      </c>
      <c r="Y21" s="85" t="str">
        <f t="shared" si="8"/>
        <v/>
      </c>
      <c r="Z21" s="85" t="str">
        <f t="shared" si="9"/>
        <v/>
      </c>
      <c r="AA21" s="170" t="str">
        <f t="shared" si="1"/>
        <v>CON PARTES RELACIONADAS EN OTRAS JURISDICCIONES O RÉGIMENES DEL EXTERIOR_Operaciones de activo_</v>
      </c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</row>
    <row r="22" spans="1:39">
      <c r="A22" s="53"/>
      <c r="B22" s="70"/>
      <c r="C22" s="235" t="s">
        <v>41</v>
      </c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9" t="s">
        <v>57</v>
      </c>
      <c r="O22" s="55" t="e">
        <f>VLOOKUP(N22,Casilleros!$A$4:$Q$830,17,FALSE)</f>
        <v>#REF!</v>
      </c>
      <c r="P22" s="168"/>
      <c r="Q22" s="168"/>
      <c r="R22" s="168"/>
      <c r="S22" s="169" t="str">
        <f t="shared" si="2"/>
        <v>014</v>
      </c>
      <c r="T22" s="85" t="str">
        <f t="shared" si="3"/>
        <v>OPERACIONES CON PARTES RELACIONADAS LOCALES Y/O DEL EXTERIOR</v>
      </c>
      <c r="U22" s="85" t="str">
        <f t="shared" si="4"/>
        <v>CON PARTES RELACIONADAS EN OTRAS JURISDICCIONES O RÉGIMENES DEL EXTERIOR</v>
      </c>
      <c r="V22" s="85" t="str">
        <f t="shared" si="5"/>
        <v>Operaciones de pasivo</v>
      </c>
      <c r="W22" s="85" t="str">
        <f t="shared" si="6"/>
        <v/>
      </c>
      <c r="X22" s="85" t="str">
        <f t="shared" si="7"/>
        <v/>
      </c>
      <c r="Y22" s="85" t="str">
        <f t="shared" si="8"/>
        <v/>
      </c>
      <c r="Z22" s="85" t="str">
        <f t="shared" si="9"/>
        <v/>
      </c>
      <c r="AA22" s="170" t="str">
        <f t="shared" si="1"/>
        <v>CON PARTES RELACIONADAS EN OTRAS JURISDICCIONES O RÉGIMENES DEL EXTERIOR_Operaciones de pasivo_</v>
      </c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</row>
    <row r="23" spans="1:39">
      <c r="A23" s="53"/>
      <c r="B23" s="70"/>
      <c r="C23" s="235" t="s">
        <v>43</v>
      </c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9" t="s">
        <v>58</v>
      </c>
      <c r="O23" s="55" t="e">
        <f>VLOOKUP(N23,Casilleros!$A$4:$Q$830,17,FALSE)</f>
        <v>#REF!</v>
      </c>
      <c r="P23" s="168"/>
      <c r="Q23" s="168"/>
      <c r="R23" s="168"/>
      <c r="S23" s="169" t="str">
        <f t="shared" si="2"/>
        <v>015</v>
      </c>
      <c r="T23" s="85" t="str">
        <f t="shared" si="3"/>
        <v>OPERACIONES CON PARTES RELACIONADAS LOCALES Y/O DEL EXTERIOR</v>
      </c>
      <c r="U23" s="85" t="str">
        <f t="shared" si="4"/>
        <v>CON PARTES RELACIONADAS EN OTRAS JURISDICCIONES O RÉGIMENES DEL EXTERIOR</v>
      </c>
      <c r="V23" s="85" t="str">
        <f t="shared" si="5"/>
        <v>Operaciones de ingreso</v>
      </c>
      <c r="W23" s="85" t="str">
        <f t="shared" si="6"/>
        <v/>
      </c>
      <c r="X23" s="85" t="str">
        <f t="shared" si="7"/>
        <v/>
      </c>
      <c r="Y23" s="85" t="str">
        <f t="shared" si="8"/>
        <v/>
      </c>
      <c r="Z23" s="85" t="str">
        <f t="shared" si="9"/>
        <v/>
      </c>
      <c r="AA23" s="170" t="str">
        <f t="shared" si="1"/>
        <v>CON PARTES RELACIONADAS EN OTRAS JURISDICCIONES O RÉGIMENES DEL EXTERIOR_Operaciones de ingreso_</v>
      </c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</row>
    <row r="24" spans="1:39">
      <c r="A24" s="53"/>
      <c r="B24" s="70"/>
      <c r="C24" s="235" t="s">
        <v>45</v>
      </c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9" t="s">
        <v>59</v>
      </c>
      <c r="O24" s="55" t="e">
        <f>VLOOKUP(N24,Casilleros!$A$4:$Q$830,17,FALSE)</f>
        <v>#REF!</v>
      </c>
      <c r="P24" s="168"/>
      <c r="Q24" s="168"/>
      <c r="R24" s="168"/>
      <c r="S24" s="169" t="str">
        <f t="shared" si="2"/>
        <v>016</v>
      </c>
      <c r="T24" s="85" t="str">
        <f t="shared" si="3"/>
        <v>OPERACIONES CON PARTES RELACIONADAS LOCALES Y/O DEL EXTERIOR</v>
      </c>
      <c r="U24" s="85" t="str">
        <f t="shared" si="4"/>
        <v>CON PARTES RELACIONADAS EN OTRAS JURISDICCIONES O RÉGIMENES DEL EXTERIOR</v>
      </c>
      <c r="V24" s="85" t="str">
        <f t="shared" si="5"/>
        <v>Operaciones de egreso</v>
      </c>
      <c r="W24" s="85" t="str">
        <f t="shared" si="6"/>
        <v/>
      </c>
      <c r="X24" s="85" t="str">
        <f t="shared" si="7"/>
        <v/>
      </c>
      <c r="Y24" s="85" t="str">
        <f t="shared" si="8"/>
        <v/>
      </c>
      <c r="Z24" s="85" t="str">
        <f t="shared" si="9"/>
        <v/>
      </c>
      <c r="AA24" s="170" t="str">
        <f t="shared" si="1"/>
        <v>CON PARTES RELACIONADAS EN OTRAS JURISDICCIONES O RÉGIMENES DEL EXTERIOR_Operaciones de egreso_</v>
      </c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</row>
    <row r="25" spans="1:39">
      <c r="A25" s="53"/>
      <c r="B25" s="70"/>
      <c r="C25" s="235" t="s">
        <v>47</v>
      </c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9" t="s">
        <v>60</v>
      </c>
      <c r="O25" s="55" t="e">
        <f>VLOOKUP(N25,Casilleros!$A$4:$Q$830,17,FALSE)</f>
        <v>#REF!</v>
      </c>
      <c r="P25" s="168"/>
      <c r="Q25" s="168"/>
      <c r="R25" s="168"/>
      <c r="S25" s="169" t="str">
        <f t="shared" si="2"/>
        <v>017</v>
      </c>
      <c r="T25" s="85" t="str">
        <f t="shared" si="3"/>
        <v>OPERACIONES CON PARTES RELACIONADAS LOCALES Y/O DEL EXTERIOR</v>
      </c>
      <c r="U25" s="85" t="str">
        <f t="shared" si="4"/>
        <v>CON PARTES RELACIONADAS EN OTRAS JURISDICCIONES O RÉGIMENES DEL EXTERIOR</v>
      </c>
      <c r="V25" s="85" t="str">
        <f t="shared" si="5"/>
        <v>Operaciones de regalías, servicios técnicos, administrativos, de consultoría y similares</v>
      </c>
      <c r="W25" s="85" t="str">
        <f t="shared" si="6"/>
        <v/>
      </c>
      <c r="X25" s="85" t="str">
        <f t="shared" si="7"/>
        <v/>
      </c>
      <c r="Y25" s="85" t="str">
        <f t="shared" si="8"/>
        <v/>
      </c>
      <c r="Z25" s="85" t="str">
        <f t="shared" si="9"/>
        <v/>
      </c>
      <c r="AA25" s="170" t="str">
        <f t="shared" si="1"/>
        <v>CON PARTES RELACIONADAS EN OTRAS JURISDICCIONES O RÉGIMENES DEL EXTERIOR_Operaciones de regalías, servicios técnicos, administrativos, de consultoría y similares_</v>
      </c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</row>
    <row r="26" spans="1:39">
      <c r="A26" s="53"/>
      <c r="B26" s="238" t="s">
        <v>61</v>
      </c>
      <c r="C26" s="238"/>
      <c r="D26" s="238"/>
      <c r="E26" s="238"/>
      <c r="F26" s="238"/>
      <c r="G26" s="238"/>
      <c r="H26" s="238"/>
      <c r="I26" s="238"/>
      <c r="J26" s="238"/>
      <c r="K26" s="238"/>
      <c r="L26" s="238"/>
      <c r="M26" s="238"/>
      <c r="N26" s="71" t="s">
        <v>62</v>
      </c>
      <c r="O26" s="72" t="e">
        <f>SUM(O9:O13)+SUM(O15:O19)+SUM(O21:O25)</f>
        <v>#REF!</v>
      </c>
      <c r="P26" s="168"/>
      <c r="Q26" s="168"/>
      <c r="R26" s="168"/>
      <c r="S26" s="169" t="str">
        <f t="shared" si="2"/>
        <v>029</v>
      </c>
      <c r="T26" s="85" t="str">
        <f t="shared" si="3"/>
        <v>OPERACIONES CON PARTES RELACIONADAS LOCALES Y/O DEL EXTERIOR</v>
      </c>
      <c r="U26" s="85" t="str">
        <f t="shared" si="4"/>
        <v>TOTAL OPERACIONES CON PARTES RELACIONADAS</v>
      </c>
      <c r="V26" s="85" t="str">
        <f t="shared" si="5"/>
        <v/>
      </c>
      <c r="W26" s="85" t="str">
        <f t="shared" si="6"/>
        <v/>
      </c>
      <c r="X26" s="85" t="str">
        <f t="shared" si="7"/>
        <v/>
      </c>
      <c r="Y26" s="85" t="str">
        <f t="shared" si="8"/>
        <v/>
      </c>
      <c r="Z26" s="85" t="str">
        <f t="shared" si="9"/>
        <v/>
      </c>
      <c r="AA26" s="170" t="str">
        <f t="shared" si="1"/>
        <v>TOTAL OPERACIONES CON PARTES RELACIONADAS__</v>
      </c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</row>
    <row r="27" spans="1:39">
      <c r="A27" s="53"/>
      <c r="B27" s="235" t="s">
        <v>63</v>
      </c>
      <c r="C27" s="235"/>
      <c r="D27" s="235"/>
      <c r="E27" s="235"/>
      <c r="F27" s="235"/>
      <c r="G27" s="235"/>
      <c r="H27" s="235"/>
      <c r="I27" s="235"/>
      <c r="J27" s="235"/>
      <c r="K27" s="235"/>
      <c r="L27" s="235"/>
      <c r="M27" s="235"/>
      <c r="N27" s="9" t="s">
        <v>64</v>
      </c>
      <c r="O27" s="55"/>
      <c r="P27" s="168"/>
      <c r="Q27" s="168"/>
      <c r="R27" s="168"/>
      <c r="S27" s="169" t="str">
        <f t="shared" si="2"/>
        <v>030</v>
      </c>
      <c r="T27" s="85" t="str">
        <f t="shared" si="3"/>
        <v>OPERACIONES CON PARTES RELACIONADAS LOCALES Y/O DEL EXTERIOR</v>
      </c>
      <c r="U27" s="85" t="str">
        <f t="shared" si="4"/>
        <v>¿Sujeto pasivo exento de aplicación del régimen de precios de transferencia?</v>
      </c>
      <c r="V27" s="85" t="str">
        <f t="shared" si="5"/>
        <v/>
      </c>
      <c r="W27" s="85" t="str">
        <f t="shared" si="6"/>
        <v/>
      </c>
      <c r="X27" s="85" t="str">
        <f t="shared" si="7"/>
        <v/>
      </c>
      <c r="Y27" s="85" t="str">
        <f t="shared" si="8"/>
        <v/>
      </c>
      <c r="Z27" s="85" t="str">
        <f t="shared" si="9"/>
        <v/>
      </c>
      <c r="AA27" s="170" t="str">
        <f t="shared" si="1"/>
        <v>¿Sujeto pasivo exento de aplicación del régimen de precios de transferencia?__</v>
      </c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</row>
    <row r="28" spans="1:39">
      <c r="A28" s="236" t="s">
        <v>65</v>
      </c>
      <c r="B28" s="236"/>
      <c r="C28" s="236"/>
      <c r="D28" s="236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236"/>
      <c r="P28" s="168"/>
      <c r="Q28" s="168"/>
      <c r="R28" s="168"/>
      <c r="S28" s="169">
        <f t="shared" si="2"/>
        <v>0</v>
      </c>
      <c r="T28" s="85" t="str">
        <f t="shared" si="3"/>
        <v>ESTADO DE SITUACIÓN FINANCIERA</v>
      </c>
      <c r="U28" s="85" t="str">
        <f t="shared" si="4"/>
        <v/>
      </c>
      <c r="V28" s="85" t="str">
        <f t="shared" si="5"/>
        <v/>
      </c>
      <c r="W28" s="85" t="str">
        <f t="shared" si="6"/>
        <v/>
      </c>
      <c r="X28" s="85" t="str">
        <f t="shared" si="7"/>
        <v/>
      </c>
      <c r="Y28" s="85" t="str">
        <f t="shared" si="8"/>
        <v/>
      </c>
      <c r="Z28" s="85" t="str">
        <f t="shared" si="9"/>
        <v/>
      </c>
      <c r="AA28" s="170" t="str">
        <f t="shared" si="1"/>
        <v>__</v>
      </c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</row>
    <row r="29" spans="1:39">
      <c r="A29" s="53"/>
      <c r="B29" s="239" t="s">
        <v>66</v>
      </c>
      <c r="C29" s="239"/>
      <c r="D29" s="239"/>
      <c r="E29" s="239"/>
      <c r="F29" s="239"/>
      <c r="G29" s="239"/>
      <c r="H29" s="239"/>
      <c r="I29" s="239"/>
      <c r="J29" s="239"/>
      <c r="K29" s="239"/>
      <c r="L29" s="239"/>
      <c r="M29" s="239"/>
      <c r="N29" s="239"/>
      <c r="O29" s="239"/>
      <c r="S29" s="61">
        <f t="shared" si="2"/>
        <v>0</v>
      </c>
      <c r="T29" s="64" t="str">
        <f t="shared" si="3"/>
        <v>ESTADO DE SITUACIÓN FINANCIERA</v>
      </c>
      <c r="U29" s="64" t="str">
        <f t="shared" si="4"/>
        <v>ACTIVO</v>
      </c>
      <c r="V29" s="64" t="str">
        <f t="shared" si="5"/>
        <v/>
      </c>
      <c r="W29" s="64" t="str">
        <f t="shared" si="6"/>
        <v/>
      </c>
      <c r="X29" s="64" t="str">
        <f t="shared" si="7"/>
        <v/>
      </c>
      <c r="Y29" s="64" t="str">
        <f t="shared" si="8"/>
        <v/>
      </c>
      <c r="Z29" s="64" t="str">
        <f t="shared" si="9"/>
        <v/>
      </c>
      <c r="AA29" s="69" t="str">
        <f t="shared" si="1"/>
        <v>ACTIVO__</v>
      </c>
    </row>
    <row r="30" spans="1:39">
      <c r="A30" s="241"/>
      <c r="B30" s="241"/>
      <c r="C30" s="239" t="s">
        <v>67</v>
      </c>
      <c r="D30" s="239"/>
      <c r="E30" s="239"/>
      <c r="F30" s="239"/>
      <c r="G30" s="239"/>
      <c r="H30" s="239"/>
      <c r="I30" s="239"/>
      <c r="J30" s="239"/>
      <c r="K30" s="239"/>
      <c r="L30" s="239"/>
      <c r="M30" s="239"/>
      <c r="N30" s="239"/>
      <c r="O30" s="239"/>
      <c r="S30" s="61">
        <f t="shared" si="2"/>
        <v>0</v>
      </c>
      <c r="T30" s="64" t="str">
        <f t="shared" si="3"/>
        <v>ESTADO DE SITUACIÓN FINANCIERA</v>
      </c>
      <c r="U30" s="64" t="str">
        <f t="shared" si="4"/>
        <v>ACTIVO</v>
      </c>
      <c r="V30" s="64" t="str">
        <f t="shared" si="5"/>
        <v>ACTIVOS CORRIENTES</v>
      </c>
      <c r="W30" s="64" t="str">
        <f t="shared" si="6"/>
        <v/>
      </c>
      <c r="X30" s="64" t="str">
        <f t="shared" si="7"/>
        <v/>
      </c>
      <c r="Y30" s="64" t="str">
        <f t="shared" si="8"/>
        <v/>
      </c>
      <c r="Z30" s="64" t="str">
        <f t="shared" si="9"/>
        <v/>
      </c>
      <c r="AA30" s="69" t="str">
        <f t="shared" si="1"/>
        <v>ACTIVO_ACTIVOS CORRIENTES_</v>
      </c>
    </row>
    <row r="31" spans="1:39">
      <c r="A31" s="53"/>
      <c r="B31" s="53"/>
      <c r="C31" s="53"/>
      <c r="D31" s="242" t="s">
        <v>68</v>
      </c>
      <c r="E31" s="242"/>
      <c r="F31" s="242"/>
      <c r="G31" s="242"/>
      <c r="H31" s="242"/>
      <c r="I31" s="242"/>
      <c r="J31" s="242"/>
      <c r="K31" s="242"/>
      <c r="L31" s="242"/>
      <c r="M31" s="242"/>
      <c r="N31" s="9" t="s">
        <v>69</v>
      </c>
      <c r="O31" s="55" t="e">
        <f>VLOOKUP(N31,Casilleros!$A$4:$Q$830,17,FALSE)</f>
        <v>#REF!</v>
      </c>
      <c r="S31" s="61" t="str">
        <f>+N31</f>
        <v>311</v>
      </c>
      <c r="T31" s="64" t="str">
        <f t="shared" ref="T31:T92" si="10">IF(A31&lt;&gt;"",A31,T30)</f>
        <v>ESTADO DE SITUACIÓN FINANCIERA</v>
      </c>
      <c r="U31" s="64" t="str">
        <f t="shared" ref="U31:U59" si="11">IF(T30&lt;&gt;T31,"",(IF(B31&lt;&gt;"",B31,U30)))</f>
        <v>ACTIVO</v>
      </c>
      <c r="V31" s="64" t="str">
        <f t="shared" ref="V31:V59" si="12">IF(U30&lt;&gt;U31,"",(IF(C31&lt;&gt;"",C31,V30)))</f>
        <v>ACTIVOS CORRIENTES</v>
      </c>
      <c r="W31" s="64" t="str">
        <f t="shared" ref="W31:W59" si="13">IF(V30&lt;&gt;V31,"",(IF(D31&lt;&gt;"",D31,W30)))</f>
        <v>Efectivo y equivalentes al efectivo</v>
      </c>
      <c r="X31" s="64" t="str">
        <f t="shared" ref="X31:Z35" si="14">IF(W30&lt;&gt;W31,"",(IF(E31&lt;&gt;"",E31,X30)))</f>
        <v/>
      </c>
      <c r="Y31" s="64" t="str">
        <f t="shared" si="14"/>
        <v/>
      </c>
      <c r="Z31" s="64" t="str">
        <f t="shared" si="14"/>
        <v/>
      </c>
      <c r="AA31" s="64" t="str">
        <f t="shared" ref="AA31:AA91" si="15">IF(X31&lt;&gt;"",CONCATENATE(W31,"_",X31,"_",Y31,"_",Z31),W31)</f>
        <v>Efectivo y equivalentes al efectivo</v>
      </c>
    </row>
    <row r="32" spans="1:39">
      <c r="A32" s="53"/>
      <c r="B32" s="53"/>
      <c r="C32" s="53"/>
      <c r="D32" s="239" t="s">
        <v>70</v>
      </c>
      <c r="E32" s="239"/>
      <c r="F32" s="239"/>
      <c r="G32" s="239"/>
      <c r="H32" s="239"/>
      <c r="I32" s="239"/>
      <c r="J32" s="239"/>
      <c r="K32" s="239"/>
      <c r="L32" s="239"/>
      <c r="M32" s="239"/>
      <c r="N32" s="239"/>
      <c r="O32" s="239"/>
      <c r="S32" s="61">
        <f t="shared" ref="S32:S95" si="16">+N32</f>
        <v>0</v>
      </c>
      <c r="T32" s="64" t="str">
        <f t="shared" si="10"/>
        <v>ESTADO DE SITUACIÓN FINANCIERA</v>
      </c>
      <c r="U32" s="64" t="str">
        <f t="shared" si="11"/>
        <v>ACTIVO</v>
      </c>
      <c r="V32" s="64" t="str">
        <f t="shared" si="12"/>
        <v>ACTIVOS CORRIENTES</v>
      </c>
      <c r="W32" s="64" t="str">
        <f t="shared" si="13"/>
        <v>CUENTAS Y DOCUMENTOS POR COBRAR CORRIENTES</v>
      </c>
      <c r="X32" s="64" t="str">
        <f t="shared" si="14"/>
        <v/>
      </c>
      <c r="Y32" s="64" t="str">
        <f t="shared" si="14"/>
        <v/>
      </c>
      <c r="Z32" s="64" t="str">
        <f t="shared" si="14"/>
        <v/>
      </c>
      <c r="AA32" s="64" t="str">
        <f t="shared" si="15"/>
        <v>CUENTAS Y DOCUMENTOS POR COBRAR CORRIENTES</v>
      </c>
    </row>
    <row r="33" spans="1:27">
      <c r="A33" s="53"/>
      <c r="B33" s="53"/>
      <c r="C33" s="53"/>
      <c r="D33" s="53"/>
      <c r="E33" s="236" t="s">
        <v>71</v>
      </c>
      <c r="F33" s="236"/>
      <c r="G33" s="236"/>
      <c r="H33" s="236"/>
      <c r="I33" s="236"/>
      <c r="J33" s="236"/>
      <c r="K33" s="236"/>
      <c r="L33" s="236"/>
      <c r="M33" s="236"/>
      <c r="N33" s="236"/>
      <c r="O33" s="236"/>
      <c r="S33" s="61">
        <f t="shared" si="16"/>
        <v>0</v>
      </c>
      <c r="T33" s="64" t="str">
        <f t="shared" si="10"/>
        <v>ESTADO DE SITUACIÓN FINANCIERA</v>
      </c>
      <c r="U33" s="64" t="str">
        <f t="shared" si="11"/>
        <v>ACTIVO</v>
      </c>
      <c r="V33" s="64" t="str">
        <f t="shared" si="12"/>
        <v>ACTIVOS CORRIENTES</v>
      </c>
      <c r="W33" s="64" t="str">
        <f t="shared" si="13"/>
        <v>CUENTAS Y DOCUMENTOS POR COBRAR CORRIENTES</v>
      </c>
      <c r="X33" s="64" t="str">
        <f t="shared" si="14"/>
        <v>CUENTAS Y DOCUMENTOS POR COBRAR COMERCIALES CORRIENTES</v>
      </c>
      <c r="Y33" s="64" t="str">
        <f t="shared" si="14"/>
        <v/>
      </c>
      <c r="Z33" s="64" t="str">
        <f t="shared" si="14"/>
        <v/>
      </c>
      <c r="AA33" s="64" t="str">
        <f t="shared" si="15"/>
        <v>CUENTAS Y DOCUMENTOS POR COBRAR CORRIENTES_CUENTAS Y DOCUMENTOS POR COBRAR COMERCIALES CORRIENTES__</v>
      </c>
    </row>
    <row r="34" spans="1:27">
      <c r="A34" s="53"/>
      <c r="B34" s="53"/>
      <c r="C34" s="53"/>
      <c r="D34" s="53"/>
      <c r="E34" s="53"/>
      <c r="F34" s="239" t="s">
        <v>72</v>
      </c>
      <c r="G34" s="239"/>
      <c r="H34" s="239"/>
      <c r="I34" s="239"/>
      <c r="J34" s="239"/>
      <c r="K34" s="239"/>
      <c r="L34" s="239"/>
      <c r="M34" s="239"/>
      <c r="N34" s="239"/>
      <c r="O34" s="239"/>
      <c r="S34" s="61">
        <f t="shared" si="16"/>
        <v>0</v>
      </c>
      <c r="T34" s="64" t="str">
        <f t="shared" si="10"/>
        <v>ESTADO DE SITUACIÓN FINANCIERA</v>
      </c>
      <c r="U34" s="64" t="str">
        <f t="shared" si="11"/>
        <v>ACTIVO</v>
      </c>
      <c r="V34" s="64" t="str">
        <f t="shared" si="12"/>
        <v>ACTIVOS CORRIENTES</v>
      </c>
      <c r="W34" s="64" t="str">
        <f t="shared" si="13"/>
        <v>CUENTAS Y DOCUMENTOS POR COBRAR CORRIENTES</v>
      </c>
      <c r="X34" s="64" t="str">
        <f t="shared" si="14"/>
        <v>CUENTAS Y DOCUMENTOS POR COBRAR COMERCIALES CORRIENTES</v>
      </c>
      <c r="Y34" s="64" t="str">
        <f t="shared" si="14"/>
        <v>RELACIONADAS</v>
      </c>
      <c r="Z34" s="64" t="str">
        <f t="shared" si="14"/>
        <v/>
      </c>
      <c r="AA34" s="64" t="str">
        <f t="shared" si="15"/>
        <v>CUENTAS Y DOCUMENTOS POR COBRAR CORRIENTES_CUENTAS Y DOCUMENTOS POR COBRAR COMERCIALES CORRIENTES_RELACIONADAS_</v>
      </c>
    </row>
    <row r="35" spans="1:27">
      <c r="A35" s="73"/>
      <c r="B35" s="73"/>
      <c r="C35" s="73"/>
      <c r="D35" s="73"/>
      <c r="E35" s="73"/>
      <c r="F35" s="73"/>
      <c r="G35" s="235" t="s">
        <v>73</v>
      </c>
      <c r="H35" s="235"/>
      <c r="I35" s="235"/>
      <c r="J35" s="235"/>
      <c r="K35" s="235"/>
      <c r="L35" s="235"/>
      <c r="M35" s="235"/>
      <c r="N35" s="9" t="s">
        <v>74</v>
      </c>
      <c r="O35" s="55" t="e">
        <f>VLOOKUP(N35,Casilleros!$A$4:$Q$830,17,FALSE)</f>
        <v>#REF!</v>
      </c>
      <c r="S35" s="61" t="str">
        <f t="shared" si="16"/>
        <v>312</v>
      </c>
      <c r="T35" s="64" t="str">
        <f t="shared" si="10"/>
        <v>ESTADO DE SITUACIÓN FINANCIERA</v>
      </c>
      <c r="U35" s="64" t="str">
        <f t="shared" si="11"/>
        <v>ACTIVO</v>
      </c>
      <c r="V35" s="64" t="str">
        <f t="shared" si="12"/>
        <v>ACTIVOS CORRIENTES</v>
      </c>
      <c r="W35" s="64" t="str">
        <f t="shared" si="13"/>
        <v>CUENTAS Y DOCUMENTOS POR COBRAR CORRIENTES</v>
      </c>
      <c r="X35" s="64" t="str">
        <f t="shared" si="14"/>
        <v>CUENTAS Y DOCUMENTOS POR COBRAR COMERCIALES CORRIENTES</v>
      </c>
      <c r="Y35" s="64" t="str">
        <f t="shared" si="14"/>
        <v>RELACIONADAS</v>
      </c>
      <c r="Z35" s="64" t="str">
        <f t="shared" si="14"/>
        <v>Locales</v>
      </c>
      <c r="AA35" s="64" t="str">
        <f t="shared" si="15"/>
        <v>CUENTAS Y DOCUMENTOS POR COBRAR CORRIENTES_CUENTAS Y DOCUMENTOS POR COBRAR COMERCIALES CORRIENTES_RELACIONADAS_Locales</v>
      </c>
    </row>
    <row r="36" spans="1:27">
      <c r="A36" s="53"/>
      <c r="B36" s="53"/>
      <c r="C36" s="53"/>
      <c r="D36" s="53"/>
      <c r="E36" s="53"/>
      <c r="F36" s="53"/>
      <c r="G36" s="235" t="s">
        <v>26</v>
      </c>
      <c r="H36" s="235"/>
      <c r="I36" s="235"/>
      <c r="J36" s="235"/>
      <c r="K36" s="235"/>
      <c r="L36" s="235"/>
      <c r="M36" s="235"/>
      <c r="N36" s="9" t="s">
        <v>75</v>
      </c>
      <c r="O36" s="55" t="e">
        <f>VLOOKUP(N36,Casilleros!$A$4:$Q$830,17,FALSE)</f>
        <v>#REF!</v>
      </c>
      <c r="S36" s="61" t="str">
        <f t="shared" si="16"/>
        <v>313</v>
      </c>
      <c r="T36" s="64" t="str">
        <f t="shared" si="10"/>
        <v>ESTADO DE SITUACIÓN FINANCIERA</v>
      </c>
      <c r="U36" s="64" t="str">
        <f t="shared" si="11"/>
        <v>ACTIVO</v>
      </c>
      <c r="V36" s="64" t="str">
        <f t="shared" si="12"/>
        <v>ACTIVOS CORRIENTES</v>
      </c>
      <c r="W36" s="64" t="str">
        <f t="shared" si="13"/>
        <v>CUENTAS Y DOCUMENTOS POR COBRAR CORRIENTES</v>
      </c>
      <c r="X36" s="64" t="str">
        <f t="shared" ref="X36:X47" si="17">IF(W35&lt;&gt;W36,"",(IF(E36&lt;&gt;"",E36,X35)))</f>
        <v>CUENTAS Y DOCUMENTOS POR COBRAR COMERCIALES CORRIENTES</v>
      </c>
      <c r="Y36" s="64" t="str">
        <f t="shared" ref="Y36:Y47" si="18">IF(X35&lt;&gt;X36,"",(IF(F36&lt;&gt;"",F36,Y35)))</f>
        <v>RELACIONADAS</v>
      </c>
      <c r="Z36" s="64" t="str">
        <f t="shared" ref="Z36:Z47" si="19">IF(Y35&lt;&gt;Y36,"",(IF(G36&lt;&gt;"",G36,Z35)))</f>
        <v>Del exterior</v>
      </c>
      <c r="AA36" s="64" t="str">
        <f t="shared" si="15"/>
        <v>CUENTAS Y DOCUMENTOS POR COBRAR CORRIENTES_CUENTAS Y DOCUMENTOS POR COBRAR COMERCIALES CORRIENTES_RELACIONADAS_Del exterior</v>
      </c>
    </row>
    <row r="37" spans="1:27">
      <c r="A37" s="53"/>
      <c r="B37" s="53"/>
      <c r="C37" s="53"/>
      <c r="D37" s="53"/>
      <c r="E37" s="53"/>
      <c r="F37" s="53"/>
      <c r="G37" s="235" t="s">
        <v>76</v>
      </c>
      <c r="H37" s="235"/>
      <c r="I37" s="235"/>
      <c r="J37" s="235"/>
      <c r="K37" s="235"/>
      <c r="L37" s="235"/>
      <c r="M37" s="235"/>
      <c r="N37" s="9" t="s">
        <v>77</v>
      </c>
      <c r="O37" s="55" t="e">
        <f>VLOOKUP(N37,Casilleros!$A$4:$Q$830,17,FALSE)</f>
        <v>#REF!</v>
      </c>
      <c r="S37" s="61" t="str">
        <f t="shared" si="16"/>
        <v>314</v>
      </c>
      <c r="T37" s="64" t="str">
        <f t="shared" si="10"/>
        <v>ESTADO DE SITUACIÓN FINANCIERA</v>
      </c>
      <c r="U37" s="64" t="str">
        <f t="shared" si="11"/>
        <v>ACTIVO</v>
      </c>
      <c r="V37" s="64" t="str">
        <f t="shared" si="12"/>
        <v>ACTIVOS CORRIENTES</v>
      </c>
      <c r="W37" s="64" t="str">
        <f t="shared" si="13"/>
        <v>CUENTAS Y DOCUMENTOS POR COBRAR CORRIENTES</v>
      </c>
      <c r="X37" s="64" t="str">
        <f t="shared" si="17"/>
        <v>CUENTAS Y DOCUMENTOS POR COBRAR COMERCIALES CORRIENTES</v>
      </c>
      <c r="Y37" s="64" t="str">
        <f t="shared" si="18"/>
        <v>RELACIONADAS</v>
      </c>
      <c r="Z37" s="64" t="str">
        <f t="shared" si="19"/>
        <v>(-) Deterioro acumulado del valor de cuentas y documentos por cobrar comerciales por incobrabilidad (provisiones para créditos incobrables)</v>
      </c>
      <c r="AA37" s="64" t="str">
        <f t="shared" si="15"/>
        <v>CUENTAS Y DOCUMENTOS POR COBRAR CORRIENTES_CUENTAS Y DOCUMENTOS POR COBRAR COMERCIALES CORRIENTES_RELACIONADAS_(-) Deterioro acumulado del valor de cuentas y documentos por cobrar comerciales por incobrabilidad (provisiones para créditos incobrables)</v>
      </c>
    </row>
    <row r="38" spans="1:27">
      <c r="A38" s="53"/>
      <c r="B38" s="53"/>
      <c r="C38" s="53"/>
      <c r="D38" s="53"/>
      <c r="E38" s="53"/>
      <c r="F38" s="239" t="s">
        <v>78</v>
      </c>
      <c r="G38" s="239"/>
      <c r="H38" s="239"/>
      <c r="I38" s="239"/>
      <c r="J38" s="239"/>
      <c r="K38" s="239"/>
      <c r="L38" s="239"/>
      <c r="M38" s="239"/>
      <c r="N38" s="239"/>
      <c r="O38" s="239"/>
      <c r="S38" s="61">
        <f t="shared" si="16"/>
        <v>0</v>
      </c>
      <c r="T38" s="64" t="str">
        <f t="shared" si="10"/>
        <v>ESTADO DE SITUACIÓN FINANCIERA</v>
      </c>
      <c r="U38" s="64" t="str">
        <f t="shared" si="11"/>
        <v>ACTIVO</v>
      </c>
      <c r="V38" s="64" t="str">
        <f t="shared" si="12"/>
        <v>ACTIVOS CORRIENTES</v>
      </c>
      <c r="W38" s="64" t="str">
        <f t="shared" si="13"/>
        <v>CUENTAS Y DOCUMENTOS POR COBRAR CORRIENTES</v>
      </c>
      <c r="X38" s="64" t="str">
        <f t="shared" si="17"/>
        <v>CUENTAS Y DOCUMENTOS POR COBRAR COMERCIALES CORRIENTES</v>
      </c>
      <c r="Y38" s="64" t="str">
        <f t="shared" si="18"/>
        <v>NO RELACIONADAS</v>
      </c>
      <c r="Z38" s="64" t="str">
        <f t="shared" si="19"/>
        <v/>
      </c>
      <c r="AA38" s="64" t="str">
        <f t="shared" si="15"/>
        <v>CUENTAS Y DOCUMENTOS POR COBRAR CORRIENTES_CUENTAS Y DOCUMENTOS POR COBRAR COMERCIALES CORRIENTES_NO RELACIONADAS_</v>
      </c>
    </row>
    <row r="39" spans="1:27">
      <c r="A39" s="53"/>
      <c r="B39" s="53"/>
      <c r="C39" s="53"/>
      <c r="D39" s="53"/>
      <c r="E39" s="53"/>
      <c r="F39" s="53"/>
      <c r="G39" s="235" t="s">
        <v>73</v>
      </c>
      <c r="H39" s="235"/>
      <c r="I39" s="235"/>
      <c r="J39" s="235"/>
      <c r="K39" s="235"/>
      <c r="L39" s="235"/>
      <c r="M39" s="235"/>
      <c r="N39" s="9" t="s">
        <v>79</v>
      </c>
      <c r="O39" s="74" t="e">
        <f>VLOOKUP(N39,Casilleros!$A$4:$Q$830,17,FALSE)</f>
        <v>#REF!</v>
      </c>
      <c r="S39" s="61" t="str">
        <f t="shared" si="16"/>
        <v>315</v>
      </c>
      <c r="T39" s="64" t="str">
        <f t="shared" si="10"/>
        <v>ESTADO DE SITUACIÓN FINANCIERA</v>
      </c>
      <c r="U39" s="64" t="str">
        <f t="shared" si="11"/>
        <v>ACTIVO</v>
      </c>
      <c r="V39" s="64" t="str">
        <f t="shared" si="12"/>
        <v>ACTIVOS CORRIENTES</v>
      </c>
      <c r="W39" s="64" t="str">
        <f t="shared" si="13"/>
        <v>CUENTAS Y DOCUMENTOS POR COBRAR CORRIENTES</v>
      </c>
      <c r="X39" s="64" t="str">
        <f t="shared" si="17"/>
        <v>CUENTAS Y DOCUMENTOS POR COBRAR COMERCIALES CORRIENTES</v>
      </c>
      <c r="Y39" s="64" t="str">
        <f t="shared" si="18"/>
        <v>NO RELACIONADAS</v>
      </c>
      <c r="Z39" s="64" t="str">
        <f t="shared" si="19"/>
        <v>Locales</v>
      </c>
      <c r="AA39" s="64" t="str">
        <f t="shared" si="15"/>
        <v>CUENTAS Y DOCUMENTOS POR COBRAR CORRIENTES_CUENTAS Y DOCUMENTOS POR COBRAR COMERCIALES CORRIENTES_NO RELACIONADAS_Locales</v>
      </c>
    </row>
    <row r="40" spans="1:27">
      <c r="A40" s="53"/>
      <c r="B40" s="53"/>
      <c r="C40" s="53"/>
      <c r="D40" s="53"/>
      <c r="E40" s="53"/>
      <c r="F40" s="53"/>
      <c r="G40" s="235" t="s">
        <v>26</v>
      </c>
      <c r="H40" s="235"/>
      <c r="I40" s="235"/>
      <c r="J40" s="235"/>
      <c r="K40" s="235"/>
      <c r="L40" s="235"/>
      <c r="M40" s="235"/>
      <c r="N40" s="9" t="s">
        <v>80</v>
      </c>
      <c r="O40" s="55" t="e">
        <f>VLOOKUP(N40,Casilleros!$A$4:$Q$830,17,FALSE)</f>
        <v>#REF!</v>
      </c>
      <c r="S40" s="61" t="str">
        <f t="shared" si="16"/>
        <v>316</v>
      </c>
      <c r="T40" s="64" t="str">
        <f t="shared" si="10"/>
        <v>ESTADO DE SITUACIÓN FINANCIERA</v>
      </c>
      <c r="U40" s="64" t="str">
        <f t="shared" si="11"/>
        <v>ACTIVO</v>
      </c>
      <c r="V40" s="64" t="str">
        <f t="shared" si="12"/>
        <v>ACTIVOS CORRIENTES</v>
      </c>
      <c r="W40" s="64" t="str">
        <f t="shared" si="13"/>
        <v>CUENTAS Y DOCUMENTOS POR COBRAR CORRIENTES</v>
      </c>
      <c r="X40" s="64" t="str">
        <f t="shared" si="17"/>
        <v>CUENTAS Y DOCUMENTOS POR COBRAR COMERCIALES CORRIENTES</v>
      </c>
      <c r="Y40" s="64" t="str">
        <f t="shared" si="18"/>
        <v>NO RELACIONADAS</v>
      </c>
      <c r="Z40" s="64" t="str">
        <f t="shared" si="19"/>
        <v>Del exterior</v>
      </c>
      <c r="AA40" s="64" t="str">
        <f t="shared" si="15"/>
        <v>CUENTAS Y DOCUMENTOS POR COBRAR CORRIENTES_CUENTAS Y DOCUMENTOS POR COBRAR COMERCIALES CORRIENTES_NO RELACIONADAS_Del exterior</v>
      </c>
    </row>
    <row r="41" spans="1:27">
      <c r="A41" s="53"/>
      <c r="B41" s="53"/>
      <c r="C41" s="53"/>
      <c r="D41" s="53"/>
      <c r="E41" s="53"/>
      <c r="F41" s="53"/>
      <c r="G41" s="235" t="s">
        <v>76</v>
      </c>
      <c r="H41" s="235"/>
      <c r="I41" s="235"/>
      <c r="J41" s="235"/>
      <c r="K41" s="235"/>
      <c r="L41" s="235"/>
      <c r="M41" s="235"/>
      <c r="N41" s="9" t="s">
        <v>81</v>
      </c>
      <c r="O41" s="55" t="e">
        <f>VLOOKUP(N41,Casilleros!$A$4:$Q$830,17,FALSE)</f>
        <v>#REF!</v>
      </c>
      <c r="S41" s="61" t="str">
        <f t="shared" si="16"/>
        <v>317</v>
      </c>
      <c r="T41" s="64" t="str">
        <f t="shared" si="10"/>
        <v>ESTADO DE SITUACIÓN FINANCIERA</v>
      </c>
      <c r="U41" s="64" t="str">
        <f t="shared" si="11"/>
        <v>ACTIVO</v>
      </c>
      <c r="V41" s="64" t="str">
        <f t="shared" si="12"/>
        <v>ACTIVOS CORRIENTES</v>
      </c>
      <c r="W41" s="64" t="str">
        <f t="shared" si="13"/>
        <v>CUENTAS Y DOCUMENTOS POR COBRAR CORRIENTES</v>
      </c>
      <c r="X41" s="64" t="str">
        <f t="shared" si="17"/>
        <v>CUENTAS Y DOCUMENTOS POR COBRAR COMERCIALES CORRIENTES</v>
      </c>
      <c r="Y41" s="64" t="str">
        <f t="shared" si="18"/>
        <v>NO RELACIONADAS</v>
      </c>
      <c r="Z41" s="64" t="str">
        <f t="shared" si="19"/>
        <v>(-) Deterioro acumulado del valor de cuentas y documentos por cobrar comerciales por incobrabilidad (provisiones para créditos incobrables)</v>
      </c>
      <c r="AA41" s="64" t="str">
        <f t="shared" si="15"/>
        <v>CUENTAS Y DOCUMENTOS POR COBRAR CORRIENTES_CUENTAS Y DOCUMENTOS POR COBRAR COMERCIALES CORRIENTES_NO RELACIONADAS_(-) Deterioro acumulado del valor de cuentas y documentos por cobrar comerciales por incobrabilidad (provisiones para créditos incobrables)</v>
      </c>
    </row>
    <row r="42" spans="1:27">
      <c r="A42" s="53"/>
      <c r="B42" s="53"/>
      <c r="C42" s="53"/>
      <c r="D42" s="53"/>
      <c r="E42" s="236" t="s">
        <v>82</v>
      </c>
      <c r="F42" s="236"/>
      <c r="G42" s="236"/>
      <c r="H42" s="236"/>
      <c r="I42" s="236"/>
      <c r="J42" s="236"/>
      <c r="K42" s="236"/>
      <c r="L42" s="236"/>
      <c r="M42" s="236"/>
      <c r="N42" s="236"/>
      <c r="O42" s="236"/>
      <c r="S42" s="61">
        <f t="shared" si="16"/>
        <v>0</v>
      </c>
      <c r="T42" s="64" t="str">
        <f t="shared" si="10"/>
        <v>ESTADO DE SITUACIÓN FINANCIERA</v>
      </c>
      <c r="U42" s="64" t="str">
        <f t="shared" si="11"/>
        <v>ACTIVO</v>
      </c>
      <c r="V42" s="64" t="str">
        <f t="shared" si="12"/>
        <v>ACTIVOS CORRIENTES</v>
      </c>
      <c r="W42" s="64" t="str">
        <f t="shared" si="13"/>
        <v>CUENTAS Y DOCUMENTOS POR COBRAR CORRIENTES</v>
      </c>
      <c r="X42" s="64" t="str">
        <f t="shared" si="17"/>
        <v>OTRAS CUENTAS Y DOCUMENTOS POR COBRAR CORRIENTES</v>
      </c>
      <c r="Y42" s="64" t="str">
        <f t="shared" si="18"/>
        <v/>
      </c>
      <c r="Z42" s="64" t="str">
        <f t="shared" si="19"/>
        <v/>
      </c>
      <c r="AA42" s="64" t="str">
        <f t="shared" si="15"/>
        <v>CUENTAS Y DOCUMENTOS POR COBRAR CORRIENTES_OTRAS CUENTAS Y DOCUMENTOS POR COBRAR CORRIENTES__</v>
      </c>
    </row>
    <row r="43" spans="1:27">
      <c r="A43" s="53"/>
      <c r="B43" s="53"/>
      <c r="C43" s="53"/>
      <c r="D43" s="53"/>
      <c r="E43" s="53"/>
      <c r="F43" s="239" t="s">
        <v>83</v>
      </c>
      <c r="G43" s="239"/>
      <c r="H43" s="239"/>
      <c r="I43" s="239"/>
      <c r="J43" s="239"/>
      <c r="K43" s="239"/>
      <c r="L43" s="239"/>
      <c r="M43" s="239"/>
      <c r="N43" s="239"/>
      <c r="O43" s="239"/>
      <c r="S43" s="61">
        <f t="shared" si="16"/>
        <v>0</v>
      </c>
      <c r="T43" s="64" t="str">
        <f t="shared" si="10"/>
        <v>ESTADO DE SITUACIÓN FINANCIERA</v>
      </c>
      <c r="U43" s="64" t="str">
        <f t="shared" si="11"/>
        <v>ACTIVO</v>
      </c>
      <c r="V43" s="64" t="str">
        <f t="shared" si="12"/>
        <v>ACTIVOS CORRIENTES</v>
      </c>
      <c r="W43" s="64" t="str">
        <f t="shared" si="13"/>
        <v>CUENTAS Y DOCUMENTOS POR COBRAR CORRIENTES</v>
      </c>
      <c r="X43" s="64" t="str">
        <f t="shared" si="17"/>
        <v>OTRAS CUENTAS Y DOCUMENTOS POR COBRAR CORRIENTES</v>
      </c>
      <c r="Y43" s="64" t="str">
        <f t="shared" si="18"/>
        <v>A ACCIONISTAS, SOCIOS, PARTICIPES, BENEFICIARIOS U OTROS TITULARES DE DERECHOS REPRESENTATIVOS DE CAPITAL</v>
      </c>
      <c r="Z43" s="64" t="str">
        <f t="shared" si="19"/>
        <v/>
      </c>
      <c r="AA43" s="64" t="str">
        <f t="shared" si="15"/>
        <v>CUENTAS Y DOCUMENTOS POR COBRAR CORRIENTES_OTRAS CUENTAS Y DOCUMENTOS POR COBRAR CORRIENTES_A ACCIONISTAS, SOCIOS, PARTICIPES, BENEFICIARIOS U OTROS TITULARES DE DERECHOS REPRESENTATIVOS DE CAPITAL_</v>
      </c>
    </row>
    <row r="44" spans="1:27">
      <c r="A44" s="53"/>
      <c r="B44" s="53"/>
      <c r="C44" s="53"/>
      <c r="D44" s="53"/>
      <c r="E44" s="53"/>
      <c r="F44" s="53"/>
      <c r="G44" s="235" t="s">
        <v>73</v>
      </c>
      <c r="H44" s="235"/>
      <c r="I44" s="235"/>
      <c r="J44" s="235"/>
      <c r="K44" s="235"/>
      <c r="L44" s="235"/>
      <c r="M44" s="235"/>
      <c r="N44" s="9" t="s">
        <v>84</v>
      </c>
      <c r="O44" s="55" t="e">
        <f>VLOOKUP(N44,Casilleros!$A$4:$Q$830,17,FALSE)</f>
        <v>#REF!</v>
      </c>
      <c r="S44" s="61" t="str">
        <f t="shared" si="16"/>
        <v>318</v>
      </c>
      <c r="T44" s="64" t="str">
        <f t="shared" si="10"/>
        <v>ESTADO DE SITUACIÓN FINANCIERA</v>
      </c>
      <c r="U44" s="64" t="str">
        <f t="shared" si="11"/>
        <v>ACTIVO</v>
      </c>
      <c r="V44" s="64" t="str">
        <f t="shared" si="12"/>
        <v>ACTIVOS CORRIENTES</v>
      </c>
      <c r="W44" s="64" t="str">
        <f t="shared" si="13"/>
        <v>CUENTAS Y DOCUMENTOS POR COBRAR CORRIENTES</v>
      </c>
      <c r="X44" s="64" t="str">
        <f t="shared" si="17"/>
        <v>OTRAS CUENTAS Y DOCUMENTOS POR COBRAR CORRIENTES</v>
      </c>
      <c r="Y44" s="64" t="str">
        <f t="shared" si="18"/>
        <v>A ACCIONISTAS, SOCIOS, PARTICIPES, BENEFICIARIOS U OTROS TITULARES DE DERECHOS REPRESENTATIVOS DE CAPITAL</v>
      </c>
      <c r="Z44" s="64" t="str">
        <f t="shared" si="19"/>
        <v>Locales</v>
      </c>
      <c r="AA44" s="64" t="str">
        <f t="shared" si="15"/>
        <v>CUENTAS Y DOCUMENTOS POR COBRAR CORRIENTES_OTRAS CUENTAS Y DOCUMENTOS POR COBRAR CORRIENTES_A ACCIONISTAS, SOCIOS, PARTICIPES, BENEFICIARIOS U OTROS TITULARES DE DERECHOS REPRESENTATIVOS DE CAPITAL_Locales</v>
      </c>
    </row>
    <row r="45" spans="1:27">
      <c r="A45" s="53"/>
      <c r="B45" s="53"/>
      <c r="C45" s="53"/>
      <c r="D45" s="53"/>
      <c r="E45" s="53"/>
      <c r="F45" s="53"/>
      <c r="G45" s="235" t="s">
        <v>26</v>
      </c>
      <c r="H45" s="235"/>
      <c r="I45" s="235"/>
      <c r="J45" s="235"/>
      <c r="K45" s="235"/>
      <c r="L45" s="235"/>
      <c r="M45" s="235"/>
      <c r="N45" s="9" t="s">
        <v>85</v>
      </c>
      <c r="O45" s="55" t="e">
        <f>VLOOKUP(N45,Casilleros!$A$4:$Q$830,17,FALSE)</f>
        <v>#REF!</v>
      </c>
      <c r="S45" s="61" t="str">
        <f t="shared" si="16"/>
        <v>319</v>
      </c>
      <c r="T45" s="64" t="str">
        <f t="shared" si="10"/>
        <v>ESTADO DE SITUACIÓN FINANCIERA</v>
      </c>
      <c r="U45" s="64" t="str">
        <f t="shared" si="11"/>
        <v>ACTIVO</v>
      </c>
      <c r="V45" s="64" t="str">
        <f t="shared" si="12"/>
        <v>ACTIVOS CORRIENTES</v>
      </c>
      <c r="W45" s="64" t="str">
        <f t="shared" si="13"/>
        <v>CUENTAS Y DOCUMENTOS POR COBRAR CORRIENTES</v>
      </c>
      <c r="X45" s="64" t="str">
        <f t="shared" si="17"/>
        <v>OTRAS CUENTAS Y DOCUMENTOS POR COBRAR CORRIENTES</v>
      </c>
      <c r="Y45" s="64" t="str">
        <f t="shared" si="18"/>
        <v>A ACCIONISTAS, SOCIOS, PARTICIPES, BENEFICIARIOS U OTROS TITULARES DE DERECHOS REPRESENTATIVOS DE CAPITAL</v>
      </c>
      <c r="Z45" s="64" t="str">
        <f t="shared" si="19"/>
        <v>Del exterior</v>
      </c>
      <c r="AA45" s="64" t="str">
        <f t="shared" si="15"/>
        <v>CUENTAS Y DOCUMENTOS POR COBRAR CORRIENTES_OTRAS CUENTAS Y DOCUMENTOS POR COBRAR CORRIENTES_A ACCIONISTAS, SOCIOS, PARTICIPES, BENEFICIARIOS U OTROS TITULARES DE DERECHOS REPRESENTATIVOS DE CAPITAL_Del exterior</v>
      </c>
    </row>
    <row r="46" spans="1:27">
      <c r="A46" s="53"/>
      <c r="B46" s="53"/>
      <c r="C46" s="53"/>
      <c r="D46" s="53"/>
      <c r="E46" s="53"/>
      <c r="F46" s="239" t="s">
        <v>86</v>
      </c>
      <c r="G46" s="239"/>
      <c r="H46" s="239"/>
      <c r="I46" s="239"/>
      <c r="J46" s="239"/>
      <c r="K46" s="239"/>
      <c r="L46" s="239"/>
      <c r="M46" s="239"/>
      <c r="N46" s="239"/>
      <c r="O46" s="239"/>
      <c r="S46" s="61">
        <f t="shared" si="16"/>
        <v>0</v>
      </c>
      <c r="T46" s="64" t="str">
        <f t="shared" si="10"/>
        <v>ESTADO DE SITUACIÓN FINANCIERA</v>
      </c>
      <c r="U46" s="64" t="str">
        <f t="shared" si="11"/>
        <v>ACTIVO</v>
      </c>
      <c r="V46" s="64" t="str">
        <f t="shared" si="12"/>
        <v>ACTIVOS CORRIENTES</v>
      </c>
      <c r="W46" s="64" t="str">
        <f t="shared" si="13"/>
        <v>CUENTAS Y DOCUMENTOS POR COBRAR CORRIENTES</v>
      </c>
      <c r="X46" s="64" t="str">
        <f t="shared" si="17"/>
        <v>OTRAS CUENTAS Y DOCUMENTOS POR COBRAR CORRIENTES</v>
      </c>
      <c r="Y46" s="64" t="str">
        <f t="shared" si="18"/>
        <v>DIVIDENDOS POR COBRAR</v>
      </c>
      <c r="Z46" s="64" t="str">
        <f t="shared" si="19"/>
        <v/>
      </c>
      <c r="AA46" s="64" t="str">
        <f>IF(X46&lt;&gt;"",CONCATENATE(W46,"_",X46,"_",Y46,"_",Z46),W46)</f>
        <v>CUENTAS Y DOCUMENTOS POR COBRAR CORRIENTES_OTRAS CUENTAS Y DOCUMENTOS POR COBRAR CORRIENTES_DIVIDENDOS POR COBRAR_</v>
      </c>
    </row>
    <row r="47" spans="1:27">
      <c r="A47" s="53"/>
      <c r="B47" s="53"/>
      <c r="C47" s="53"/>
      <c r="D47" s="53"/>
      <c r="E47" s="53"/>
      <c r="F47" s="53"/>
      <c r="G47" s="235" t="s">
        <v>87</v>
      </c>
      <c r="H47" s="235"/>
      <c r="I47" s="235"/>
      <c r="J47" s="235"/>
      <c r="K47" s="235"/>
      <c r="L47" s="235"/>
      <c r="M47" s="235"/>
      <c r="N47" s="9" t="s">
        <v>88</v>
      </c>
      <c r="O47" s="55" t="e">
        <f>VLOOKUP(N47,Casilleros!$A$4:$Q$830,17,FALSE)</f>
        <v>#REF!</v>
      </c>
      <c r="S47" s="61" t="str">
        <f t="shared" si="16"/>
        <v>320</v>
      </c>
      <c r="T47" s="64" t="str">
        <f t="shared" si="10"/>
        <v>ESTADO DE SITUACIÓN FINANCIERA</v>
      </c>
      <c r="U47" s="64" t="str">
        <f t="shared" si="11"/>
        <v>ACTIVO</v>
      </c>
      <c r="V47" s="64" t="str">
        <f t="shared" si="12"/>
        <v>ACTIVOS CORRIENTES</v>
      </c>
      <c r="W47" s="64" t="str">
        <f t="shared" si="13"/>
        <v>CUENTAS Y DOCUMENTOS POR COBRAR CORRIENTES</v>
      </c>
      <c r="X47" s="64" t="str">
        <f t="shared" si="17"/>
        <v>OTRAS CUENTAS Y DOCUMENTOS POR COBRAR CORRIENTES</v>
      </c>
      <c r="Y47" s="64" t="str">
        <f t="shared" si="18"/>
        <v>DIVIDENDOS POR COBRAR</v>
      </c>
      <c r="Z47" s="64" t="str">
        <f t="shared" si="19"/>
        <v>En efectivo</v>
      </c>
      <c r="AA47" s="64" t="str">
        <f t="shared" si="15"/>
        <v>CUENTAS Y DOCUMENTOS POR COBRAR CORRIENTES_OTRAS CUENTAS Y DOCUMENTOS POR COBRAR CORRIENTES_DIVIDENDOS POR COBRAR_En efectivo</v>
      </c>
    </row>
    <row r="48" spans="1:27">
      <c r="A48" s="53"/>
      <c r="B48" s="53"/>
      <c r="C48" s="53"/>
      <c r="D48" s="53"/>
      <c r="E48" s="53"/>
      <c r="F48" s="53"/>
      <c r="G48" s="235" t="s">
        <v>89</v>
      </c>
      <c r="H48" s="235"/>
      <c r="I48" s="235"/>
      <c r="J48" s="235"/>
      <c r="K48" s="235"/>
      <c r="L48" s="235"/>
      <c r="M48" s="235"/>
      <c r="N48" s="9" t="s">
        <v>90</v>
      </c>
      <c r="O48" s="55" t="e">
        <f>VLOOKUP(N48,Casilleros!$A$4:$Q$830,17,FALSE)</f>
        <v>#REF!</v>
      </c>
      <c r="S48" s="61" t="str">
        <f t="shared" si="16"/>
        <v>321</v>
      </c>
      <c r="T48" s="64" t="str">
        <f t="shared" si="10"/>
        <v>ESTADO DE SITUACIÓN FINANCIERA</v>
      </c>
      <c r="U48" s="64" t="str">
        <f t="shared" si="11"/>
        <v>ACTIVO</v>
      </c>
      <c r="V48" s="64" t="str">
        <f t="shared" si="12"/>
        <v>ACTIVOS CORRIENTES</v>
      </c>
      <c r="W48" s="64" t="str">
        <f t="shared" si="13"/>
        <v>CUENTAS Y DOCUMENTOS POR COBRAR CORRIENTES</v>
      </c>
      <c r="X48" s="64" t="str">
        <f t="shared" ref="X48:X111" si="20">IF(W47&lt;&gt;W48,"",(IF(E48&lt;&gt;"",E48,X47)))</f>
        <v>OTRAS CUENTAS Y DOCUMENTOS POR COBRAR CORRIENTES</v>
      </c>
      <c r="Y48" s="64" t="str">
        <f t="shared" ref="Y48:Y111" si="21">IF(X47&lt;&gt;X48,"",(IF(F48&lt;&gt;"",F48,Y47)))</f>
        <v>DIVIDENDOS POR COBRAR</v>
      </c>
      <c r="Z48" s="64" t="str">
        <f t="shared" ref="Z48:Z111" si="22">IF(Y47&lt;&gt;Y48,"",(IF(G48&lt;&gt;"",G48,Z47)))</f>
        <v>En activos diferentes del efectivo</v>
      </c>
      <c r="AA48" s="64" t="str">
        <f t="shared" si="15"/>
        <v>CUENTAS Y DOCUMENTOS POR COBRAR CORRIENTES_OTRAS CUENTAS Y DOCUMENTOS POR COBRAR CORRIENTES_DIVIDENDOS POR COBRAR_En activos diferentes del efectivo</v>
      </c>
    </row>
    <row r="49" spans="1:27">
      <c r="A49" s="53"/>
      <c r="B49" s="53"/>
      <c r="C49" s="53"/>
      <c r="D49" s="53"/>
      <c r="E49" s="53"/>
      <c r="F49" s="239" t="s">
        <v>91</v>
      </c>
      <c r="G49" s="239"/>
      <c r="H49" s="239"/>
      <c r="I49" s="239"/>
      <c r="J49" s="239"/>
      <c r="K49" s="239"/>
      <c r="L49" s="239"/>
      <c r="M49" s="239"/>
      <c r="N49" s="239"/>
      <c r="O49" s="239"/>
      <c r="S49" s="61">
        <f t="shared" si="16"/>
        <v>0</v>
      </c>
      <c r="T49" s="64" t="str">
        <f t="shared" si="10"/>
        <v>ESTADO DE SITUACIÓN FINANCIERA</v>
      </c>
      <c r="U49" s="64" t="str">
        <f t="shared" si="11"/>
        <v>ACTIVO</v>
      </c>
      <c r="V49" s="64" t="str">
        <f t="shared" si="12"/>
        <v>ACTIVOS CORRIENTES</v>
      </c>
      <c r="W49" s="64" t="str">
        <f t="shared" si="13"/>
        <v>CUENTAS Y DOCUMENTOS POR COBRAR CORRIENTES</v>
      </c>
      <c r="X49" s="64" t="str">
        <f t="shared" si="20"/>
        <v>OTRAS CUENTAS Y DOCUMENTOS POR COBRAR CORRIENTES</v>
      </c>
      <c r="Y49" s="64" t="str">
        <f t="shared" si="21"/>
        <v>OTRAS RELACIONADAS</v>
      </c>
      <c r="Z49" s="64" t="str">
        <f t="shared" si="22"/>
        <v/>
      </c>
      <c r="AA49" s="64" t="str">
        <f t="shared" si="15"/>
        <v>CUENTAS Y DOCUMENTOS POR COBRAR CORRIENTES_OTRAS CUENTAS Y DOCUMENTOS POR COBRAR CORRIENTES_OTRAS RELACIONADAS_</v>
      </c>
    </row>
    <row r="50" spans="1:27">
      <c r="A50" s="53"/>
      <c r="B50" s="53"/>
      <c r="C50" s="53"/>
      <c r="D50" s="53"/>
      <c r="E50" s="53"/>
      <c r="F50" s="53"/>
      <c r="G50" s="235" t="s">
        <v>73</v>
      </c>
      <c r="H50" s="235"/>
      <c r="I50" s="235"/>
      <c r="J50" s="235"/>
      <c r="K50" s="235"/>
      <c r="L50" s="235"/>
      <c r="M50" s="235"/>
      <c r="N50" s="9" t="s">
        <v>92</v>
      </c>
      <c r="O50" s="55" t="e">
        <f>VLOOKUP(N50,Casilleros!$A$4:$Q$830,17,FALSE)</f>
        <v>#REF!</v>
      </c>
      <c r="S50" s="61" t="str">
        <f t="shared" si="16"/>
        <v>322</v>
      </c>
      <c r="T50" s="64" t="str">
        <f t="shared" si="10"/>
        <v>ESTADO DE SITUACIÓN FINANCIERA</v>
      </c>
      <c r="U50" s="64" t="str">
        <f t="shared" si="11"/>
        <v>ACTIVO</v>
      </c>
      <c r="V50" s="64" t="str">
        <f t="shared" si="12"/>
        <v>ACTIVOS CORRIENTES</v>
      </c>
      <c r="W50" s="64" t="str">
        <f t="shared" si="13"/>
        <v>CUENTAS Y DOCUMENTOS POR COBRAR CORRIENTES</v>
      </c>
      <c r="X50" s="64" t="str">
        <f t="shared" si="20"/>
        <v>OTRAS CUENTAS Y DOCUMENTOS POR COBRAR CORRIENTES</v>
      </c>
      <c r="Y50" s="64" t="str">
        <f t="shared" si="21"/>
        <v>OTRAS RELACIONADAS</v>
      </c>
      <c r="Z50" s="64" t="str">
        <f t="shared" si="22"/>
        <v>Locales</v>
      </c>
      <c r="AA50" s="64" t="str">
        <f t="shared" si="15"/>
        <v>CUENTAS Y DOCUMENTOS POR COBRAR CORRIENTES_OTRAS CUENTAS Y DOCUMENTOS POR COBRAR CORRIENTES_OTRAS RELACIONADAS_Locales</v>
      </c>
    </row>
    <row r="51" spans="1:27">
      <c r="A51" s="53"/>
      <c r="B51" s="53"/>
      <c r="C51" s="53"/>
      <c r="D51" s="53"/>
      <c r="E51" s="53"/>
      <c r="F51" s="53"/>
      <c r="G51" s="235" t="s">
        <v>26</v>
      </c>
      <c r="H51" s="235"/>
      <c r="I51" s="235"/>
      <c r="J51" s="235"/>
      <c r="K51" s="235"/>
      <c r="L51" s="235"/>
      <c r="M51" s="235"/>
      <c r="N51" s="9" t="s">
        <v>93</v>
      </c>
      <c r="O51" s="55" t="e">
        <f>VLOOKUP(N51,Casilleros!$A$4:$Q$830,17,FALSE)</f>
        <v>#REF!</v>
      </c>
      <c r="S51" s="61" t="str">
        <f t="shared" si="16"/>
        <v>323</v>
      </c>
      <c r="T51" s="64" t="str">
        <f t="shared" si="10"/>
        <v>ESTADO DE SITUACIÓN FINANCIERA</v>
      </c>
      <c r="U51" s="64" t="str">
        <f t="shared" si="11"/>
        <v>ACTIVO</v>
      </c>
      <c r="V51" s="64" t="str">
        <f t="shared" si="12"/>
        <v>ACTIVOS CORRIENTES</v>
      </c>
      <c r="W51" s="64" t="str">
        <f t="shared" si="13"/>
        <v>CUENTAS Y DOCUMENTOS POR COBRAR CORRIENTES</v>
      </c>
      <c r="X51" s="64" t="str">
        <f t="shared" si="20"/>
        <v>OTRAS CUENTAS Y DOCUMENTOS POR COBRAR CORRIENTES</v>
      </c>
      <c r="Y51" s="64" t="str">
        <f t="shared" si="21"/>
        <v>OTRAS RELACIONADAS</v>
      </c>
      <c r="Z51" s="64" t="str">
        <f t="shared" si="22"/>
        <v>Del exterior</v>
      </c>
      <c r="AA51" s="64" t="str">
        <f t="shared" si="15"/>
        <v>CUENTAS Y DOCUMENTOS POR COBRAR CORRIENTES_OTRAS CUENTAS Y DOCUMENTOS POR COBRAR CORRIENTES_OTRAS RELACIONADAS_Del exterior</v>
      </c>
    </row>
    <row r="52" spans="1:27">
      <c r="A52" s="53"/>
      <c r="B52" s="53"/>
      <c r="C52" s="53"/>
      <c r="D52" s="53"/>
      <c r="E52" s="53"/>
      <c r="F52" s="53"/>
      <c r="G52" s="235" t="s">
        <v>94</v>
      </c>
      <c r="H52" s="235"/>
      <c r="I52" s="235"/>
      <c r="J52" s="235"/>
      <c r="K52" s="235"/>
      <c r="L52" s="235"/>
      <c r="M52" s="235"/>
      <c r="N52" s="9" t="s">
        <v>95</v>
      </c>
      <c r="O52" s="55" t="e">
        <f>VLOOKUP(N52,Casilleros!$A$4:$Q$830,17,FALSE)</f>
        <v>#REF!</v>
      </c>
      <c r="S52" s="61" t="str">
        <f t="shared" si="16"/>
        <v>324</v>
      </c>
      <c r="T52" s="64" t="str">
        <f t="shared" si="10"/>
        <v>ESTADO DE SITUACIÓN FINANCIERA</v>
      </c>
      <c r="U52" s="64" t="str">
        <f t="shared" si="11"/>
        <v>ACTIVO</v>
      </c>
      <c r="V52" s="64" t="str">
        <f t="shared" si="12"/>
        <v>ACTIVOS CORRIENTES</v>
      </c>
      <c r="W52" s="64" t="str">
        <f t="shared" si="13"/>
        <v>CUENTAS Y DOCUMENTOS POR COBRAR CORRIENTES</v>
      </c>
      <c r="X52" s="64" t="str">
        <f t="shared" si="20"/>
        <v>OTRAS CUENTAS Y DOCUMENTOS POR COBRAR CORRIENTES</v>
      </c>
      <c r="Y52" s="64" t="str">
        <f t="shared" si="21"/>
        <v>OTRAS RELACIONADAS</v>
      </c>
      <c r="Z52" s="64" t="str">
        <f t="shared" si="22"/>
        <v>(-) Deterioro acumulado del valor de otras cuentas y documentos por cobrar por incobrabilidad (provisiones para créditos incobrables)</v>
      </c>
      <c r="AA52" s="64" t="str">
        <f t="shared" si="15"/>
        <v>CUENTAS Y DOCUMENTOS POR COBRAR CORRIENTES_OTRAS CUENTAS Y DOCUMENTOS POR COBRAR CORRIENTES_OTRAS RELACIONADAS_(-) Deterioro acumulado del valor de otras cuentas y documentos por cobrar por incobrabilidad (provisiones para créditos incobrables)</v>
      </c>
    </row>
    <row r="53" spans="1:27">
      <c r="A53" s="53"/>
      <c r="B53" s="53"/>
      <c r="C53" s="53"/>
      <c r="D53" s="53"/>
      <c r="E53" s="53"/>
      <c r="F53" s="239" t="s">
        <v>96</v>
      </c>
      <c r="G53" s="239"/>
      <c r="H53" s="239"/>
      <c r="I53" s="239"/>
      <c r="J53" s="239"/>
      <c r="K53" s="239"/>
      <c r="L53" s="239"/>
      <c r="M53" s="239"/>
      <c r="N53" s="239"/>
      <c r="O53" s="239"/>
      <c r="S53" s="61">
        <f t="shared" si="16"/>
        <v>0</v>
      </c>
      <c r="T53" s="64" t="str">
        <f t="shared" si="10"/>
        <v>ESTADO DE SITUACIÓN FINANCIERA</v>
      </c>
      <c r="U53" s="64" t="str">
        <f t="shared" si="11"/>
        <v>ACTIVO</v>
      </c>
      <c r="V53" s="64" t="str">
        <f t="shared" si="12"/>
        <v>ACTIVOS CORRIENTES</v>
      </c>
      <c r="W53" s="64" t="str">
        <f t="shared" si="13"/>
        <v>CUENTAS Y DOCUMENTOS POR COBRAR CORRIENTES</v>
      </c>
      <c r="X53" s="64" t="str">
        <f t="shared" si="20"/>
        <v>OTRAS CUENTAS Y DOCUMENTOS POR COBRAR CORRIENTES</v>
      </c>
      <c r="Y53" s="64" t="str">
        <f t="shared" si="21"/>
        <v>OTRAS NO RELACIONADAS</v>
      </c>
      <c r="Z53" s="64" t="str">
        <f t="shared" si="22"/>
        <v/>
      </c>
      <c r="AA53" s="64" t="str">
        <f t="shared" si="15"/>
        <v>CUENTAS Y DOCUMENTOS POR COBRAR CORRIENTES_OTRAS CUENTAS Y DOCUMENTOS POR COBRAR CORRIENTES_OTRAS NO RELACIONADAS_</v>
      </c>
    </row>
    <row r="54" spans="1:27">
      <c r="A54" s="53"/>
      <c r="B54" s="53"/>
      <c r="C54" s="53"/>
      <c r="D54" s="53"/>
      <c r="E54" s="53"/>
      <c r="F54" s="53"/>
      <c r="G54" s="235" t="s">
        <v>73</v>
      </c>
      <c r="H54" s="235"/>
      <c r="I54" s="235"/>
      <c r="J54" s="235"/>
      <c r="K54" s="235"/>
      <c r="L54" s="235"/>
      <c r="M54" s="235"/>
      <c r="N54" s="9" t="s">
        <v>97</v>
      </c>
      <c r="O54" s="74" t="e">
        <f>VLOOKUP(N54,Casilleros!$A$4:$Q$830,17,FALSE)</f>
        <v>#REF!</v>
      </c>
      <c r="S54" s="61" t="str">
        <f t="shared" si="16"/>
        <v>325</v>
      </c>
      <c r="T54" s="64" t="str">
        <f t="shared" si="10"/>
        <v>ESTADO DE SITUACIÓN FINANCIERA</v>
      </c>
      <c r="U54" s="64" t="str">
        <f t="shared" si="11"/>
        <v>ACTIVO</v>
      </c>
      <c r="V54" s="64" t="str">
        <f t="shared" si="12"/>
        <v>ACTIVOS CORRIENTES</v>
      </c>
      <c r="W54" s="64" t="str">
        <f t="shared" si="13"/>
        <v>CUENTAS Y DOCUMENTOS POR COBRAR CORRIENTES</v>
      </c>
      <c r="X54" s="64" t="str">
        <f t="shared" si="20"/>
        <v>OTRAS CUENTAS Y DOCUMENTOS POR COBRAR CORRIENTES</v>
      </c>
      <c r="Y54" s="64" t="str">
        <f t="shared" si="21"/>
        <v>OTRAS NO RELACIONADAS</v>
      </c>
      <c r="Z54" s="64" t="str">
        <f t="shared" si="22"/>
        <v>Locales</v>
      </c>
      <c r="AA54" s="64" t="str">
        <f t="shared" si="15"/>
        <v>CUENTAS Y DOCUMENTOS POR COBRAR CORRIENTES_OTRAS CUENTAS Y DOCUMENTOS POR COBRAR CORRIENTES_OTRAS NO RELACIONADAS_Locales</v>
      </c>
    </row>
    <row r="55" spans="1:27">
      <c r="A55" s="53"/>
      <c r="B55" s="53"/>
      <c r="C55" s="53"/>
      <c r="D55" s="53"/>
      <c r="E55" s="53"/>
      <c r="F55" s="53"/>
      <c r="G55" s="235" t="s">
        <v>26</v>
      </c>
      <c r="H55" s="235"/>
      <c r="I55" s="235"/>
      <c r="J55" s="235"/>
      <c r="K55" s="235"/>
      <c r="L55" s="235"/>
      <c r="M55" s="235"/>
      <c r="N55" s="9" t="s">
        <v>98</v>
      </c>
      <c r="O55" s="55" t="e">
        <f>VLOOKUP(N55,Casilleros!$A$4:$Q$830,17,FALSE)</f>
        <v>#REF!</v>
      </c>
      <c r="S55" s="61" t="str">
        <f t="shared" si="16"/>
        <v>326</v>
      </c>
      <c r="T55" s="64" t="str">
        <f t="shared" si="10"/>
        <v>ESTADO DE SITUACIÓN FINANCIERA</v>
      </c>
      <c r="U55" s="64" t="str">
        <f t="shared" si="11"/>
        <v>ACTIVO</v>
      </c>
      <c r="V55" s="64" t="str">
        <f t="shared" si="12"/>
        <v>ACTIVOS CORRIENTES</v>
      </c>
      <c r="W55" s="64" t="str">
        <f t="shared" si="13"/>
        <v>CUENTAS Y DOCUMENTOS POR COBRAR CORRIENTES</v>
      </c>
      <c r="X55" s="64" t="str">
        <f t="shared" si="20"/>
        <v>OTRAS CUENTAS Y DOCUMENTOS POR COBRAR CORRIENTES</v>
      </c>
      <c r="Y55" s="64" t="str">
        <f t="shared" si="21"/>
        <v>OTRAS NO RELACIONADAS</v>
      </c>
      <c r="Z55" s="64" t="str">
        <f t="shared" si="22"/>
        <v>Del exterior</v>
      </c>
      <c r="AA55" s="64" t="str">
        <f t="shared" si="15"/>
        <v>CUENTAS Y DOCUMENTOS POR COBRAR CORRIENTES_OTRAS CUENTAS Y DOCUMENTOS POR COBRAR CORRIENTES_OTRAS NO RELACIONADAS_Del exterior</v>
      </c>
    </row>
    <row r="56" spans="1:27">
      <c r="A56" s="53"/>
      <c r="B56" s="53"/>
      <c r="C56" s="53"/>
      <c r="D56" s="53"/>
      <c r="E56" s="53"/>
      <c r="F56" s="53"/>
      <c r="G56" s="235" t="s">
        <v>94</v>
      </c>
      <c r="H56" s="235"/>
      <c r="I56" s="235"/>
      <c r="J56" s="235"/>
      <c r="K56" s="235"/>
      <c r="L56" s="235"/>
      <c r="M56" s="235"/>
      <c r="N56" s="9" t="s">
        <v>99</v>
      </c>
      <c r="O56" s="55" t="e">
        <f>VLOOKUP(N56,Casilleros!$A$4:$Q$830,17,FALSE)</f>
        <v>#REF!</v>
      </c>
      <c r="S56" s="61" t="str">
        <f t="shared" si="16"/>
        <v>327</v>
      </c>
      <c r="T56" s="64" t="str">
        <f t="shared" si="10"/>
        <v>ESTADO DE SITUACIÓN FINANCIERA</v>
      </c>
      <c r="U56" s="64" t="str">
        <f t="shared" si="11"/>
        <v>ACTIVO</v>
      </c>
      <c r="V56" s="64" t="str">
        <f t="shared" si="12"/>
        <v>ACTIVOS CORRIENTES</v>
      </c>
      <c r="W56" s="64" t="str">
        <f t="shared" si="13"/>
        <v>CUENTAS Y DOCUMENTOS POR COBRAR CORRIENTES</v>
      </c>
      <c r="X56" s="64" t="str">
        <f t="shared" si="20"/>
        <v>OTRAS CUENTAS Y DOCUMENTOS POR COBRAR CORRIENTES</v>
      </c>
      <c r="Y56" s="64" t="str">
        <f t="shared" si="21"/>
        <v>OTRAS NO RELACIONADAS</v>
      </c>
      <c r="Z56" s="64" t="str">
        <f t="shared" si="22"/>
        <v>(-) Deterioro acumulado del valor de otras cuentas y documentos por cobrar por incobrabilidad (provisiones para créditos incobrables)</v>
      </c>
      <c r="AA56" s="64" t="str">
        <f t="shared" si="15"/>
        <v>CUENTAS Y DOCUMENTOS POR COBRAR CORRIENTES_OTRAS CUENTAS Y DOCUMENTOS POR COBRAR CORRIENTES_OTRAS NO RELACIONADAS_(-) Deterioro acumulado del valor de otras cuentas y documentos por cobrar por incobrabilidad (provisiones para créditos incobrables)</v>
      </c>
    </row>
    <row r="57" spans="1:27">
      <c r="A57" s="53"/>
      <c r="B57" s="53"/>
      <c r="C57" s="53"/>
      <c r="D57" s="239" t="s">
        <v>100</v>
      </c>
      <c r="E57" s="239"/>
      <c r="F57" s="239"/>
      <c r="G57" s="239"/>
      <c r="H57" s="239"/>
      <c r="I57" s="239"/>
      <c r="J57" s="239"/>
      <c r="K57" s="239"/>
      <c r="L57" s="239"/>
      <c r="M57" s="239"/>
      <c r="N57" s="239"/>
      <c r="O57" s="239"/>
      <c r="S57" s="61">
        <f t="shared" si="16"/>
        <v>0</v>
      </c>
      <c r="T57" s="64" t="str">
        <f t="shared" si="10"/>
        <v>ESTADO DE SITUACIÓN FINANCIERA</v>
      </c>
      <c r="U57" s="64" t="str">
        <f t="shared" si="11"/>
        <v>ACTIVO</v>
      </c>
      <c r="V57" s="64" t="str">
        <f t="shared" si="12"/>
        <v>ACTIVOS CORRIENTES</v>
      </c>
      <c r="W57" s="64" t="str">
        <f t="shared" si="13"/>
        <v>OTROS ACTIVOS FINANCIEROS CORRIENTES</v>
      </c>
      <c r="X57" s="64" t="str">
        <f t="shared" si="20"/>
        <v/>
      </c>
      <c r="Y57" s="64" t="str">
        <f t="shared" si="21"/>
        <v/>
      </c>
      <c r="Z57" s="64" t="str">
        <f t="shared" si="22"/>
        <v/>
      </c>
      <c r="AA57" s="64" t="str">
        <f t="shared" si="15"/>
        <v>OTROS ACTIVOS FINANCIEROS CORRIENTES</v>
      </c>
    </row>
    <row r="58" spans="1:27">
      <c r="A58" s="53"/>
      <c r="B58" s="53"/>
      <c r="C58" s="53"/>
      <c r="D58" s="53"/>
      <c r="E58" s="242" t="s">
        <v>101</v>
      </c>
      <c r="F58" s="242"/>
      <c r="G58" s="242"/>
      <c r="H58" s="242"/>
      <c r="I58" s="242"/>
      <c r="J58" s="242"/>
      <c r="K58" s="242"/>
      <c r="L58" s="242"/>
      <c r="M58" s="242"/>
      <c r="N58" s="9" t="s">
        <v>102</v>
      </c>
      <c r="O58" s="55" t="e">
        <f>VLOOKUP(N58,Casilleros!$A$4:$Q$830,17,FALSE)</f>
        <v>#REF!</v>
      </c>
      <c r="S58" s="61" t="str">
        <f t="shared" si="16"/>
        <v>328</v>
      </c>
      <c r="T58" s="64" t="str">
        <f t="shared" si="10"/>
        <v>ESTADO DE SITUACIÓN FINANCIERA</v>
      </c>
      <c r="U58" s="64" t="str">
        <f t="shared" si="11"/>
        <v>ACTIVO</v>
      </c>
      <c r="V58" s="64" t="str">
        <f t="shared" si="12"/>
        <v>ACTIVOS CORRIENTES</v>
      </c>
      <c r="W58" s="64" t="str">
        <f t="shared" si="13"/>
        <v>OTROS ACTIVOS FINANCIEROS CORRIENTES</v>
      </c>
      <c r="X58" s="64" t="str">
        <f t="shared" si="20"/>
        <v>A costo amortizado</v>
      </c>
      <c r="Y58" s="64" t="str">
        <f t="shared" si="21"/>
        <v/>
      </c>
      <c r="Z58" s="64" t="str">
        <f t="shared" si="22"/>
        <v/>
      </c>
      <c r="AA58" s="64" t="str">
        <f t="shared" si="15"/>
        <v>OTROS ACTIVOS FINANCIEROS CORRIENTES_A costo amortizado__</v>
      </c>
    </row>
    <row r="59" spans="1:27">
      <c r="A59" s="53"/>
      <c r="B59" s="53"/>
      <c r="C59" s="53"/>
      <c r="D59" s="53"/>
      <c r="E59" s="242" t="s">
        <v>103</v>
      </c>
      <c r="F59" s="242"/>
      <c r="G59" s="242"/>
      <c r="H59" s="242"/>
      <c r="I59" s="242"/>
      <c r="J59" s="242"/>
      <c r="K59" s="242"/>
      <c r="L59" s="242"/>
      <c r="M59" s="242"/>
      <c r="N59" s="9" t="s">
        <v>104</v>
      </c>
      <c r="O59" s="55" t="e">
        <f>VLOOKUP(N59,Casilleros!$A$4:$Q$830,17,FALSE)</f>
        <v>#REF!</v>
      </c>
      <c r="S59" s="61" t="str">
        <f t="shared" si="16"/>
        <v>329</v>
      </c>
      <c r="T59" s="64" t="str">
        <f t="shared" si="10"/>
        <v>ESTADO DE SITUACIÓN FINANCIERA</v>
      </c>
      <c r="U59" s="64" t="str">
        <f t="shared" si="11"/>
        <v>ACTIVO</v>
      </c>
      <c r="V59" s="64" t="str">
        <f t="shared" si="12"/>
        <v>ACTIVOS CORRIENTES</v>
      </c>
      <c r="W59" s="64" t="str">
        <f t="shared" si="13"/>
        <v>OTROS ACTIVOS FINANCIEROS CORRIENTES</v>
      </c>
      <c r="X59" s="64" t="str">
        <f t="shared" si="20"/>
        <v>(-) Deterioro acumulado del valor  de otros activos financieros corrientes medidos a costo amortizado  (provisiones para créditos incobrables)</v>
      </c>
      <c r="Y59" s="64" t="str">
        <f t="shared" si="21"/>
        <v/>
      </c>
      <c r="Z59" s="64" t="str">
        <f t="shared" si="22"/>
        <v/>
      </c>
      <c r="AA59" s="64" t="str">
        <f t="shared" si="15"/>
        <v>OTROS ACTIVOS FINANCIEROS CORRIENTES_(-) Deterioro acumulado del valor  de otros activos financieros corrientes medidos a costo amortizado  (provisiones para créditos incobrables)__</v>
      </c>
    </row>
    <row r="60" spans="1:27">
      <c r="A60" s="53"/>
      <c r="B60" s="53"/>
      <c r="C60" s="53"/>
      <c r="D60" s="53"/>
      <c r="E60" s="242" t="s">
        <v>105</v>
      </c>
      <c r="F60" s="242"/>
      <c r="G60" s="242"/>
      <c r="H60" s="242"/>
      <c r="I60" s="242"/>
      <c r="J60" s="242"/>
      <c r="K60" s="242"/>
      <c r="L60" s="242"/>
      <c r="M60" s="242"/>
      <c r="N60" s="9" t="s">
        <v>106</v>
      </c>
      <c r="O60" s="74" t="e">
        <f>VLOOKUP(N60,Casilleros!$A$4:$Q$830,17,FALSE)</f>
        <v>#REF!</v>
      </c>
      <c r="S60" s="61" t="str">
        <f t="shared" si="16"/>
        <v>330</v>
      </c>
      <c r="T60" s="64" t="str">
        <f t="shared" si="10"/>
        <v>ESTADO DE SITUACIÓN FINANCIERA</v>
      </c>
      <c r="U60" s="64" t="str">
        <f t="shared" ref="U60:U91" si="23">IF(T59&lt;&gt;T60,"",(IF(B60&lt;&gt;"",B60,U59)))</f>
        <v>ACTIVO</v>
      </c>
      <c r="V60" s="64" t="str">
        <f t="shared" ref="V60:V91" si="24">IF(U59&lt;&gt;U60,"",(IF(C60&lt;&gt;"",C60,V59)))</f>
        <v>ACTIVOS CORRIENTES</v>
      </c>
      <c r="W60" s="64" t="str">
        <f t="shared" ref="W60:W91" si="25">IF(V59&lt;&gt;V60,"",(IF(D60&lt;&gt;"",D60,W59)))</f>
        <v>OTROS ACTIVOS FINANCIEROS CORRIENTES</v>
      </c>
      <c r="X60" s="64" t="str">
        <f t="shared" si="20"/>
        <v>A valor razonable</v>
      </c>
      <c r="Y60" s="64" t="str">
        <f t="shared" si="21"/>
        <v/>
      </c>
      <c r="Z60" s="64" t="str">
        <f t="shared" si="22"/>
        <v/>
      </c>
      <c r="AA60" s="64" t="str">
        <f t="shared" si="15"/>
        <v>OTROS ACTIVOS FINANCIEROS CORRIENTES_A valor razonable__</v>
      </c>
    </row>
    <row r="61" spans="1:27">
      <c r="A61" s="53"/>
      <c r="B61" s="53"/>
      <c r="C61" s="53"/>
      <c r="D61" s="239" t="s">
        <v>107</v>
      </c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/>
      <c r="S61" s="61">
        <f t="shared" si="16"/>
        <v>0</v>
      </c>
      <c r="T61" s="64" t="str">
        <f t="shared" si="10"/>
        <v>ESTADO DE SITUACIÓN FINANCIERA</v>
      </c>
      <c r="U61" s="64" t="str">
        <f t="shared" si="23"/>
        <v>ACTIVO</v>
      </c>
      <c r="V61" s="64" t="str">
        <f t="shared" si="24"/>
        <v>ACTIVOS CORRIENTES</v>
      </c>
      <c r="W61" s="64" t="str">
        <f t="shared" si="25"/>
        <v>PORCIÓN CORRIENTE DE ARRENDAMIENTOS FINANCIEROS POR COBRAR</v>
      </c>
      <c r="X61" s="64" t="str">
        <f t="shared" si="20"/>
        <v/>
      </c>
      <c r="Y61" s="64" t="str">
        <f t="shared" si="21"/>
        <v/>
      </c>
      <c r="Z61" s="64" t="str">
        <f t="shared" si="22"/>
        <v/>
      </c>
      <c r="AA61" s="64" t="str">
        <f t="shared" si="15"/>
        <v>PORCIÓN CORRIENTE DE ARRENDAMIENTOS FINANCIEROS POR COBRAR</v>
      </c>
    </row>
    <row r="62" spans="1:27">
      <c r="A62" s="53"/>
      <c r="B62" s="53"/>
      <c r="C62" s="53"/>
      <c r="D62" s="53"/>
      <c r="E62" s="242" t="s">
        <v>108</v>
      </c>
      <c r="F62" s="242"/>
      <c r="G62" s="242"/>
      <c r="H62" s="242"/>
      <c r="I62" s="242"/>
      <c r="J62" s="242"/>
      <c r="K62" s="242"/>
      <c r="L62" s="242"/>
      <c r="M62" s="242"/>
      <c r="N62" s="9" t="s">
        <v>109</v>
      </c>
      <c r="O62" s="55" t="e">
        <f>VLOOKUP(N62,Casilleros!$A$4:$Q$830,17,FALSE)</f>
        <v>#REF!</v>
      </c>
      <c r="S62" s="61" t="str">
        <f t="shared" si="16"/>
        <v>331</v>
      </c>
      <c r="T62" s="64" t="str">
        <f t="shared" si="10"/>
        <v>ESTADO DE SITUACIÓN FINANCIERA</v>
      </c>
      <c r="U62" s="64" t="str">
        <f t="shared" si="23"/>
        <v>ACTIVO</v>
      </c>
      <c r="V62" s="64" t="str">
        <f t="shared" si="24"/>
        <v>ACTIVOS CORRIENTES</v>
      </c>
      <c r="W62" s="64" t="str">
        <f t="shared" si="25"/>
        <v>PORCIÓN CORRIENTE DE ARRENDAMIENTOS FINANCIEROS POR COBRAR</v>
      </c>
      <c r="X62" s="64" t="str">
        <f t="shared" si="20"/>
        <v>Relacionadas</v>
      </c>
      <c r="Y62" s="64" t="str">
        <f t="shared" si="21"/>
        <v/>
      </c>
      <c r="Z62" s="64" t="str">
        <f t="shared" si="22"/>
        <v/>
      </c>
      <c r="AA62" s="64" t="str">
        <f t="shared" si="15"/>
        <v>PORCIÓN CORRIENTE DE ARRENDAMIENTOS FINANCIEROS POR COBRAR_Relacionadas__</v>
      </c>
    </row>
    <row r="63" spans="1:27">
      <c r="A63" s="53"/>
      <c r="B63" s="53"/>
      <c r="C63" s="53"/>
      <c r="D63" s="53"/>
      <c r="E63" s="242" t="s">
        <v>110</v>
      </c>
      <c r="F63" s="242"/>
      <c r="G63" s="242"/>
      <c r="H63" s="242"/>
      <c r="I63" s="242"/>
      <c r="J63" s="242"/>
      <c r="K63" s="242"/>
      <c r="L63" s="242"/>
      <c r="M63" s="242"/>
      <c r="N63" s="9" t="s">
        <v>111</v>
      </c>
      <c r="O63" s="55" t="e">
        <f>VLOOKUP(N63,Casilleros!$A$4:$Q$830,17,FALSE)</f>
        <v>#REF!</v>
      </c>
      <c r="S63" s="61" t="str">
        <f t="shared" si="16"/>
        <v>332</v>
      </c>
      <c r="T63" s="64" t="str">
        <f t="shared" si="10"/>
        <v>ESTADO DE SITUACIÓN FINANCIERA</v>
      </c>
      <c r="U63" s="64" t="str">
        <f t="shared" si="23"/>
        <v>ACTIVO</v>
      </c>
      <c r="V63" s="64" t="str">
        <f t="shared" si="24"/>
        <v>ACTIVOS CORRIENTES</v>
      </c>
      <c r="W63" s="64" t="str">
        <f t="shared" si="25"/>
        <v>PORCIÓN CORRIENTE DE ARRENDAMIENTOS FINANCIEROS POR COBRAR</v>
      </c>
      <c r="X63" s="64" t="str">
        <f t="shared" si="20"/>
        <v>No relacionadas</v>
      </c>
      <c r="Y63" s="64" t="str">
        <f t="shared" si="21"/>
        <v/>
      </c>
      <c r="Z63" s="64" t="str">
        <f t="shared" si="22"/>
        <v/>
      </c>
      <c r="AA63" s="64" t="str">
        <f t="shared" si="15"/>
        <v>PORCIÓN CORRIENTE DE ARRENDAMIENTOS FINANCIEROS POR COBRAR_No relacionadas__</v>
      </c>
    </row>
    <row r="64" spans="1:27">
      <c r="A64" s="53"/>
      <c r="B64" s="53"/>
      <c r="C64" s="53"/>
      <c r="D64" s="239" t="s">
        <v>112</v>
      </c>
      <c r="E64" s="239"/>
      <c r="F64" s="239"/>
      <c r="G64" s="239"/>
      <c r="H64" s="239"/>
      <c r="I64" s="239"/>
      <c r="J64" s="239"/>
      <c r="K64" s="239"/>
      <c r="L64" s="239"/>
      <c r="M64" s="239"/>
      <c r="N64" s="239"/>
      <c r="O64" s="239"/>
      <c r="S64" s="61">
        <f t="shared" si="16"/>
        <v>0</v>
      </c>
      <c r="T64" s="64" t="str">
        <f t="shared" si="10"/>
        <v>ESTADO DE SITUACIÓN FINANCIERA</v>
      </c>
      <c r="U64" s="64" t="str">
        <f t="shared" si="23"/>
        <v>ACTIVO</v>
      </c>
      <c r="V64" s="64" t="str">
        <f t="shared" si="24"/>
        <v>ACTIVOS CORRIENTES</v>
      </c>
      <c r="W64" s="64" t="str">
        <f t="shared" si="25"/>
        <v>IMPORTE BRUTO ADEUDADO POR LOS CLIENTES POR EL TRABAJO EJECUTADO EN CONTRATOS DE CONSTRUCCIÓN</v>
      </c>
      <c r="X64" s="64" t="str">
        <f t="shared" si="20"/>
        <v/>
      </c>
      <c r="Y64" s="64" t="str">
        <f t="shared" si="21"/>
        <v/>
      </c>
      <c r="Z64" s="64" t="str">
        <f t="shared" si="22"/>
        <v/>
      </c>
      <c r="AA64" s="64" t="str">
        <f t="shared" si="15"/>
        <v>IMPORTE BRUTO ADEUDADO POR LOS CLIENTES POR EL TRABAJO EJECUTADO EN CONTRATOS DE CONSTRUCCIÓN</v>
      </c>
    </row>
    <row r="65" spans="1:27">
      <c r="A65" s="53"/>
      <c r="B65" s="53"/>
      <c r="C65" s="53"/>
      <c r="D65" s="53"/>
      <c r="E65" s="242" t="s">
        <v>108</v>
      </c>
      <c r="F65" s="242"/>
      <c r="G65" s="242"/>
      <c r="H65" s="242"/>
      <c r="I65" s="242"/>
      <c r="J65" s="242"/>
      <c r="K65" s="242"/>
      <c r="L65" s="242"/>
      <c r="M65" s="242"/>
      <c r="N65" s="9" t="s">
        <v>113</v>
      </c>
      <c r="O65" s="55" t="e">
        <f>VLOOKUP(N65,Casilleros!$A$4:$Q$830,17,FALSE)</f>
        <v>#REF!</v>
      </c>
      <c r="S65" s="61" t="str">
        <f t="shared" si="16"/>
        <v>333</v>
      </c>
      <c r="T65" s="64" t="str">
        <f t="shared" si="10"/>
        <v>ESTADO DE SITUACIÓN FINANCIERA</v>
      </c>
      <c r="U65" s="64" t="str">
        <f t="shared" si="23"/>
        <v>ACTIVO</v>
      </c>
      <c r="V65" s="64" t="str">
        <f t="shared" si="24"/>
        <v>ACTIVOS CORRIENTES</v>
      </c>
      <c r="W65" s="64" t="str">
        <f t="shared" si="25"/>
        <v>IMPORTE BRUTO ADEUDADO POR LOS CLIENTES POR EL TRABAJO EJECUTADO EN CONTRATOS DE CONSTRUCCIÓN</v>
      </c>
      <c r="X65" s="64" t="str">
        <f t="shared" si="20"/>
        <v>Relacionadas</v>
      </c>
      <c r="Y65" s="64" t="str">
        <f t="shared" si="21"/>
        <v/>
      </c>
      <c r="Z65" s="64" t="str">
        <f t="shared" si="22"/>
        <v/>
      </c>
      <c r="AA65" s="64" t="str">
        <f t="shared" si="15"/>
        <v>IMPORTE BRUTO ADEUDADO POR LOS CLIENTES POR EL TRABAJO EJECUTADO EN CONTRATOS DE CONSTRUCCIÓN_Relacionadas__</v>
      </c>
    </row>
    <row r="66" spans="1:27">
      <c r="A66" s="53"/>
      <c r="B66" s="53"/>
      <c r="C66" s="53"/>
      <c r="D66" s="53"/>
      <c r="E66" s="242" t="s">
        <v>110</v>
      </c>
      <c r="F66" s="242"/>
      <c r="G66" s="242"/>
      <c r="H66" s="242"/>
      <c r="I66" s="242"/>
      <c r="J66" s="242"/>
      <c r="K66" s="242"/>
      <c r="L66" s="242"/>
      <c r="M66" s="242"/>
      <c r="N66" s="9" t="s">
        <v>114</v>
      </c>
      <c r="O66" s="55" t="e">
        <f>VLOOKUP(N66,Casilleros!$A$4:$Q$830,17,FALSE)</f>
        <v>#REF!</v>
      </c>
      <c r="S66" s="61" t="str">
        <f t="shared" si="16"/>
        <v>334</v>
      </c>
      <c r="T66" s="64" t="str">
        <f t="shared" si="10"/>
        <v>ESTADO DE SITUACIÓN FINANCIERA</v>
      </c>
      <c r="U66" s="64" t="str">
        <f t="shared" si="23"/>
        <v>ACTIVO</v>
      </c>
      <c r="V66" s="64" t="str">
        <f t="shared" si="24"/>
        <v>ACTIVOS CORRIENTES</v>
      </c>
      <c r="W66" s="64" t="str">
        <f t="shared" si="25"/>
        <v>IMPORTE BRUTO ADEUDADO POR LOS CLIENTES POR EL TRABAJO EJECUTADO EN CONTRATOS DE CONSTRUCCIÓN</v>
      </c>
      <c r="X66" s="64" t="str">
        <f t="shared" si="20"/>
        <v>No relacionadas</v>
      </c>
      <c r="Y66" s="64" t="str">
        <f t="shared" si="21"/>
        <v/>
      </c>
      <c r="Z66" s="64" t="str">
        <f t="shared" si="22"/>
        <v/>
      </c>
      <c r="AA66" s="64" t="str">
        <f t="shared" si="15"/>
        <v>IMPORTE BRUTO ADEUDADO POR LOS CLIENTES POR EL TRABAJO EJECUTADO EN CONTRATOS DE CONSTRUCCIÓN_No relacionadas__</v>
      </c>
    </row>
    <row r="67" spans="1:27">
      <c r="A67" s="53"/>
      <c r="B67" s="53"/>
      <c r="C67" s="53"/>
      <c r="D67" s="239" t="s">
        <v>115</v>
      </c>
      <c r="E67" s="239"/>
      <c r="F67" s="239"/>
      <c r="G67" s="239"/>
      <c r="H67" s="239"/>
      <c r="I67" s="239"/>
      <c r="J67" s="239"/>
      <c r="K67" s="239"/>
      <c r="L67" s="239"/>
      <c r="M67" s="239"/>
      <c r="N67" s="239"/>
      <c r="O67" s="239"/>
      <c r="S67" s="61">
        <f t="shared" si="16"/>
        <v>0</v>
      </c>
      <c r="T67" s="64" t="str">
        <f t="shared" si="10"/>
        <v>ESTADO DE SITUACIÓN FINANCIERA</v>
      </c>
      <c r="U67" s="64" t="str">
        <f t="shared" si="23"/>
        <v>ACTIVO</v>
      </c>
      <c r="V67" s="64" t="str">
        <f t="shared" si="24"/>
        <v>ACTIVOS CORRIENTES</v>
      </c>
      <c r="W67" s="64" t="str">
        <f t="shared" si="25"/>
        <v>ACTIVOS POR IMPUESTOS CORRIENTES</v>
      </c>
      <c r="X67" s="64" t="str">
        <f t="shared" si="20"/>
        <v/>
      </c>
      <c r="Y67" s="64" t="str">
        <f t="shared" si="21"/>
        <v/>
      </c>
      <c r="Z67" s="64" t="str">
        <f t="shared" si="22"/>
        <v/>
      </c>
      <c r="AA67" s="64" t="str">
        <f t="shared" si="15"/>
        <v>ACTIVOS POR IMPUESTOS CORRIENTES</v>
      </c>
    </row>
    <row r="68" spans="1:27">
      <c r="A68" s="53"/>
      <c r="B68" s="53"/>
      <c r="C68" s="53"/>
      <c r="D68" s="53"/>
      <c r="E68" s="242" t="s">
        <v>116</v>
      </c>
      <c r="F68" s="242"/>
      <c r="G68" s="242"/>
      <c r="H68" s="242"/>
      <c r="I68" s="242"/>
      <c r="J68" s="242"/>
      <c r="K68" s="242"/>
      <c r="L68" s="242"/>
      <c r="M68" s="242"/>
      <c r="N68" s="9" t="s">
        <v>117</v>
      </c>
      <c r="O68" s="55" t="e">
        <f>VLOOKUP(N68,Casilleros!$A$4:$Q$830,17,FALSE)</f>
        <v>#REF!</v>
      </c>
      <c r="S68" s="61" t="str">
        <f t="shared" si="16"/>
        <v>335</v>
      </c>
      <c r="T68" s="64" t="str">
        <f t="shared" si="10"/>
        <v>ESTADO DE SITUACIÓN FINANCIERA</v>
      </c>
      <c r="U68" s="64" t="str">
        <f t="shared" si="23"/>
        <v>ACTIVO</v>
      </c>
      <c r="V68" s="64" t="str">
        <f t="shared" si="24"/>
        <v>ACTIVOS CORRIENTES</v>
      </c>
      <c r="W68" s="64" t="str">
        <f t="shared" si="25"/>
        <v>ACTIVOS POR IMPUESTOS CORRIENTES</v>
      </c>
      <c r="X68" s="64" t="str">
        <f t="shared" si="20"/>
        <v>Crédito tributario a favor del sujeto pasivo (ISD)</v>
      </c>
      <c r="Y68" s="64" t="str">
        <f t="shared" si="21"/>
        <v/>
      </c>
      <c r="Z68" s="64" t="str">
        <f t="shared" si="22"/>
        <v/>
      </c>
      <c r="AA68" s="64" t="str">
        <f t="shared" si="15"/>
        <v>ACTIVOS POR IMPUESTOS CORRIENTES_Crédito tributario a favor del sujeto pasivo (ISD)__</v>
      </c>
    </row>
    <row r="69" spans="1:27">
      <c r="A69" s="53"/>
      <c r="B69" s="53"/>
      <c r="C69" s="53"/>
      <c r="D69" s="53"/>
      <c r="E69" s="242" t="s">
        <v>118</v>
      </c>
      <c r="F69" s="242"/>
      <c r="G69" s="242"/>
      <c r="H69" s="242"/>
      <c r="I69" s="242"/>
      <c r="J69" s="242"/>
      <c r="K69" s="242"/>
      <c r="L69" s="242"/>
      <c r="M69" s="242"/>
      <c r="N69" s="9" t="s">
        <v>119</v>
      </c>
      <c r="O69" s="74" t="e">
        <f>VLOOKUP(N69,Casilleros!$A$4:$Q$830,17,FALSE)</f>
        <v>#REF!</v>
      </c>
      <c r="S69" s="61" t="str">
        <f t="shared" si="16"/>
        <v>336</v>
      </c>
      <c r="T69" s="64" t="str">
        <f t="shared" si="10"/>
        <v>ESTADO DE SITUACIÓN FINANCIERA</v>
      </c>
      <c r="U69" s="64" t="str">
        <f t="shared" si="23"/>
        <v>ACTIVO</v>
      </c>
      <c r="V69" s="64" t="str">
        <f t="shared" si="24"/>
        <v>ACTIVOS CORRIENTES</v>
      </c>
      <c r="W69" s="64" t="str">
        <f t="shared" si="25"/>
        <v>ACTIVOS POR IMPUESTOS CORRIENTES</v>
      </c>
      <c r="X69" s="64" t="str">
        <f t="shared" si="20"/>
        <v>Crédito tributario a favor del sujeto pasivo (IVA)</v>
      </c>
      <c r="Y69" s="64" t="str">
        <f t="shared" si="21"/>
        <v/>
      </c>
      <c r="Z69" s="64" t="str">
        <f t="shared" si="22"/>
        <v/>
      </c>
      <c r="AA69" s="64" t="str">
        <f t="shared" si="15"/>
        <v>ACTIVOS POR IMPUESTOS CORRIENTES_Crédito tributario a favor del sujeto pasivo (IVA)__</v>
      </c>
    </row>
    <row r="70" spans="1:27">
      <c r="A70" s="53"/>
      <c r="B70" s="53"/>
      <c r="C70" s="53"/>
      <c r="D70" s="53"/>
      <c r="E70" s="242" t="s">
        <v>120</v>
      </c>
      <c r="F70" s="242"/>
      <c r="G70" s="242"/>
      <c r="H70" s="242"/>
      <c r="I70" s="242"/>
      <c r="J70" s="242"/>
      <c r="K70" s="242"/>
      <c r="L70" s="242"/>
      <c r="M70" s="242"/>
      <c r="N70" s="9" t="s">
        <v>121</v>
      </c>
      <c r="O70" s="55" t="e">
        <f>VLOOKUP(N70,Casilleros!$A$4:$Q$830,17,FALSE)</f>
        <v>#REF!</v>
      </c>
      <c r="S70" s="61" t="str">
        <f t="shared" si="16"/>
        <v>337</v>
      </c>
      <c r="T70" s="64" t="str">
        <f t="shared" si="10"/>
        <v>ESTADO DE SITUACIÓN FINANCIERA</v>
      </c>
      <c r="U70" s="64" t="str">
        <f t="shared" si="23"/>
        <v>ACTIVO</v>
      </c>
      <c r="V70" s="64" t="str">
        <f t="shared" si="24"/>
        <v>ACTIVOS CORRIENTES</v>
      </c>
      <c r="W70" s="64" t="str">
        <f t="shared" si="25"/>
        <v>ACTIVOS POR IMPUESTOS CORRIENTES</v>
      </c>
      <c r="X70" s="64" t="str">
        <f t="shared" si="20"/>
        <v xml:space="preserve">Crédito tributario a favor del sujeto pasivo (Impuesto a la Renta) </v>
      </c>
      <c r="Y70" s="64" t="str">
        <f t="shared" si="21"/>
        <v/>
      </c>
      <c r="Z70" s="64" t="str">
        <f t="shared" si="22"/>
        <v/>
      </c>
      <c r="AA70" s="64" t="str">
        <f t="shared" si="15"/>
        <v>ACTIVOS POR IMPUESTOS CORRIENTES_Crédito tributario a favor del sujeto pasivo (Impuesto a la Renta) __</v>
      </c>
    </row>
    <row r="71" spans="1:27">
      <c r="A71" s="53"/>
      <c r="B71" s="53"/>
      <c r="C71" s="53"/>
      <c r="D71" s="53"/>
      <c r="E71" s="242" t="s">
        <v>122</v>
      </c>
      <c r="F71" s="242"/>
      <c r="G71" s="242"/>
      <c r="H71" s="242"/>
      <c r="I71" s="242"/>
      <c r="J71" s="242"/>
      <c r="K71" s="242"/>
      <c r="L71" s="242"/>
      <c r="M71" s="242"/>
      <c r="N71" s="9" t="s">
        <v>123</v>
      </c>
      <c r="O71" s="55" t="e">
        <f>VLOOKUP(N71,Casilleros!$A$4:$Q$830,17,FALSE)</f>
        <v>#REF!</v>
      </c>
      <c r="S71" s="61" t="str">
        <f t="shared" si="16"/>
        <v>338</v>
      </c>
      <c r="T71" s="64" t="str">
        <f t="shared" si="10"/>
        <v>ESTADO DE SITUACIÓN FINANCIERA</v>
      </c>
      <c r="U71" s="64" t="str">
        <f t="shared" si="23"/>
        <v>ACTIVO</v>
      </c>
      <c r="V71" s="64" t="str">
        <f t="shared" si="24"/>
        <v>ACTIVOS CORRIENTES</v>
      </c>
      <c r="W71" s="64" t="str">
        <f t="shared" si="25"/>
        <v>ACTIVOS POR IMPUESTOS CORRIENTES</v>
      </c>
      <c r="X71" s="64" t="str">
        <f t="shared" si="20"/>
        <v>Otros</v>
      </c>
      <c r="Y71" s="64" t="str">
        <f t="shared" si="21"/>
        <v/>
      </c>
      <c r="Z71" s="64" t="str">
        <f t="shared" si="22"/>
        <v/>
      </c>
      <c r="AA71" s="64" t="str">
        <f t="shared" si="15"/>
        <v>ACTIVOS POR IMPUESTOS CORRIENTES_Otros__</v>
      </c>
    </row>
    <row r="72" spans="1:27">
      <c r="A72" s="53"/>
      <c r="B72" s="53"/>
      <c r="C72" s="53"/>
      <c r="D72" s="239" t="s">
        <v>124</v>
      </c>
      <c r="E72" s="239"/>
      <c r="F72" s="239"/>
      <c r="G72" s="239"/>
      <c r="H72" s="239"/>
      <c r="I72" s="239"/>
      <c r="J72" s="239"/>
      <c r="K72" s="239"/>
      <c r="L72" s="239"/>
      <c r="M72" s="239"/>
      <c r="N72" s="239"/>
      <c r="O72" s="239"/>
      <c r="S72" s="61">
        <f t="shared" si="16"/>
        <v>0</v>
      </c>
      <c r="T72" s="64" t="str">
        <f t="shared" si="10"/>
        <v>ESTADO DE SITUACIÓN FINANCIERA</v>
      </c>
      <c r="U72" s="64" t="str">
        <f t="shared" si="23"/>
        <v>ACTIVO</v>
      </c>
      <c r="V72" s="64" t="str">
        <f t="shared" si="24"/>
        <v>ACTIVOS CORRIENTES</v>
      </c>
      <c r="W72" s="64" t="str">
        <f t="shared" si="25"/>
        <v>INVENTARIOS</v>
      </c>
      <c r="X72" s="64" t="str">
        <f t="shared" si="20"/>
        <v/>
      </c>
      <c r="Y72" s="64" t="str">
        <f t="shared" si="21"/>
        <v/>
      </c>
      <c r="Z72" s="64" t="str">
        <f t="shared" si="22"/>
        <v/>
      </c>
      <c r="AA72" s="64" t="str">
        <f t="shared" si="15"/>
        <v>INVENTARIOS</v>
      </c>
    </row>
    <row r="73" spans="1:27">
      <c r="A73" s="53"/>
      <c r="B73" s="53"/>
      <c r="C73" s="53"/>
      <c r="D73" s="53"/>
      <c r="E73" s="235" t="s">
        <v>125</v>
      </c>
      <c r="F73" s="235"/>
      <c r="G73" s="235"/>
      <c r="H73" s="235"/>
      <c r="I73" s="235"/>
      <c r="J73" s="235"/>
      <c r="K73" s="235"/>
      <c r="L73" s="235"/>
      <c r="M73" s="235"/>
      <c r="N73" s="9" t="s">
        <v>126</v>
      </c>
      <c r="O73" s="55" t="e">
        <f>VLOOKUP(N73,Casilleros!$A$4:$Q$830,17,FALSE)</f>
        <v>#REF!</v>
      </c>
      <c r="S73" s="61" t="str">
        <f t="shared" si="16"/>
        <v>339</v>
      </c>
      <c r="T73" s="64" t="str">
        <f t="shared" si="10"/>
        <v>ESTADO DE SITUACIÓN FINANCIERA</v>
      </c>
      <c r="U73" s="64" t="str">
        <f t="shared" si="23"/>
        <v>ACTIVO</v>
      </c>
      <c r="V73" s="64" t="str">
        <f t="shared" si="24"/>
        <v>ACTIVOS CORRIENTES</v>
      </c>
      <c r="W73" s="64" t="str">
        <f t="shared" si="25"/>
        <v>INVENTARIOS</v>
      </c>
      <c r="X73" s="64" t="str">
        <f t="shared" si="20"/>
        <v>Mercaderías en tránsito</v>
      </c>
      <c r="Y73" s="64" t="str">
        <f t="shared" si="21"/>
        <v/>
      </c>
      <c r="Z73" s="64" t="str">
        <f t="shared" si="22"/>
        <v/>
      </c>
      <c r="AA73" s="64" t="str">
        <f t="shared" si="15"/>
        <v>INVENTARIOS_Mercaderías en tránsito__</v>
      </c>
    </row>
    <row r="74" spans="1:27">
      <c r="A74" s="53"/>
      <c r="B74" s="53"/>
      <c r="C74" s="53"/>
      <c r="D74" s="53"/>
      <c r="E74" s="235" t="s">
        <v>127</v>
      </c>
      <c r="F74" s="235"/>
      <c r="G74" s="235"/>
      <c r="H74" s="235"/>
      <c r="I74" s="235"/>
      <c r="J74" s="235"/>
      <c r="K74" s="235"/>
      <c r="L74" s="235"/>
      <c r="M74" s="235"/>
      <c r="N74" s="9" t="s">
        <v>128</v>
      </c>
      <c r="O74" s="55" t="e">
        <f>VLOOKUP(N74,Casilleros!$A$4:$Q$830,17,FALSE)</f>
        <v>#REF!</v>
      </c>
      <c r="S74" s="61" t="str">
        <f t="shared" si="16"/>
        <v>340</v>
      </c>
      <c r="T74" s="64" t="str">
        <f t="shared" si="10"/>
        <v>ESTADO DE SITUACIÓN FINANCIERA</v>
      </c>
      <c r="U74" s="64" t="str">
        <f t="shared" si="23"/>
        <v>ACTIVO</v>
      </c>
      <c r="V74" s="64" t="str">
        <f t="shared" si="24"/>
        <v>ACTIVOS CORRIENTES</v>
      </c>
      <c r="W74" s="64" t="str">
        <f t="shared" si="25"/>
        <v>INVENTARIOS</v>
      </c>
      <c r="X74" s="64" t="str">
        <f t="shared" si="20"/>
        <v>Inventario de materia prima (no para la construcción)</v>
      </c>
      <c r="Y74" s="64" t="str">
        <f t="shared" si="21"/>
        <v/>
      </c>
      <c r="Z74" s="64" t="str">
        <f t="shared" si="22"/>
        <v/>
      </c>
      <c r="AA74" s="64" t="str">
        <f t="shared" si="15"/>
        <v>INVENTARIOS_Inventario de materia prima (no para la construcción)__</v>
      </c>
    </row>
    <row r="75" spans="1:27">
      <c r="A75" s="53"/>
      <c r="B75" s="53"/>
      <c r="C75" s="53"/>
      <c r="D75" s="53"/>
      <c r="E75" s="235" t="s">
        <v>129</v>
      </c>
      <c r="F75" s="235"/>
      <c r="G75" s="235"/>
      <c r="H75" s="235"/>
      <c r="I75" s="235"/>
      <c r="J75" s="235"/>
      <c r="K75" s="235"/>
      <c r="L75" s="235"/>
      <c r="M75" s="235"/>
      <c r="N75" s="9" t="s">
        <v>130</v>
      </c>
      <c r="O75" s="55" t="e">
        <f>VLOOKUP(N75,Casilleros!$A$4:$Q$830,17,FALSE)</f>
        <v>#REF!</v>
      </c>
      <c r="S75" s="61" t="str">
        <f t="shared" si="16"/>
        <v>341</v>
      </c>
      <c r="T75" s="64" t="str">
        <f t="shared" si="10"/>
        <v>ESTADO DE SITUACIÓN FINANCIERA</v>
      </c>
      <c r="U75" s="64" t="str">
        <f t="shared" si="23"/>
        <v>ACTIVO</v>
      </c>
      <c r="V75" s="64" t="str">
        <f t="shared" si="24"/>
        <v>ACTIVOS CORRIENTES</v>
      </c>
      <c r="W75" s="64" t="str">
        <f t="shared" si="25"/>
        <v>INVENTARIOS</v>
      </c>
      <c r="X75" s="64" t="str">
        <f t="shared" si="20"/>
        <v>Inventario de productos en proceso (excluyendo obras/inmuebles en construcción para la venta)</v>
      </c>
      <c r="Y75" s="64" t="str">
        <f t="shared" si="21"/>
        <v/>
      </c>
      <c r="Z75" s="64" t="str">
        <f t="shared" si="22"/>
        <v/>
      </c>
      <c r="AA75" s="64" t="str">
        <f t="shared" si="15"/>
        <v>INVENTARIOS_Inventario de productos en proceso (excluyendo obras/inmuebles en construcción para la venta)__</v>
      </c>
    </row>
    <row r="76" spans="1:27">
      <c r="A76" s="53"/>
      <c r="B76" s="53"/>
      <c r="C76" s="53"/>
      <c r="D76" s="53"/>
      <c r="E76" s="235" t="s">
        <v>131</v>
      </c>
      <c r="F76" s="235"/>
      <c r="G76" s="235"/>
      <c r="H76" s="235"/>
      <c r="I76" s="235"/>
      <c r="J76" s="235"/>
      <c r="K76" s="235"/>
      <c r="L76" s="235"/>
      <c r="M76" s="235"/>
      <c r="N76" s="9" t="s">
        <v>132</v>
      </c>
      <c r="O76" s="55" t="e">
        <f>VLOOKUP(N76,Casilleros!$A$4:$Q$830,17,FALSE)</f>
        <v>#REF!</v>
      </c>
      <c r="S76" s="61" t="str">
        <f t="shared" si="16"/>
        <v>342</v>
      </c>
      <c r="T76" s="64" t="str">
        <f t="shared" si="10"/>
        <v>ESTADO DE SITUACIÓN FINANCIERA</v>
      </c>
      <c r="U76" s="64" t="str">
        <f t="shared" si="23"/>
        <v>ACTIVO</v>
      </c>
      <c r="V76" s="64" t="str">
        <f t="shared" si="24"/>
        <v>ACTIVOS CORRIENTES</v>
      </c>
      <c r="W76" s="64" t="str">
        <f t="shared" si="25"/>
        <v>INVENTARIOS</v>
      </c>
      <c r="X76" s="64" t="str">
        <f t="shared" si="20"/>
        <v>Inventario de prod. term. y mercad. en almacén (excluyendo obras/inmuebles  terminados para la venta)</v>
      </c>
      <c r="Y76" s="64" t="str">
        <f t="shared" si="21"/>
        <v/>
      </c>
      <c r="Z76" s="64" t="str">
        <f t="shared" si="22"/>
        <v/>
      </c>
      <c r="AA76" s="64" t="str">
        <f t="shared" si="15"/>
        <v>INVENTARIOS_Inventario de prod. term. y mercad. en almacén (excluyendo obras/inmuebles  terminados para la venta)__</v>
      </c>
    </row>
    <row r="77" spans="1:27">
      <c r="A77" s="53"/>
      <c r="B77" s="53"/>
      <c r="C77" s="53"/>
      <c r="D77" s="53"/>
      <c r="E77" s="235" t="s">
        <v>133</v>
      </c>
      <c r="F77" s="235"/>
      <c r="G77" s="235"/>
      <c r="H77" s="235"/>
      <c r="I77" s="235"/>
      <c r="J77" s="235"/>
      <c r="K77" s="235"/>
      <c r="L77" s="235"/>
      <c r="M77" s="235"/>
      <c r="N77" s="9" t="s">
        <v>134</v>
      </c>
      <c r="O77" s="55" t="e">
        <f>VLOOKUP(N77,Casilleros!$A$4:$Q$830,17,FALSE)</f>
        <v>#REF!</v>
      </c>
      <c r="S77" s="61" t="str">
        <f t="shared" si="16"/>
        <v>343</v>
      </c>
      <c r="T77" s="64" t="str">
        <f t="shared" si="10"/>
        <v>ESTADO DE SITUACIÓN FINANCIERA</v>
      </c>
      <c r="U77" s="64" t="str">
        <f t="shared" si="23"/>
        <v>ACTIVO</v>
      </c>
      <c r="V77" s="64" t="str">
        <f t="shared" si="24"/>
        <v>ACTIVOS CORRIENTES</v>
      </c>
      <c r="W77" s="64" t="str">
        <f t="shared" si="25"/>
        <v>INVENTARIOS</v>
      </c>
      <c r="X77" s="64" t="str">
        <f t="shared" si="20"/>
        <v>Inventario de suministros, herramientas, repuestos y materiales (no para la construcción)</v>
      </c>
      <c r="Y77" s="64" t="str">
        <f t="shared" si="21"/>
        <v/>
      </c>
      <c r="Z77" s="64" t="str">
        <f t="shared" si="22"/>
        <v/>
      </c>
      <c r="AA77" s="64" t="str">
        <f t="shared" si="15"/>
        <v>INVENTARIOS_Inventario de suministros, herramientas, repuestos y materiales (no para la construcción)__</v>
      </c>
    </row>
    <row r="78" spans="1:27">
      <c r="A78" s="53"/>
      <c r="B78" s="53"/>
      <c r="C78" s="53"/>
      <c r="D78" s="53"/>
      <c r="E78" s="235" t="s">
        <v>135</v>
      </c>
      <c r="F78" s="235"/>
      <c r="G78" s="235"/>
      <c r="H78" s="235"/>
      <c r="I78" s="235"/>
      <c r="J78" s="235"/>
      <c r="K78" s="235"/>
      <c r="L78" s="235"/>
      <c r="M78" s="235"/>
      <c r="N78" s="9" t="s">
        <v>136</v>
      </c>
      <c r="O78" s="55" t="e">
        <f>VLOOKUP(N78,Casilleros!$A$4:$Q$830,17,FALSE)</f>
        <v>#REF!</v>
      </c>
      <c r="S78" s="61" t="str">
        <f t="shared" si="16"/>
        <v>344</v>
      </c>
      <c r="T78" s="64" t="str">
        <f t="shared" si="10"/>
        <v>ESTADO DE SITUACIÓN FINANCIERA</v>
      </c>
      <c r="U78" s="64" t="str">
        <f t="shared" si="23"/>
        <v>ACTIVO</v>
      </c>
      <c r="V78" s="64" t="str">
        <f t="shared" si="24"/>
        <v>ACTIVOS CORRIENTES</v>
      </c>
      <c r="W78" s="64" t="str">
        <f t="shared" si="25"/>
        <v>INVENTARIOS</v>
      </c>
      <c r="X78" s="64" t="str">
        <f t="shared" si="20"/>
        <v>Inventario de materia prima, suministros y materiales para la construcción</v>
      </c>
      <c r="Y78" s="64" t="str">
        <f t="shared" si="21"/>
        <v/>
      </c>
      <c r="Z78" s="64" t="str">
        <f t="shared" si="22"/>
        <v/>
      </c>
      <c r="AA78" s="64" t="str">
        <f t="shared" si="15"/>
        <v>INVENTARIOS_Inventario de materia prima, suministros y materiales para la construcción__</v>
      </c>
    </row>
    <row r="79" spans="1:27">
      <c r="A79" s="53"/>
      <c r="B79" s="53"/>
      <c r="C79" s="53"/>
      <c r="D79" s="53"/>
      <c r="E79" s="235" t="s">
        <v>137</v>
      </c>
      <c r="F79" s="235"/>
      <c r="G79" s="235"/>
      <c r="H79" s="235"/>
      <c r="I79" s="235"/>
      <c r="J79" s="235"/>
      <c r="K79" s="235"/>
      <c r="L79" s="235"/>
      <c r="M79" s="235"/>
      <c r="N79" s="9" t="s">
        <v>138</v>
      </c>
      <c r="O79" s="55" t="e">
        <f>VLOOKUP(N79,Casilleros!$A$4:$Q$830,17,FALSE)</f>
        <v>#REF!</v>
      </c>
      <c r="S79" s="61" t="str">
        <f t="shared" si="16"/>
        <v>345</v>
      </c>
      <c r="T79" s="64" t="str">
        <f t="shared" si="10"/>
        <v>ESTADO DE SITUACIÓN FINANCIERA</v>
      </c>
      <c r="U79" s="64" t="str">
        <f t="shared" si="23"/>
        <v>ACTIVO</v>
      </c>
      <c r="V79" s="64" t="str">
        <f t="shared" si="24"/>
        <v>ACTIVOS CORRIENTES</v>
      </c>
      <c r="W79" s="64" t="str">
        <f t="shared" si="25"/>
        <v>INVENTARIOS</v>
      </c>
      <c r="X79" s="64" t="str">
        <f t="shared" si="20"/>
        <v>Inventario de obras/inmuebles en construcción para la venta</v>
      </c>
      <c r="Y79" s="64" t="str">
        <f t="shared" si="21"/>
        <v/>
      </c>
      <c r="Z79" s="64" t="str">
        <f t="shared" si="22"/>
        <v/>
      </c>
      <c r="AA79" s="64" t="str">
        <f t="shared" si="15"/>
        <v>INVENTARIOS_Inventario de obras/inmuebles en construcción para la venta__</v>
      </c>
    </row>
    <row r="80" spans="1:27">
      <c r="A80" s="53"/>
      <c r="B80" s="53"/>
      <c r="C80" s="53"/>
      <c r="D80" s="53"/>
      <c r="E80" s="235" t="s">
        <v>139</v>
      </c>
      <c r="F80" s="235"/>
      <c r="G80" s="235"/>
      <c r="H80" s="235"/>
      <c r="I80" s="235"/>
      <c r="J80" s="235"/>
      <c r="K80" s="235"/>
      <c r="L80" s="235"/>
      <c r="M80" s="235"/>
      <c r="N80" s="9" t="s">
        <v>140</v>
      </c>
      <c r="O80" s="55" t="e">
        <f>VLOOKUP(N80,Casilleros!$A$4:$Q$830,17,FALSE)</f>
        <v>#REF!</v>
      </c>
      <c r="S80" s="61" t="str">
        <f t="shared" si="16"/>
        <v>346</v>
      </c>
      <c r="T80" s="64" t="str">
        <f t="shared" si="10"/>
        <v>ESTADO DE SITUACIÓN FINANCIERA</v>
      </c>
      <c r="U80" s="64" t="str">
        <f t="shared" si="23"/>
        <v>ACTIVO</v>
      </c>
      <c r="V80" s="64" t="str">
        <f t="shared" si="24"/>
        <v>ACTIVOS CORRIENTES</v>
      </c>
      <c r="W80" s="64" t="str">
        <f t="shared" si="25"/>
        <v>INVENTARIOS</v>
      </c>
      <c r="X80" s="64" t="str">
        <f t="shared" si="20"/>
        <v>Inventario de obras/inmuebles terminados para la venta</v>
      </c>
      <c r="Y80" s="64" t="str">
        <f t="shared" si="21"/>
        <v/>
      </c>
      <c r="Z80" s="64" t="str">
        <f t="shared" si="22"/>
        <v/>
      </c>
      <c r="AA80" s="64" t="str">
        <f t="shared" si="15"/>
        <v>INVENTARIOS_Inventario de obras/inmuebles terminados para la venta__</v>
      </c>
    </row>
    <row r="81" spans="1:27">
      <c r="A81" s="53"/>
      <c r="B81" s="53"/>
      <c r="C81" s="53"/>
      <c r="D81" s="53"/>
      <c r="E81" s="235" t="s">
        <v>141</v>
      </c>
      <c r="F81" s="235"/>
      <c r="G81" s="235"/>
      <c r="H81" s="235"/>
      <c r="I81" s="235"/>
      <c r="J81" s="235"/>
      <c r="K81" s="235"/>
      <c r="L81" s="235"/>
      <c r="M81" s="235"/>
      <c r="N81" s="9" t="s">
        <v>142</v>
      </c>
      <c r="O81" s="55" t="e">
        <f>VLOOKUP(N81,Casilleros!$A$4:$Q$830,17,FALSE)</f>
        <v>#REF!</v>
      </c>
      <c r="S81" s="61" t="str">
        <f t="shared" si="16"/>
        <v>347</v>
      </c>
      <c r="T81" s="64" t="str">
        <f t="shared" si="10"/>
        <v>ESTADO DE SITUACIÓN FINANCIERA</v>
      </c>
      <c r="U81" s="64" t="str">
        <f t="shared" si="23"/>
        <v>ACTIVO</v>
      </c>
      <c r="V81" s="64" t="str">
        <f t="shared" si="24"/>
        <v>ACTIVOS CORRIENTES</v>
      </c>
      <c r="W81" s="64" t="str">
        <f t="shared" si="25"/>
        <v>INVENTARIOS</v>
      </c>
      <c r="X81" s="64" t="str">
        <f t="shared" si="20"/>
        <v>(-) Deterioro acumulado del valor de inventarios por ajuste al valor neto realizable</v>
      </c>
      <c r="Y81" s="64" t="str">
        <f t="shared" si="21"/>
        <v/>
      </c>
      <c r="Z81" s="64" t="str">
        <f t="shared" si="22"/>
        <v/>
      </c>
      <c r="AA81" s="64" t="str">
        <f t="shared" si="15"/>
        <v>INVENTARIOS_(-) Deterioro acumulado del valor de inventarios por ajuste al valor neto realizable__</v>
      </c>
    </row>
    <row r="82" spans="1:27">
      <c r="A82" s="53"/>
      <c r="B82" s="53"/>
      <c r="C82" s="53"/>
      <c r="D82" s="239" t="s">
        <v>143</v>
      </c>
      <c r="E82" s="239"/>
      <c r="F82" s="239"/>
      <c r="G82" s="239"/>
      <c r="H82" s="239"/>
      <c r="I82" s="239"/>
      <c r="J82" s="239"/>
      <c r="K82" s="239"/>
      <c r="L82" s="239"/>
      <c r="M82" s="239"/>
      <c r="N82" s="239"/>
      <c r="O82" s="239"/>
      <c r="S82" s="61">
        <f t="shared" si="16"/>
        <v>0</v>
      </c>
      <c r="T82" s="64" t="str">
        <f t="shared" si="10"/>
        <v>ESTADO DE SITUACIÓN FINANCIERA</v>
      </c>
      <c r="U82" s="64" t="str">
        <f t="shared" si="23"/>
        <v>ACTIVO</v>
      </c>
      <c r="V82" s="64" t="str">
        <f t="shared" si="24"/>
        <v>ACTIVOS CORRIENTES</v>
      </c>
      <c r="W82" s="64" t="str">
        <f t="shared" si="25"/>
        <v>ACTIVOS NO CORRIENTES MANTENIDOS PARA LA VENTA</v>
      </c>
      <c r="X82" s="64" t="str">
        <f t="shared" si="20"/>
        <v/>
      </c>
      <c r="Y82" s="64" t="str">
        <f t="shared" si="21"/>
        <v/>
      </c>
      <c r="Z82" s="64" t="str">
        <f t="shared" si="22"/>
        <v/>
      </c>
      <c r="AA82" s="64" t="str">
        <f t="shared" si="15"/>
        <v>ACTIVOS NO CORRIENTES MANTENIDOS PARA LA VENTA</v>
      </c>
    </row>
    <row r="83" spans="1:27">
      <c r="A83" s="53"/>
      <c r="B83" s="53"/>
      <c r="C83" s="53"/>
      <c r="D83" s="53"/>
      <c r="E83" s="242" t="s">
        <v>144</v>
      </c>
      <c r="F83" s="242"/>
      <c r="G83" s="242"/>
      <c r="H83" s="242"/>
      <c r="I83" s="242"/>
      <c r="J83" s="242"/>
      <c r="K83" s="242"/>
      <c r="L83" s="242"/>
      <c r="M83" s="242"/>
      <c r="N83" s="9" t="s">
        <v>145</v>
      </c>
      <c r="O83" s="74" t="e">
        <f>VLOOKUP(N83,Casilleros!$A$4:$Q$830,17,FALSE)</f>
        <v>#REF!</v>
      </c>
      <c r="S83" s="61" t="str">
        <f t="shared" si="16"/>
        <v>348</v>
      </c>
      <c r="T83" s="64" t="str">
        <f t="shared" si="10"/>
        <v>ESTADO DE SITUACIÓN FINANCIERA</v>
      </c>
      <c r="U83" s="64" t="str">
        <f t="shared" si="23"/>
        <v>ACTIVO</v>
      </c>
      <c r="V83" s="64" t="str">
        <f t="shared" si="24"/>
        <v>ACTIVOS CORRIENTES</v>
      </c>
      <c r="W83" s="64" t="str">
        <f t="shared" si="25"/>
        <v>ACTIVOS NO CORRIENTES MANTENIDOS PARA LA VENTA</v>
      </c>
      <c r="X83" s="64" t="str">
        <f t="shared" si="20"/>
        <v>Costo</v>
      </c>
      <c r="Y83" s="64" t="str">
        <f t="shared" si="21"/>
        <v/>
      </c>
      <c r="Z83" s="64" t="str">
        <f t="shared" si="22"/>
        <v/>
      </c>
      <c r="AA83" s="64" t="str">
        <f t="shared" si="15"/>
        <v>ACTIVOS NO CORRIENTES MANTENIDOS PARA LA VENTA_Costo__</v>
      </c>
    </row>
    <row r="84" spans="1:27">
      <c r="A84" s="53"/>
      <c r="B84" s="53"/>
      <c r="C84" s="53"/>
      <c r="D84" s="53"/>
      <c r="E84" s="242" t="s">
        <v>146</v>
      </c>
      <c r="F84" s="242"/>
      <c r="G84" s="242"/>
      <c r="H84" s="242"/>
      <c r="I84" s="242"/>
      <c r="J84" s="242"/>
      <c r="K84" s="242"/>
      <c r="L84" s="242"/>
      <c r="M84" s="242"/>
      <c r="N84" s="9" t="s">
        <v>147</v>
      </c>
      <c r="O84" s="55" t="e">
        <f>VLOOKUP(N84,Casilleros!$A$4:$Q$830,17,FALSE)</f>
        <v>#REF!</v>
      </c>
      <c r="S84" s="61" t="str">
        <f t="shared" si="16"/>
        <v>349</v>
      </c>
      <c r="T84" s="64" t="str">
        <f t="shared" si="10"/>
        <v>ESTADO DE SITUACIÓN FINANCIERA</v>
      </c>
      <c r="U84" s="64" t="str">
        <f t="shared" si="23"/>
        <v>ACTIVO</v>
      </c>
      <c r="V84" s="64" t="str">
        <f t="shared" si="24"/>
        <v>ACTIVOS CORRIENTES</v>
      </c>
      <c r="W84" s="64" t="str">
        <f t="shared" si="25"/>
        <v>ACTIVOS NO CORRIENTES MANTENIDOS PARA LA VENTA</v>
      </c>
      <c r="X84" s="64" t="str">
        <f t="shared" si="20"/>
        <v>(-) Deterioro acumulado del valor de activos no corrientes mantenidos para la venta</v>
      </c>
      <c r="Y84" s="64" t="str">
        <f t="shared" si="21"/>
        <v/>
      </c>
      <c r="Z84" s="64" t="str">
        <f t="shared" si="22"/>
        <v/>
      </c>
      <c r="AA84" s="64" t="str">
        <f t="shared" si="15"/>
        <v>ACTIVOS NO CORRIENTES MANTENIDOS PARA LA VENTA_(-) Deterioro acumulado del valor de activos no corrientes mantenidos para la venta__</v>
      </c>
    </row>
    <row r="85" spans="1:27">
      <c r="A85" s="53"/>
      <c r="B85" s="53"/>
      <c r="C85" s="53"/>
      <c r="D85" s="239" t="s">
        <v>148</v>
      </c>
      <c r="E85" s="239"/>
      <c r="F85" s="239"/>
      <c r="G85" s="239"/>
      <c r="H85" s="239"/>
      <c r="I85" s="239"/>
      <c r="J85" s="239"/>
      <c r="K85" s="239"/>
      <c r="L85" s="239"/>
      <c r="M85" s="239"/>
      <c r="N85" s="239"/>
      <c r="O85" s="239"/>
      <c r="S85" s="61">
        <f t="shared" si="16"/>
        <v>0</v>
      </c>
      <c r="T85" s="64" t="str">
        <f t="shared" si="10"/>
        <v>ESTADO DE SITUACIÓN FINANCIERA</v>
      </c>
      <c r="U85" s="64" t="str">
        <f t="shared" si="23"/>
        <v>ACTIVO</v>
      </c>
      <c r="V85" s="64" t="str">
        <f t="shared" si="24"/>
        <v>ACTIVOS CORRIENTES</v>
      </c>
      <c r="W85" s="64" t="str">
        <f t="shared" si="25"/>
        <v>ACTIVOS BIOLÓGICOS</v>
      </c>
      <c r="X85" s="64" t="str">
        <f t="shared" si="20"/>
        <v/>
      </c>
      <c r="Y85" s="64" t="str">
        <f t="shared" si="21"/>
        <v/>
      </c>
      <c r="Z85" s="64" t="str">
        <f t="shared" si="22"/>
        <v/>
      </c>
      <c r="AA85" s="64" t="str">
        <f t="shared" si="15"/>
        <v>ACTIVOS BIOLÓGICOS</v>
      </c>
    </row>
    <row r="86" spans="1:27">
      <c r="A86" s="53"/>
      <c r="B86" s="53"/>
      <c r="C86" s="53"/>
      <c r="D86" s="53"/>
      <c r="E86" s="236" t="s">
        <v>149</v>
      </c>
      <c r="F86" s="236"/>
      <c r="G86" s="236"/>
      <c r="H86" s="236"/>
      <c r="I86" s="236"/>
      <c r="J86" s="236"/>
      <c r="K86" s="236"/>
      <c r="L86" s="236"/>
      <c r="M86" s="236"/>
      <c r="N86" s="236"/>
      <c r="O86" s="236"/>
      <c r="S86" s="61">
        <f t="shared" si="16"/>
        <v>0</v>
      </c>
      <c r="T86" s="64" t="str">
        <f t="shared" si="10"/>
        <v>ESTADO DE SITUACIÓN FINANCIERA</v>
      </c>
      <c r="U86" s="64" t="str">
        <f t="shared" si="23"/>
        <v>ACTIVO</v>
      </c>
      <c r="V86" s="64" t="str">
        <f t="shared" si="24"/>
        <v>ACTIVOS CORRIENTES</v>
      </c>
      <c r="W86" s="64" t="str">
        <f t="shared" si="25"/>
        <v>ACTIVOS BIOLÓGICOS</v>
      </c>
      <c r="X86" s="64" t="str">
        <f t="shared" si="20"/>
        <v>PLANTAS VIVAS Y FRUTOS EN CRECIMIENTO</v>
      </c>
      <c r="Y86" s="64" t="str">
        <f t="shared" si="21"/>
        <v/>
      </c>
      <c r="Z86" s="64" t="str">
        <f t="shared" si="22"/>
        <v/>
      </c>
      <c r="AA86" s="64" t="str">
        <f t="shared" si="15"/>
        <v>ACTIVOS BIOLÓGICOS_PLANTAS VIVAS Y FRUTOS EN CRECIMIENTO__</v>
      </c>
    </row>
    <row r="87" spans="1:27">
      <c r="A87" s="53"/>
      <c r="B87" s="53"/>
      <c r="C87" s="53"/>
      <c r="D87" s="53"/>
      <c r="E87" s="53"/>
      <c r="F87" s="235" t="s">
        <v>150</v>
      </c>
      <c r="G87" s="235"/>
      <c r="H87" s="235"/>
      <c r="I87" s="235"/>
      <c r="J87" s="235"/>
      <c r="K87" s="235"/>
      <c r="L87" s="235"/>
      <c r="M87" s="235"/>
      <c r="N87" s="9" t="s">
        <v>151</v>
      </c>
      <c r="O87" s="55" t="e">
        <f>VLOOKUP(N87,Casilleros!$A$4:$Q$830,17,FALSE)</f>
        <v>#REF!</v>
      </c>
      <c r="S87" s="61" t="str">
        <f t="shared" si="16"/>
        <v>350</v>
      </c>
      <c r="T87" s="64" t="str">
        <f t="shared" si="10"/>
        <v>ESTADO DE SITUACIÓN FINANCIERA</v>
      </c>
      <c r="U87" s="64" t="str">
        <f t="shared" si="23"/>
        <v>ACTIVO</v>
      </c>
      <c r="V87" s="64" t="str">
        <f t="shared" si="24"/>
        <v>ACTIVOS CORRIENTES</v>
      </c>
      <c r="W87" s="64" t="str">
        <f t="shared" si="25"/>
        <v>ACTIVOS BIOLÓGICOS</v>
      </c>
      <c r="X87" s="64" t="str">
        <f t="shared" si="20"/>
        <v>PLANTAS VIVAS Y FRUTOS EN CRECIMIENTO</v>
      </c>
      <c r="Y87" s="64" t="str">
        <f t="shared" si="21"/>
        <v>A costo</v>
      </c>
      <c r="Z87" s="64" t="str">
        <f t="shared" si="22"/>
        <v/>
      </c>
      <c r="AA87" s="64" t="str">
        <f t="shared" si="15"/>
        <v>ACTIVOS BIOLÓGICOS_PLANTAS VIVAS Y FRUTOS EN CRECIMIENTO_A costo_</v>
      </c>
    </row>
    <row r="88" spans="1:27">
      <c r="A88" s="53"/>
      <c r="B88" s="53"/>
      <c r="C88" s="53"/>
      <c r="D88" s="53"/>
      <c r="E88" s="53"/>
      <c r="F88" s="235" t="s">
        <v>152</v>
      </c>
      <c r="G88" s="235"/>
      <c r="H88" s="235"/>
      <c r="I88" s="235"/>
      <c r="J88" s="235"/>
      <c r="K88" s="235"/>
      <c r="L88" s="235"/>
      <c r="M88" s="235"/>
      <c r="N88" s="9" t="s">
        <v>153</v>
      </c>
      <c r="O88" s="55" t="e">
        <f>VLOOKUP(N88,Casilleros!$A$4:$Q$830,17,FALSE)</f>
        <v>#REF!</v>
      </c>
      <c r="S88" s="61" t="str">
        <f t="shared" si="16"/>
        <v>351</v>
      </c>
      <c r="T88" s="64" t="str">
        <f t="shared" si="10"/>
        <v>ESTADO DE SITUACIÓN FINANCIERA</v>
      </c>
      <c r="U88" s="64" t="str">
        <f t="shared" si="23"/>
        <v>ACTIVO</v>
      </c>
      <c r="V88" s="64" t="str">
        <f t="shared" si="24"/>
        <v>ACTIVOS CORRIENTES</v>
      </c>
      <c r="W88" s="64" t="str">
        <f t="shared" si="25"/>
        <v>ACTIVOS BIOLÓGICOS</v>
      </c>
      <c r="X88" s="64" t="str">
        <f t="shared" si="20"/>
        <v>PLANTAS VIVAS Y FRUTOS EN CRECIMIENTO</v>
      </c>
      <c r="Y88" s="64" t="str">
        <f t="shared" si="21"/>
        <v>(-) Deterioro acumulado del valor de activos biológicos medidos a costo</v>
      </c>
      <c r="Z88" s="64" t="str">
        <f t="shared" si="22"/>
        <v/>
      </c>
      <c r="AA88" s="64" t="str">
        <f t="shared" si="15"/>
        <v>ACTIVOS BIOLÓGICOS_PLANTAS VIVAS Y FRUTOS EN CRECIMIENTO_(-) Deterioro acumulado del valor de activos biológicos medidos a costo_</v>
      </c>
    </row>
    <row r="89" spans="1:27">
      <c r="A89" s="53"/>
      <c r="B89" s="53"/>
      <c r="C89" s="53"/>
      <c r="D89" s="53"/>
      <c r="E89" s="53"/>
      <c r="F89" s="235" t="s">
        <v>154</v>
      </c>
      <c r="G89" s="235"/>
      <c r="H89" s="235"/>
      <c r="I89" s="235"/>
      <c r="J89" s="235"/>
      <c r="K89" s="235"/>
      <c r="L89" s="235"/>
      <c r="M89" s="235"/>
      <c r="N89" s="9" t="s">
        <v>155</v>
      </c>
      <c r="O89" s="55" t="e">
        <f>VLOOKUP(N89,Casilleros!$A$4:$Q$830,17,FALSE)</f>
        <v>#REF!</v>
      </c>
      <c r="S89" s="61" t="str">
        <f t="shared" si="16"/>
        <v>352</v>
      </c>
      <c r="T89" s="64" t="str">
        <f t="shared" si="10"/>
        <v>ESTADO DE SITUACIÓN FINANCIERA</v>
      </c>
      <c r="U89" s="64" t="str">
        <f t="shared" si="23"/>
        <v>ACTIVO</v>
      </c>
      <c r="V89" s="64" t="str">
        <f t="shared" si="24"/>
        <v>ACTIVOS CORRIENTES</v>
      </c>
      <c r="W89" s="64" t="str">
        <f t="shared" si="25"/>
        <v>ACTIVOS BIOLÓGICOS</v>
      </c>
      <c r="X89" s="64" t="str">
        <f t="shared" si="20"/>
        <v>PLANTAS VIVAS Y FRUTOS EN CRECIMIENTO</v>
      </c>
      <c r="Y89" s="64" t="str">
        <f t="shared" si="21"/>
        <v>A valor razonable menos los costos de venta</v>
      </c>
      <c r="Z89" s="64" t="str">
        <f t="shared" si="22"/>
        <v/>
      </c>
      <c r="AA89" s="64" t="str">
        <f t="shared" si="15"/>
        <v>ACTIVOS BIOLÓGICOS_PLANTAS VIVAS Y FRUTOS EN CRECIMIENTO_A valor razonable menos los costos de venta_</v>
      </c>
    </row>
    <row r="90" spans="1:27">
      <c r="A90" s="53"/>
      <c r="B90" s="53"/>
      <c r="C90" s="53"/>
      <c r="D90" s="53"/>
      <c r="E90" s="236" t="s">
        <v>156</v>
      </c>
      <c r="F90" s="236"/>
      <c r="G90" s="236"/>
      <c r="H90" s="236"/>
      <c r="I90" s="236"/>
      <c r="J90" s="236"/>
      <c r="K90" s="236"/>
      <c r="L90" s="236"/>
      <c r="M90" s="236"/>
      <c r="N90" s="236"/>
      <c r="O90" s="236"/>
      <c r="S90" s="61">
        <f t="shared" si="16"/>
        <v>0</v>
      </c>
      <c r="T90" s="64" t="str">
        <f t="shared" si="10"/>
        <v>ESTADO DE SITUACIÓN FINANCIERA</v>
      </c>
      <c r="U90" s="64" t="str">
        <f t="shared" si="23"/>
        <v>ACTIVO</v>
      </c>
      <c r="V90" s="64" t="str">
        <f t="shared" si="24"/>
        <v>ACTIVOS CORRIENTES</v>
      </c>
      <c r="W90" s="64" t="str">
        <f t="shared" si="25"/>
        <v>ACTIVOS BIOLÓGICOS</v>
      </c>
      <c r="X90" s="64" t="str">
        <f t="shared" si="20"/>
        <v>ANIMALES VIVOS</v>
      </c>
      <c r="Y90" s="64" t="str">
        <f t="shared" si="21"/>
        <v/>
      </c>
      <c r="Z90" s="64" t="str">
        <f t="shared" si="22"/>
        <v/>
      </c>
      <c r="AA90" s="64" t="str">
        <f t="shared" si="15"/>
        <v>ACTIVOS BIOLÓGICOS_ANIMALES VIVOS__</v>
      </c>
    </row>
    <row r="91" spans="1:27">
      <c r="A91" s="53"/>
      <c r="B91" s="53"/>
      <c r="C91" s="53"/>
      <c r="D91" s="53"/>
      <c r="E91" s="53"/>
      <c r="F91" s="235" t="s">
        <v>150</v>
      </c>
      <c r="G91" s="235"/>
      <c r="H91" s="235"/>
      <c r="I91" s="235"/>
      <c r="J91" s="235"/>
      <c r="K91" s="235"/>
      <c r="L91" s="235"/>
      <c r="M91" s="235"/>
      <c r="N91" s="9" t="s">
        <v>157</v>
      </c>
      <c r="O91" s="55" t="e">
        <f>VLOOKUP(N91,Casilleros!$A$4:$Q$830,17,FALSE)</f>
        <v>#REF!</v>
      </c>
      <c r="S91" s="61" t="str">
        <f t="shared" si="16"/>
        <v>353</v>
      </c>
      <c r="T91" s="64" t="str">
        <f t="shared" si="10"/>
        <v>ESTADO DE SITUACIÓN FINANCIERA</v>
      </c>
      <c r="U91" s="64" t="str">
        <f t="shared" si="23"/>
        <v>ACTIVO</v>
      </c>
      <c r="V91" s="64" t="str">
        <f t="shared" si="24"/>
        <v>ACTIVOS CORRIENTES</v>
      </c>
      <c r="W91" s="64" t="str">
        <f t="shared" si="25"/>
        <v>ACTIVOS BIOLÓGICOS</v>
      </c>
      <c r="X91" s="64" t="str">
        <f t="shared" si="20"/>
        <v>ANIMALES VIVOS</v>
      </c>
      <c r="Y91" s="64" t="str">
        <f t="shared" si="21"/>
        <v>A costo</v>
      </c>
      <c r="Z91" s="64" t="str">
        <f t="shared" si="22"/>
        <v/>
      </c>
      <c r="AA91" s="64" t="str">
        <f t="shared" si="15"/>
        <v>ACTIVOS BIOLÓGICOS_ANIMALES VIVOS_A costo_</v>
      </c>
    </row>
    <row r="92" spans="1:27">
      <c r="A92" s="53"/>
      <c r="B92" s="53"/>
      <c r="C92" s="53"/>
      <c r="D92" s="53"/>
      <c r="E92" s="53"/>
      <c r="F92" s="235" t="s">
        <v>152</v>
      </c>
      <c r="G92" s="235"/>
      <c r="H92" s="235"/>
      <c r="I92" s="235"/>
      <c r="J92" s="235"/>
      <c r="K92" s="235"/>
      <c r="L92" s="235"/>
      <c r="M92" s="235"/>
      <c r="N92" s="9" t="s">
        <v>158</v>
      </c>
      <c r="O92" s="55" t="e">
        <f>VLOOKUP(N92,Casilleros!$A$4:$Q$830,17,FALSE)</f>
        <v>#REF!</v>
      </c>
      <c r="S92" s="61" t="str">
        <f t="shared" si="16"/>
        <v>354</v>
      </c>
      <c r="T92" s="64" t="str">
        <f t="shared" si="10"/>
        <v>ESTADO DE SITUACIÓN FINANCIERA</v>
      </c>
      <c r="U92" s="64" t="str">
        <f t="shared" ref="U92:U155" si="26">IF(T91&lt;&gt;T92,"",(IF(B92&lt;&gt;"",B92,U91)))</f>
        <v>ACTIVO</v>
      </c>
      <c r="V92" s="64" t="str">
        <f t="shared" ref="V92:V155" si="27">IF(U91&lt;&gt;U92,"",(IF(C92&lt;&gt;"",C92,V91)))</f>
        <v>ACTIVOS CORRIENTES</v>
      </c>
      <c r="W92" s="64" t="str">
        <f t="shared" ref="W92:W155" si="28">IF(V91&lt;&gt;V92,"",(IF(D92&lt;&gt;"",D92,W91)))</f>
        <v>ACTIVOS BIOLÓGICOS</v>
      </c>
      <c r="X92" s="64" t="str">
        <f t="shared" si="20"/>
        <v>ANIMALES VIVOS</v>
      </c>
      <c r="Y92" s="64" t="str">
        <f t="shared" si="21"/>
        <v>(-) Deterioro acumulado del valor de activos biológicos medidos a costo</v>
      </c>
      <c r="Z92" s="64" t="str">
        <f t="shared" si="22"/>
        <v/>
      </c>
      <c r="AA92" s="64" t="str">
        <f t="shared" ref="AA92:AA155" si="29">IF(X92&lt;&gt;"",CONCATENATE(W92,"_",X92,"_",Y92,"_",Z92),W92)</f>
        <v>ACTIVOS BIOLÓGICOS_ANIMALES VIVOS_(-) Deterioro acumulado del valor de activos biológicos medidos a costo_</v>
      </c>
    </row>
    <row r="93" spans="1:27">
      <c r="A93" s="53"/>
      <c r="B93" s="53"/>
      <c r="C93" s="53"/>
      <c r="D93" s="53"/>
      <c r="E93" s="53"/>
      <c r="F93" s="235" t="s">
        <v>154</v>
      </c>
      <c r="G93" s="235"/>
      <c r="H93" s="235"/>
      <c r="I93" s="235"/>
      <c r="J93" s="235"/>
      <c r="K93" s="235"/>
      <c r="L93" s="235"/>
      <c r="M93" s="235"/>
      <c r="N93" s="9" t="s">
        <v>159</v>
      </c>
      <c r="O93" s="55" t="e">
        <f>VLOOKUP(N93,Casilleros!$A$4:$Q$830,17,FALSE)</f>
        <v>#REF!</v>
      </c>
      <c r="S93" s="61" t="str">
        <f t="shared" si="16"/>
        <v>355</v>
      </c>
      <c r="T93" s="64" t="str">
        <f t="shared" ref="T93:T156" si="30">IF(A93&lt;&gt;"",A93,T92)</f>
        <v>ESTADO DE SITUACIÓN FINANCIERA</v>
      </c>
      <c r="U93" s="64" t="str">
        <f t="shared" si="26"/>
        <v>ACTIVO</v>
      </c>
      <c r="V93" s="64" t="str">
        <f t="shared" si="27"/>
        <v>ACTIVOS CORRIENTES</v>
      </c>
      <c r="W93" s="64" t="str">
        <f t="shared" si="28"/>
        <v>ACTIVOS BIOLÓGICOS</v>
      </c>
      <c r="X93" s="64" t="str">
        <f t="shared" si="20"/>
        <v>ANIMALES VIVOS</v>
      </c>
      <c r="Y93" s="64" t="str">
        <f t="shared" si="21"/>
        <v>A valor razonable menos los costos de venta</v>
      </c>
      <c r="Z93" s="64" t="str">
        <f t="shared" si="22"/>
        <v/>
      </c>
      <c r="AA93" s="64" t="str">
        <f t="shared" si="29"/>
        <v>ACTIVOS BIOLÓGICOS_ANIMALES VIVOS_A valor razonable menos los costos de venta_</v>
      </c>
    </row>
    <row r="94" spans="1:27">
      <c r="A94" s="53"/>
      <c r="B94" s="53"/>
      <c r="C94" s="53"/>
      <c r="D94" s="239" t="s">
        <v>160</v>
      </c>
      <c r="E94" s="239"/>
      <c r="F94" s="239"/>
      <c r="G94" s="239"/>
      <c r="H94" s="239"/>
      <c r="I94" s="239"/>
      <c r="J94" s="239"/>
      <c r="K94" s="239"/>
      <c r="L94" s="239"/>
      <c r="M94" s="239"/>
      <c r="N94" s="239"/>
      <c r="O94" s="239"/>
      <c r="S94" s="61">
        <f t="shared" si="16"/>
        <v>0</v>
      </c>
      <c r="T94" s="64" t="str">
        <f t="shared" si="30"/>
        <v>ESTADO DE SITUACIÓN FINANCIERA</v>
      </c>
      <c r="U94" s="64" t="str">
        <f t="shared" si="26"/>
        <v>ACTIVO</v>
      </c>
      <c r="V94" s="64" t="str">
        <f t="shared" si="27"/>
        <v>ACTIVOS CORRIENTES</v>
      </c>
      <c r="W94" s="64" t="str">
        <f t="shared" si="28"/>
        <v>GASTOS PAGADOS POR ANTICIPADO (PREPAGADOS)</v>
      </c>
      <c r="X94" s="64" t="str">
        <f t="shared" si="20"/>
        <v/>
      </c>
      <c r="Y94" s="64" t="str">
        <f t="shared" si="21"/>
        <v/>
      </c>
      <c r="Z94" s="64" t="str">
        <f t="shared" si="22"/>
        <v/>
      </c>
      <c r="AA94" s="64" t="str">
        <f t="shared" si="29"/>
        <v>GASTOS PAGADOS POR ANTICIPADO (PREPAGADOS)</v>
      </c>
    </row>
    <row r="95" spans="1:27">
      <c r="A95" s="53"/>
      <c r="B95" s="53"/>
      <c r="C95" s="53"/>
      <c r="D95" s="53"/>
      <c r="E95" s="242" t="s">
        <v>161</v>
      </c>
      <c r="F95" s="242"/>
      <c r="G95" s="242"/>
      <c r="H95" s="242"/>
      <c r="I95" s="242"/>
      <c r="J95" s="242"/>
      <c r="K95" s="242"/>
      <c r="L95" s="242"/>
      <c r="M95" s="242"/>
      <c r="N95" s="9" t="s">
        <v>162</v>
      </c>
      <c r="O95" s="55" t="e">
        <f>VLOOKUP(N95,Casilleros!$A$4:$Q$830,17,FALSE)</f>
        <v>#REF!</v>
      </c>
      <c r="S95" s="61" t="str">
        <f t="shared" si="16"/>
        <v>356</v>
      </c>
      <c r="T95" s="64" t="str">
        <f t="shared" si="30"/>
        <v>ESTADO DE SITUACIÓN FINANCIERA</v>
      </c>
      <c r="U95" s="64" t="str">
        <f t="shared" si="26"/>
        <v>ACTIVO</v>
      </c>
      <c r="V95" s="64" t="str">
        <f t="shared" si="27"/>
        <v>ACTIVOS CORRIENTES</v>
      </c>
      <c r="W95" s="64" t="str">
        <f t="shared" si="28"/>
        <v>GASTOS PAGADOS POR ANTICIPADO (PREPAGADOS)</v>
      </c>
      <c r="X95" s="64" t="str">
        <f t="shared" si="20"/>
        <v>Propaganda y publicidad prepagada</v>
      </c>
      <c r="Y95" s="64" t="str">
        <f t="shared" si="21"/>
        <v/>
      </c>
      <c r="Z95" s="64" t="str">
        <f t="shared" si="22"/>
        <v/>
      </c>
      <c r="AA95" s="64" t="str">
        <f t="shared" si="29"/>
        <v>GASTOS PAGADOS POR ANTICIPADO (PREPAGADOS)_Propaganda y publicidad prepagada__</v>
      </c>
    </row>
    <row r="96" spans="1:27">
      <c r="A96" s="53"/>
      <c r="B96" s="53"/>
      <c r="C96" s="53"/>
      <c r="D96" s="53"/>
      <c r="E96" s="242" t="s">
        <v>163</v>
      </c>
      <c r="F96" s="242"/>
      <c r="G96" s="242"/>
      <c r="H96" s="242"/>
      <c r="I96" s="242"/>
      <c r="J96" s="242"/>
      <c r="K96" s="242"/>
      <c r="L96" s="242"/>
      <c r="M96" s="242"/>
      <c r="N96" s="9" t="s">
        <v>164</v>
      </c>
      <c r="O96" s="55" t="e">
        <f>VLOOKUP(N96,Casilleros!$A$4:$Q$830,17,FALSE)</f>
        <v>#REF!</v>
      </c>
      <c r="S96" s="61" t="str">
        <f t="shared" ref="S96:S159" si="31">+N96</f>
        <v>357</v>
      </c>
      <c r="T96" s="64" t="str">
        <f t="shared" si="30"/>
        <v>ESTADO DE SITUACIÓN FINANCIERA</v>
      </c>
      <c r="U96" s="64" t="str">
        <f t="shared" si="26"/>
        <v>ACTIVO</v>
      </c>
      <c r="V96" s="64" t="str">
        <f t="shared" si="27"/>
        <v>ACTIVOS CORRIENTES</v>
      </c>
      <c r="W96" s="64" t="str">
        <f t="shared" si="28"/>
        <v>GASTOS PAGADOS POR ANTICIPADO (PREPAGADOS)</v>
      </c>
      <c r="X96" s="64" t="str">
        <f t="shared" si="20"/>
        <v>Arrendamientos operativos pagados por anticipado</v>
      </c>
      <c r="Y96" s="64" t="str">
        <f t="shared" si="21"/>
        <v/>
      </c>
      <c r="Z96" s="64" t="str">
        <f t="shared" si="22"/>
        <v/>
      </c>
      <c r="AA96" s="64" t="str">
        <f t="shared" si="29"/>
        <v>GASTOS PAGADOS POR ANTICIPADO (PREPAGADOS)_Arrendamientos operativos pagados por anticipado__</v>
      </c>
    </row>
    <row r="97" spans="1:27">
      <c r="A97" s="53"/>
      <c r="B97" s="53"/>
      <c r="C97" s="53"/>
      <c r="D97" s="53"/>
      <c r="E97" s="242" t="s">
        <v>165</v>
      </c>
      <c r="F97" s="242"/>
      <c r="G97" s="242"/>
      <c r="H97" s="242"/>
      <c r="I97" s="242"/>
      <c r="J97" s="242"/>
      <c r="K97" s="242"/>
      <c r="L97" s="242"/>
      <c r="M97" s="242"/>
      <c r="N97" s="9" t="s">
        <v>166</v>
      </c>
      <c r="O97" s="55" t="e">
        <f>VLOOKUP(N97,Casilleros!$A$4:$Q$830,17,FALSE)</f>
        <v>#REF!</v>
      </c>
      <c r="S97" s="61" t="str">
        <f t="shared" si="31"/>
        <v>358</v>
      </c>
      <c r="T97" s="64" t="str">
        <f t="shared" si="30"/>
        <v>ESTADO DE SITUACIÓN FINANCIERA</v>
      </c>
      <c r="U97" s="64" t="str">
        <f t="shared" si="26"/>
        <v>ACTIVO</v>
      </c>
      <c r="V97" s="64" t="str">
        <f t="shared" si="27"/>
        <v>ACTIVOS CORRIENTES</v>
      </c>
      <c r="W97" s="64" t="str">
        <f t="shared" si="28"/>
        <v>GASTOS PAGADOS POR ANTICIPADO (PREPAGADOS)</v>
      </c>
      <c r="X97" s="64" t="str">
        <f t="shared" si="20"/>
        <v>Primas de seguro pagadas por anticipado</v>
      </c>
      <c r="Y97" s="64" t="str">
        <f t="shared" si="21"/>
        <v/>
      </c>
      <c r="Z97" s="64" t="str">
        <f t="shared" si="22"/>
        <v/>
      </c>
      <c r="AA97" s="64" t="str">
        <f t="shared" si="29"/>
        <v>GASTOS PAGADOS POR ANTICIPADO (PREPAGADOS)_Primas de seguro pagadas por anticipado__</v>
      </c>
    </row>
    <row r="98" spans="1:27">
      <c r="A98" s="53"/>
      <c r="B98" s="53"/>
      <c r="C98" s="53"/>
      <c r="D98" s="53"/>
      <c r="E98" s="242" t="s">
        <v>122</v>
      </c>
      <c r="F98" s="242"/>
      <c r="G98" s="242"/>
      <c r="H98" s="242"/>
      <c r="I98" s="242"/>
      <c r="J98" s="242"/>
      <c r="K98" s="242"/>
      <c r="L98" s="242"/>
      <c r="M98" s="242"/>
      <c r="N98" s="9" t="s">
        <v>167</v>
      </c>
      <c r="O98" s="55" t="e">
        <f>VLOOKUP(N98,Casilleros!$A$4:$Q$830,17,FALSE)</f>
        <v>#REF!</v>
      </c>
      <c r="S98" s="61" t="str">
        <f t="shared" si="31"/>
        <v>359</v>
      </c>
      <c r="T98" s="64" t="str">
        <f t="shared" si="30"/>
        <v>ESTADO DE SITUACIÓN FINANCIERA</v>
      </c>
      <c r="U98" s="64" t="str">
        <f t="shared" si="26"/>
        <v>ACTIVO</v>
      </c>
      <c r="V98" s="64" t="str">
        <f t="shared" si="27"/>
        <v>ACTIVOS CORRIENTES</v>
      </c>
      <c r="W98" s="64" t="str">
        <f t="shared" si="28"/>
        <v>GASTOS PAGADOS POR ANTICIPADO (PREPAGADOS)</v>
      </c>
      <c r="X98" s="64" t="str">
        <f t="shared" si="20"/>
        <v>Otros</v>
      </c>
      <c r="Y98" s="64" t="str">
        <f t="shared" si="21"/>
        <v/>
      </c>
      <c r="Z98" s="64" t="str">
        <f t="shared" si="22"/>
        <v/>
      </c>
      <c r="AA98" s="64" t="str">
        <f t="shared" si="29"/>
        <v>GASTOS PAGADOS POR ANTICIPADO (PREPAGADOS)_Otros__</v>
      </c>
    </row>
    <row r="99" spans="1:27">
      <c r="A99" s="53"/>
      <c r="B99" s="53"/>
      <c r="C99" s="53"/>
      <c r="D99" s="242" t="s">
        <v>168</v>
      </c>
      <c r="E99" s="242"/>
      <c r="F99" s="242"/>
      <c r="G99" s="242"/>
      <c r="H99" s="242"/>
      <c r="I99" s="242"/>
      <c r="J99" s="242"/>
      <c r="K99" s="242"/>
      <c r="L99" s="242"/>
      <c r="M99" s="242"/>
      <c r="N99" s="9" t="s">
        <v>169</v>
      </c>
      <c r="O99" s="74" t="e">
        <f>VLOOKUP(N99,Casilleros!$A$4:$Q$830,17,FALSE)</f>
        <v>#REF!</v>
      </c>
      <c r="S99" s="61" t="str">
        <f t="shared" si="31"/>
        <v>360</v>
      </c>
      <c r="T99" s="64" t="str">
        <f t="shared" si="30"/>
        <v>ESTADO DE SITUACIÓN FINANCIERA</v>
      </c>
      <c r="U99" s="64" t="str">
        <f t="shared" si="26"/>
        <v>ACTIVO</v>
      </c>
      <c r="V99" s="64" t="str">
        <f t="shared" si="27"/>
        <v>ACTIVOS CORRIENTES</v>
      </c>
      <c r="W99" s="64" t="str">
        <f t="shared" si="28"/>
        <v>Otros Activos Corrientes</v>
      </c>
      <c r="X99" s="64" t="str">
        <f t="shared" si="20"/>
        <v/>
      </c>
      <c r="Y99" s="64" t="str">
        <f t="shared" si="21"/>
        <v/>
      </c>
      <c r="Z99" s="64" t="str">
        <f t="shared" si="22"/>
        <v/>
      </c>
      <c r="AA99" s="64" t="str">
        <f t="shared" si="29"/>
        <v>Otros Activos Corrientes</v>
      </c>
    </row>
    <row r="100" spans="1:27">
      <c r="A100" s="53"/>
      <c r="B100" s="53"/>
      <c r="C100" s="238" t="s">
        <v>170</v>
      </c>
      <c r="D100" s="238"/>
      <c r="E100" s="238"/>
      <c r="F100" s="238"/>
      <c r="G100" s="238"/>
      <c r="H100" s="238"/>
      <c r="I100" s="238"/>
      <c r="J100" s="238"/>
      <c r="K100" s="238"/>
      <c r="L100" s="238"/>
      <c r="M100" s="238"/>
      <c r="N100" s="71" t="s">
        <v>171</v>
      </c>
      <c r="O100" s="72" t="e">
        <f>SUM(O30:O99)</f>
        <v>#REF!</v>
      </c>
      <c r="S100" s="61" t="str">
        <f t="shared" si="31"/>
        <v>361</v>
      </c>
      <c r="T100" s="64" t="str">
        <f t="shared" si="30"/>
        <v>ESTADO DE SITUACIÓN FINANCIERA</v>
      </c>
      <c r="U100" s="64" t="str">
        <f t="shared" si="26"/>
        <v>ACTIVO</v>
      </c>
      <c r="V100" s="64" t="str">
        <f t="shared" si="27"/>
        <v>TOTAL ACTIVOS CORRIENTES</v>
      </c>
      <c r="W100" s="64" t="str">
        <f t="shared" si="28"/>
        <v/>
      </c>
      <c r="X100" s="64" t="str">
        <f t="shared" si="20"/>
        <v/>
      </c>
      <c r="Y100" s="64" t="str">
        <f t="shared" si="21"/>
        <v/>
      </c>
      <c r="Z100" s="64" t="str">
        <f t="shared" si="22"/>
        <v/>
      </c>
      <c r="AA100" s="69" t="str">
        <f>IF(X100&lt;&gt;"",CONCATENATE(W100,"_",X100,"_",Y100,"_",Z100,""),CONCATENATE(U100,"_",V100, "_",W100,""))</f>
        <v>ACTIVO_TOTAL ACTIVOS CORRIENTES_</v>
      </c>
    </row>
    <row r="101" spans="1:27">
      <c r="A101" s="53"/>
      <c r="B101" s="53"/>
      <c r="C101" s="239" t="s">
        <v>172</v>
      </c>
      <c r="D101" s="239"/>
      <c r="E101" s="239"/>
      <c r="F101" s="239"/>
      <c r="G101" s="239"/>
      <c r="H101" s="239"/>
      <c r="I101" s="239"/>
      <c r="J101" s="239"/>
      <c r="K101" s="239"/>
      <c r="L101" s="239"/>
      <c r="M101" s="239"/>
      <c r="N101" s="239"/>
      <c r="O101" s="239"/>
      <c r="S101" s="61">
        <f t="shared" si="31"/>
        <v>0</v>
      </c>
      <c r="T101" s="64" t="str">
        <f t="shared" si="30"/>
        <v>ESTADO DE SITUACIÓN FINANCIERA</v>
      </c>
      <c r="U101" s="64" t="str">
        <f t="shared" si="26"/>
        <v>ACTIVO</v>
      </c>
      <c r="V101" s="64" t="str">
        <f t="shared" si="27"/>
        <v>ACTIVOS  NO CORRIENTES</v>
      </c>
      <c r="W101" s="64" t="str">
        <f t="shared" si="28"/>
        <v/>
      </c>
      <c r="X101" s="64" t="str">
        <f t="shared" si="20"/>
        <v/>
      </c>
      <c r="Y101" s="64" t="str">
        <f t="shared" si="21"/>
        <v/>
      </c>
      <c r="Z101" s="64" t="str">
        <f t="shared" si="22"/>
        <v/>
      </c>
      <c r="AA101" s="64" t="str">
        <f t="shared" si="29"/>
        <v/>
      </c>
    </row>
    <row r="102" spans="1:27">
      <c r="A102" s="53"/>
      <c r="B102" s="53"/>
      <c r="C102" s="53"/>
      <c r="D102" s="236" t="s">
        <v>173</v>
      </c>
      <c r="E102" s="236"/>
      <c r="F102" s="236"/>
      <c r="G102" s="236"/>
      <c r="H102" s="236"/>
      <c r="I102" s="236"/>
      <c r="J102" s="236"/>
      <c r="K102" s="236"/>
      <c r="L102" s="236"/>
      <c r="M102" s="236"/>
      <c r="N102" s="236"/>
      <c r="O102" s="236"/>
      <c r="S102" s="61">
        <f t="shared" si="31"/>
        <v>0</v>
      </c>
      <c r="T102" s="64" t="str">
        <f t="shared" si="30"/>
        <v>ESTADO DE SITUACIÓN FINANCIERA</v>
      </c>
      <c r="U102" s="64" t="str">
        <f t="shared" si="26"/>
        <v>ACTIVO</v>
      </c>
      <c r="V102" s="64" t="str">
        <f t="shared" si="27"/>
        <v>ACTIVOS  NO CORRIENTES</v>
      </c>
      <c r="W102" s="64" t="str">
        <f t="shared" si="28"/>
        <v>PROPIEDADES, PLANTA Y EQUIPO</v>
      </c>
      <c r="X102" s="64" t="str">
        <f t="shared" si="20"/>
        <v/>
      </c>
      <c r="Y102" s="64" t="str">
        <f t="shared" si="21"/>
        <v/>
      </c>
      <c r="Z102" s="64" t="str">
        <f t="shared" si="22"/>
        <v/>
      </c>
      <c r="AA102" s="64" t="str">
        <f t="shared" si="29"/>
        <v>PROPIEDADES, PLANTA Y EQUIPO</v>
      </c>
    </row>
    <row r="103" spans="1:27">
      <c r="A103" s="53"/>
      <c r="B103" s="53"/>
      <c r="C103" s="53"/>
      <c r="D103" s="53"/>
      <c r="E103" s="239" t="s">
        <v>174</v>
      </c>
      <c r="F103" s="239"/>
      <c r="G103" s="239"/>
      <c r="H103" s="239"/>
      <c r="I103" s="239"/>
      <c r="J103" s="239"/>
      <c r="K103" s="239"/>
      <c r="L103" s="239"/>
      <c r="M103" s="239"/>
      <c r="N103" s="239"/>
      <c r="O103" s="239"/>
      <c r="S103" s="61">
        <f t="shared" si="31"/>
        <v>0</v>
      </c>
      <c r="T103" s="64" t="str">
        <f t="shared" si="30"/>
        <v>ESTADO DE SITUACIÓN FINANCIERA</v>
      </c>
      <c r="U103" s="64" t="str">
        <f t="shared" si="26"/>
        <v>ACTIVO</v>
      </c>
      <c r="V103" s="64" t="str">
        <f t="shared" si="27"/>
        <v>ACTIVOS  NO CORRIENTES</v>
      </c>
      <c r="W103" s="64" t="str">
        <f t="shared" si="28"/>
        <v>PROPIEDADES, PLANTA Y EQUIPO</v>
      </c>
      <c r="X103" s="64" t="str">
        <f t="shared" si="20"/>
        <v>TERRENOS</v>
      </c>
      <c r="Y103" s="64" t="str">
        <f t="shared" si="21"/>
        <v/>
      </c>
      <c r="Z103" s="64" t="str">
        <f t="shared" si="22"/>
        <v/>
      </c>
      <c r="AA103" s="64" t="str">
        <f t="shared" si="29"/>
        <v>PROPIEDADES, PLANTA Y EQUIPO_TERRENOS__</v>
      </c>
    </row>
    <row r="104" spans="1:27">
      <c r="A104" s="53"/>
      <c r="B104" s="53"/>
      <c r="C104" s="53"/>
      <c r="D104" s="53"/>
      <c r="E104" s="53"/>
      <c r="F104" s="235" t="s">
        <v>175</v>
      </c>
      <c r="G104" s="235"/>
      <c r="H104" s="235"/>
      <c r="I104" s="235"/>
      <c r="J104" s="235"/>
      <c r="K104" s="235"/>
      <c r="L104" s="235"/>
      <c r="M104" s="235"/>
      <c r="N104" s="9" t="s">
        <v>176</v>
      </c>
      <c r="O104" s="55" t="e">
        <f>VLOOKUP(N104,Casilleros!$A$4:$Q$830,17,FALSE)</f>
        <v>#REF!</v>
      </c>
      <c r="S104" s="61" t="str">
        <f t="shared" si="31"/>
        <v>362</v>
      </c>
      <c r="T104" s="64" t="str">
        <f t="shared" si="30"/>
        <v>ESTADO DE SITUACIÓN FINANCIERA</v>
      </c>
      <c r="U104" s="64" t="str">
        <f t="shared" si="26"/>
        <v>ACTIVO</v>
      </c>
      <c r="V104" s="64" t="str">
        <f t="shared" si="27"/>
        <v>ACTIVOS  NO CORRIENTES</v>
      </c>
      <c r="W104" s="64" t="str">
        <f t="shared" si="28"/>
        <v>PROPIEDADES, PLANTA Y EQUIPO</v>
      </c>
      <c r="X104" s="64" t="str">
        <f t="shared" si="20"/>
        <v>TERRENOS</v>
      </c>
      <c r="Y104" s="64" t="str">
        <f t="shared" si="21"/>
        <v>Costo histórico antes de reexpresiones o revaluaciones</v>
      </c>
      <c r="Z104" s="64" t="str">
        <f t="shared" si="22"/>
        <v/>
      </c>
      <c r="AA104" s="64" t="str">
        <f t="shared" si="29"/>
        <v>PROPIEDADES, PLANTA Y EQUIPO_TERRENOS_Costo histórico antes de reexpresiones o revaluaciones_</v>
      </c>
    </row>
    <row r="105" spans="1:27">
      <c r="A105" s="53"/>
      <c r="B105" s="53"/>
      <c r="C105" s="53"/>
      <c r="D105" s="53"/>
      <c r="E105" s="53"/>
      <c r="F105" s="235" t="s">
        <v>177</v>
      </c>
      <c r="G105" s="235" t="s">
        <v>178</v>
      </c>
      <c r="H105" s="235"/>
      <c r="I105" s="235"/>
      <c r="J105" s="235"/>
      <c r="K105" s="235" t="s">
        <v>178</v>
      </c>
      <c r="L105" s="235" t="s">
        <v>178</v>
      </c>
      <c r="M105" s="235" t="s">
        <v>178</v>
      </c>
      <c r="N105" s="9" t="s">
        <v>179</v>
      </c>
      <c r="O105" s="55" t="e">
        <f>VLOOKUP(N105,Casilleros!$A$4:$Q$830,17,FALSE)</f>
        <v>#REF!</v>
      </c>
      <c r="S105" s="61" t="str">
        <f t="shared" si="31"/>
        <v>363</v>
      </c>
      <c r="T105" s="64" t="str">
        <f t="shared" si="30"/>
        <v>ESTADO DE SITUACIÓN FINANCIERA</v>
      </c>
      <c r="U105" s="64" t="str">
        <f t="shared" si="26"/>
        <v>ACTIVO</v>
      </c>
      <c r="V105" s="64" t="str">
        <f t="shared" si="27"/>
        <v>ACTIVOS  NO CORRIENTES</v>
      </c>
      <c r="W105" s="64" t="str">
        <f t="shared" si="28"/>
        <v>PROPIEDADES, PLANTA Y EQUIPO</v>
      </c>
      <c r="X105" s="64" t="str">
        <f t="shared" si="20"/>
        <v>TERRENOS</v>
      </c>
      <c r="Y105" s="64" t="str">
        <f t="shared" si="21"/>
        <v>Ajuste acumulado por reexpresiones o revaluaciones</v>
      </c>
      <c r="Z105" s="64" t="str">
        <f t="shared" si="22"/>
        <v/>
      </c>
      <c r="AA105" s="64" t="str">
        <f t="shared" si="29"/>
        <v>PROPIEDADES, PLANTA Y EQUIPO_TERRENOS_Ajuste acumulado por reexpresiones o revaluaciones_</v>
      </c>
    </row>
    <row r="106" spans="1:27">
      <c r="A106" s="53"/>
      <c r="B106" s="53"/>
      <c r="C106" s="53"/>
      <c r="D106" s="53"/>
      <c r="E106" s="239" t="s">
        <v>180</v>
      </c>
      <c r="F106" s="239"/>
      <c r="G106" s="239"/>
      <c r="H106" s="239"/>
      <c r="I106" s="239"/>
      <c r="J106" s="239"/>
      <c r="K106" s="239"/>
      <c r="L106" s="239"/>
      <c r="M106" s="239"/>
      <c r="N106" s="239"/>
      <c r="O106" s="239"/>
      <c r="S106" s="61">
        <f t="shared" si="31"/>
        <v>0</v>
      </c>
      <c r="T106" s="64" t="str">
        <f t="shared" si="30"/>
        <v>ESTADO DE SITUACIÓN FINANCIERA</v>
      </c>
      <c r="U106" s="64" t="str">
        <f t="shared" si="26"/>
        <v>ACTIVO</v>
      </c>
      <c r="V106" s="64" t="str">
        <f t="shared" si="27"/>
        <v>ACTIVOS  NO CORRIENTES</v>
      </c>
      <c r="W106" s="64" t="str">
        <f t="shared" si="28"/>
        <v>PROPIEDADES, PLANTA Y EQUIPO</v>
      </c>
      <c r="X106" s="64" t="str">
        <f t="shared" si="20"/>
        <v>EDIFICIOS Y OTROS INMUEBLES (EXCEPTO TERRENOS)</v>
      </c>
      <c r="Y106" s="64" t="str">
        <f t="shared" si="21"/>
        <v/>
      </c>
      <c r="Z106" s="64" t="str">
        <f t="shared" si="22"/>
        <v/>
      </c>
      <c r="AA106" s="64" t="str">
        <f t="shared" si="29"/>
        <v>PROPIEDADES, PLANTA Y EQUIPO_EDIFICIOS Y OTROS INMUEBLES (EXCEPTO TERRENOS)__</v>
      </c>
    </row>
    <row r="107" spans="1:27">
      <c r="A107" s="53"/>
      <c r="B107" s="53"/>
      <c r="C107" s="53"/>
      <c r="D107" s="53"/>
      <c r="E107" s="53"/>
      <c r="F107" s="235" t="s">
        <v>181</v>
      </c>
      <c r="G107" s="235"/>
      <c r="H107" s="235"/>
      <c r="I107" s="235"/>
      <c r="J107" s="235"/>
      <c r="K107" s="235"/>
      <c r="L107" s="235"/>
      <c r="M107" s="235"/>
      <c r="N107" s="9" t="s">
        <v>182</v>
      </c>
      <c r="O107" s="55" t="e">
        <f>VLOOKUP(N107,Casilleros!$A$4:$Q$830,17,FALSE)</f>
        <v>#REF!</v>
      </c>
      <c r="S107" s="61" t="str">
        <f t="shared" si="31"/>
        <v>364</v>
      </c>
      <c r="T107" s="64" t="str">
        <f t="shared" si="30"/>
        <v>ESTADO DE SITUACIÓN FINANCIERA</v>
      </c>
      <c r="U107" s="64" t="str">
        <f t="shared" si="26"/>
        <v>ACTIVO</v>
      </c>
      <c r="V107" s="64" t="str">
        <f t="shared" si="27"/>
        <v>ACTIVOS  NO CORRIENTES</v>
      </c>
      <c r="W107" s="64" t="str">
        <f t="shared" si="28"/>
        <v>PROPIEDADES, PLANTA Y EQUIPO</v>
      </c>
      <c r="X107" s="64" t="str">
        <f t="shared" si="20"/>
        <v>EDIFICIOS Y OTROS INMUEBLES (EXCEPTO TERRENOS)</v>
      </c>
      <c r="Y107" s="64" t="str">
        <f t="shared" si="21"/>
        <v xml:space="preserve">Costo histórico antes de reexpresiones o revaluaciones </v>
      </c>
      <c r="Z107" s="64" t="str">
        <f t="shared" si="22"/>
        <v/>
      </c>
      <c r="AA107" s="64" t="str">
        <f t="shared" si="29"/>
        <v>PROPIEDADES, PLANTA Y EQUIPO_EDIFICIOS Y OTROS INMUEBLES (EXCEPTO TERRENOS)_Costo histórico antes de reexpresiones o revaluaciones _</v>
      </c>
    </row>
    <row r="108" spans="1:27">
      <c r="A108" s="53"/>
      <c r="B108" s="53"/>
      <c r="C108" s="53"/>
      <c r="D108" s="53"/>
      <c r="E108" s="53"/>
      <c r="F108" s="235" t="s">
        <v>177</v>
      </c>
      <c r="G108" s="235" t="s">
        <v>178</v>
      </c>
      <c r="H108" s="235"/>
      <c r="I108" s="235"/>
      <c r="J108" s="235"/>
      <c r="K108" s="235" t="s">
        <v>178</v>
      </c>
      <c r="L108" s="235" t="s">
        <v>178</v>
      </c>
      <c r="M108" s="235" t="s">
        <v>178</v>
      </c>
      <c r="N108" s="9" t="s">
        <v>183</v>
      </c>
      <c r="O108" s="55" t="e">
        <f>VLOOKUP(N108,Casilleros!$A$4:$Q$830,17,FALSE)</f>
        <v>#REF!</v>
      </c>
      <c r="S108" s="61" t="str">
        <f t="shared" si="31"/>
        <v>365</v>
      </c>
      <c r="T108" s="64" t="str">
        <f t="shared" si="30"/>
        <v>ESTADO DE SITUACIÓN FINANCIERA</v>
      </c>
      <c r="U108" s="64" t="str">
        <f t="shared" si="26"/>
        <v>ACTIVO</v>
      </c>
      <c r="V108" s="64" t="str">
        <f t="shared" si="27"/>
        <v>ACTIVOS  NO CORRIENTES</v>
      </c>
      <c r="W108" s="64" t="str">
        <f t="shared" si="28"/>
        <v>PROPIEDADES, PLANTA Y EQUIPO</v>
      </c>
      <c r="X108" s="64" t="str">
        <f t="shared" si="20"/>
        <v>EDIFICIOS Y OTROS INMUEBLES (EXCEPTO TERRENOS)</v>
      </c>
      <c r="Y108" s="64" t="str">
        <f t="shared" si="21"/>
        <v>Ajuste acumulado por reexpresiones o revaluaciones</v>
      </c>
      <c r="Z108" s="64" t="str">
        <f t="shared" si="22"/>
        <v/>
      </c>
      <c r="AA108" s="64" t="str">
        <f t="shared" si="29"/>
        <v>PROPIEDADES, PLANTA Y EQUIPO_EDIFICIOS Y OTROS INMUEBLES (EXCEPTO TERRENOS)_Ajuste acumulado por reexpresiones o revaluaciones_</v>
      </c>
    </row>
    <row r="109" spans="1:27">
      <c r="A109" s="53"/>
      <c r="B109" s="53"/>
      <c r="C109" s="53"/>
      <c r="D109" s="53"/>
      <c r="E109" s="239" t="s">
        <v>184</v>
      </c>
      <c r="F109" s="239"/>
      <c r="G109" s="239"/>
      <c r="H109" s="239"/>
      <c r="I109" s="239"/>
      <c r="J109" s="239"/>
      <c r="K109" s="239"/>
      <c r="L109" s="239"/>
      <c r="M109" s="239"/>
      <c r="N109" s="239"/>
      <c r="O109" s="239"/>
      <c r="S109" s="61">
        <f t="shared" si="31"/>
        <v>0</v>
      </c>
      <c r="T109" s="64" t="str">
        <f t="shared" si="30"/>
        <v>ESTADO DE SITUACIÓN FINANCIERA</v>
      </c>
      <c r="U109" s="64" t="str">
        <f t="shared" si="26"/>
        <v>ACTIVO</v>
      </c>
      <c r="V109" s="64" t="str">
        <f t="shared" si="27"/>
        <v>ACTIVOS  NO CORRIENTES</v>
      </c>
      <c r="W109" s="64" t="str">
        <f t="shared" si="28"/>
        <v>PROPIEDADES, PLANTA Y EQUIPO</v>
      </c>
      <c r="X109" s="64" t="str">
        <f t="shared" si="20"/>
        <v>NAVES, AERONAVES, BARCAZAS Y SIMILARES</v>
      </c>
      <c r="Y109" s="64" t="str">
        <f t="shared" si="21"/>
        <v/>
      </c>
      <c r="Z109" s="64" t="str">
        <f t="shared" si="22"/>
        <v/>
      </c>
      <c r="AA109" s="64" t="str">
        <f t="shared" si="29"/>
        <v>PROPIEDADES, PLANTA Y EQUIPO_NAVES, AERONAVES, BARCAZAS Y SIMILARES__</v>
      </c>
    </row>
    <row r="110" spans="1:27">
      <c r="A110" s="53"/>
      <c r="B110" s="53"/>
      <c r="C110" s="53"/>
      <c r="D110" s="53"/>
      <c r="E110" s="53"/>
      <c r="F110" s="235" t="s">
        <v>175</v>
      </c>
      <c r="G110" s="235"/>
      <c r="H110" s="235"/>
      <c r="I110" s="235"/>
      <c r="J110" s="235"/>
      <c r="K110" s="235"/>
      <c r="L110" s="235"/>
      <c r="M110" s="235"/>
      <c r="N110" s="9" t="s">
        <v>185</v>
      </c>
      <c r="O110" s="55" t="e">
        <f>VLOOKUP(N110,Casilleros!$A$4:$Q$830,17,FALSE)</f>
        <v>#REF!</v>
      </c>
      <c r="S110" s="61" t="str">
        <f t="shared" si="31"/>
        <v>366</v>
      </c>
      <c r="T110" s="64" t="str">
        <f t="shared" si="30"/>
        <v>ESTADO DE SITUACIÓN FINANCIERA</v>
      </c>
      <c r="U110" s="64" t="str">
        <f t="shared" si="26"/>
        <v>ACTIVO</v>
      </c>
      <c r="V110" s="64" t="str">
        <f t="shared" si="27"/>
        <v>ACTIVOS  NO CORRIENTES</v>
      </c>
      <c r="W110" s="64" t="str">
        <f t="shared" si="28"/>
        <v>PROPIEDADES, PLANTA Y EQUIPO</v>
      </c>
      <c r="X110" s="64" t="str">
        <f t="shared" si="20"/>
        <v>NAVES, AERONAVES, BARCAZAS Y SIMILARES</v>
      </c>
      <c r="Y110" s="64" t="str">
        <f t="shared" si="21"/>
        <v>Costo histórico antes de reexpresiones o revaluaciones</v>
      </c>
      <c r="Z110" s="64" t="str">
        <f t="shared" si="22"/>
        <v/>
      </c>
      <c r="AA110" s="64" t="str">
        <f t="shared" si="29"/>
        <v>PROPIEDADES, PLANTA Y EQUIPO_NAVES, AERONAVES, BARCAZAS Y SIMILARES_Costo histórico antes de reexpresiones o revaluaciones_</v>
      </c>
    </row>
    <row r="111" spans="1:27">
      <c r="A111" s="53"/>
      <c r="B111" s="53"/>
      <c r="C111" s="53"/>
      <c r="D111" s="53"/>
      <c r="E111" s="53"/>
      <c r="F111" s="235" t="s">
        <v>177</v>
      </c>
      <c r="G111" s="235" t="s">
        <v>178</v>
      </c>
      <c r="H111" s="235"/>
      <c r="I111" s="235"/>
      <c r="J111" s="235"/>
      <c r="K111" s="235" t="s">
        <v>178</v>
      </c>
      <c r="L111" s="235" t="s">
        <v>178</v>
      </c>
      <c r="M111" s="235" t="s">
        <v>178</v>
      </c>
      <c r="N111" s="9" t="s">
        <v>186</v>
      </c>
      <c r="O111" s="55" t="e">
        <f>VLOOKUP(N111,Casilleros!$A$4:$Q$830,17,FALSE)</f>
        <v>#REF!</v>
      </c>
      <c r="S111" s="61" t="str">
        <f t="shared" si="31"/>
        <v>367</v>
      </c>
      <c r="T111" s="64" t="str">
        <f t="shared" si="30"/>
        <v>ESTADO DE SITUACIÓN FINANCIERA</v>
      </c>
      <c r="U111" s="64" t="str">
        <f t="shared" si="26"/>
        <v>ACTIVO</v>
      </c>
      <c r="V111" s="64" t="str">
        <f t="shared" si="27"/>
        <v>ACTIVOS  NO CORRIENTES</v>
      </c>
      <c r="W111" s="64" t="str">
        <f t="shared" si="28"/>
        <v>PROPIEDADES, PLANTA Y EQUIPO</v>
      </c>
      <c r="X111" s="64" t="str">
        <f t="shared" si="20"/>
        <v>NAVES, AERONAVES, BARCAZAS Y SIMILARES</v>
      </c>
      <c r="Y111" s="64" t="str">
        <f t="shared" si="21"/>
        <v>Ajuste acumulado por reexpresiones o revaluaciones</v>
      </c>
      <c r="Z111" s="64" t="str">
        <f t="shared" si="22"/>
        <v/>
      </c>
      <c r="AA111" s="64" t="str">
        <f t="shared" si="29"/>
        <v>PROPIEDADES, PLANTA Y EQUIPO_NAVES, AERONAVES, BARCAZAS Y SIMILARES_Ajuste acumulado por reexpresiones o revaluaciones_</v>
      </c>
    </row>
    <row r="112" spans="1:27">
      <c r="A112" s="53"/>
      <c r="B112" s="53"/>
      <c r="C112" s="53"/>
      <c r="D112" s="53"/>
      <c r="E112" s="239" t="s">
        <v>187</v>
      </c>
      <c r="F112" s="239"/>
      <c r="G112" s="239"/>
      <c r="H112" s="239"/>
      <c r="I112" s="239"/>
      <c r="J112" s="239"/>
      <c r="K112" s="239"/>
      <c r="L112" s="239"/>
      <c r="M112" s="239"/>
      <c r="N112" s="239"/>
      <c r="O112" s="239"/>
      <c r="S112" s="61">
        <f t="shared" si="31"/>
        <v>0</v>
      </c>
      <c r="T112" s="64" t="str">
        <f t="shared" si="30"/>
        <v>ESTADO DE SITUACIÓN FINANCIERA</v>
      </c>
      <c r="U112" s="64" t="str">
        <f t="shared" si="26"/>
        <v>ACTIVO</v>
      </c>
      <c r="V112" s="64" t="str">
        <f t="shared" si="27"/>
        <v>ACTIVOS  NO CORRIENTES</v>
      </c>
      <c r="W112" s="64" t="str">
        <f t="shared" si="28"/>
        <v>PROPIEDADES, PLANTA Y EQUIPO</v>
      </c>
      <c r="X112" s="64" t="str">
        <f t="shared" ref="X112:X175" si="32">IF(W111&lt;&gt;W112,"",(IF(E112&lt;&gt;"",E112,X111)))</f>
        <v>MAQUINARIA, EQUIPO, INSTALACIONES Y ADECUACIONES</v>
      </c>
      <c r="Y112" s="64" t="str">
        <f t="shared" ref="Y112:Y175" si="33">IF(X111&lt;&gt;X112,"",(IF(F112&lt;&gt;"",F112,Y111)))</f>
        <v/>
      </c>
      <c r="Z112" s="64" t="str">
        <f t="shared" ref="Z112:Z175" si="34">IF(Y111&lt;&gt;Y112,"",(IF(G112&lt;&gt;"",G112,Z111)))</f>
        <v/>
      </c>
      <c r="AA112" s="64" t="str">
        <f t="shared" si="29"/>
        <v>PROPIEDADES, PLANTA Y EQUIPO_MAQUINARIA, EQUIPO, INSTALACIONES Y ADECUACIONES__</v>
      </c>
    </row>
    <row r="113" spans="1:27">
      <c r="A113" s="53"/>
      <c r="B113" s="53"/>
      <c r="C113" s="53"/>
      <c r="D113" s="53"/>
      <c r="E113" s="53"/>
      <c r="F113" s="235" t="s">
        <v>181</v>
      </c>
      <c r="G113" s="235"/>
      <c r="H113" s="235"/>
      <c r="I113" s="235"/>
      <c r="J113" s="235"/>
      <c r="K113" s="235"/>
      <c r="L113" s="235"/>
      <c r="M113" s="235"/>
      <c r="N113" s="9" t="s">
        <v>188</v>
      </c>
      <c r="O113" s="74" t="e">
        <f>VLOOKUP(N113,Casilleros!$A$4:$Q$830,17,FALSE)</f>
        <v>#REF!</v>
      </c>
      <c r="S113" s="61" t="str">
        <f t="shared" si="31"/>
        <v>368</v>
      </c>
      <c r="T113" s="64" t="str">
        <f t="shared" si="30"/>
        <v>ESTADO DE SITUACIÓN FINANCIERA</v>
      </c>
      <c r="U113" s="64" t="str">
        <f t="shared" si="26"/>
        <v>ACTIVO</v>
      </c>
      <c r="V113" s="64" t="str">
        <f t="shared" si="27"/>
        <v>ACTIVOS  NO CORRIENTES</v>
      </c>
      <c r="W113" s="64" t="str">
        <f t="shared" si="28"/>
        <v>PROPIEDADES, PLANTA Y EQUIPO</v>
      </c>
      <c r="X113" s="64" t="str">
        <f t="shared" si="32"/>
        <v>MAQUINARIA, EQUIPO, INSTALACIONES Y ADECUACIONES</v>
      </c>
      <c r="Y113" s="64" t="str">
        <f t="shared" si="33"/>
        <v xml:space="preserve">Costo histórico antes de reexpresiones o revaluaciones </v>
      </c>
      <c r="Z113" s="64" t="str">
        <f t="shared" si="34"/>
        <v/>
      </c>
      <c r="AA113" s="64" t="str">
        <f t="shared" si="29"/>
        <v>PROPIEDADES, PLANTA Y EQUIPO_MAQUINARIA, EQUIPO, INSTALACIONES Y ADECUACIONES_Costo histórico antes de reexpresiones o revaluaciones _</v>
      </c>
    </row>
    <row r="114" spans="1:27">
      <c r="A114" s="53"/>
      <c r="B114" s="53"/>
      <c r="C114" s="53"/>
      <c r="D114" s="53"/>
      <c r="E114" s="53"/>
      <c r="F114" s="235" t="s">
        <v>177</v>
      </c>
      <c r="G114" s="235" t="s">
        <v>178</v>
      </c>
      <c r="H114" s="235"/>
      <c r="I114" s="235"/>
      <c r="J114" s="235"/>
      <c r="K114" s="235" t="s">
        <v>178</v>
      </c>
      <c r="L114" s="235" t="s">
        <v>178</v>
      </c>
      <c r="M114" s="235" t="s">
        <v>178</v>
      </c>
      <c r="N114" s="9" t="s">
        <v>189</v>
      </c>
      <c r="O114" s="55" t="e">
        <f>VLOOKUP(N114,Casilleros!$A$4:$Q$830,17,FALSE)</f>
        <v>#REF!</v>
      </c>
      <c r="S114" s="61" t="str">
        <f t="shared" si="31"/>
        <v>369</v>
      </c>
      <c r="T114" s="64" t="str">
        <f t="shared" si="30"/>
        <v>ESTADO DE SITUACIÓN FINANCIERA</v>
      </c>
      <c r="U114" s="64" t="str">
        <f t="shared" si="26"/>
        <v>ACTIVO</v>
      </c>
      <c r="V114" s="64" t="str">
        <f t="shared" si="27"/>
        <v>ACTIVOS  NO CORRIENTES</v>
      </c>
      <c r="W114" s="64" t="str">
        <f t="shared" si="28"/>
        <v>PROPIEDADES, PLANTA Y EQUIPO</v>
      </c>
      <c r="X114" s="64" t="str">
        <f t="shared" si="32"/>
        <v>MAQUINARIA, EQUIPO, INSTALACIONES Y ADECUACIONES</v>
      </c>
      <c r="Y114" s="64" t="str">
        <f t="shared" si="33"/>
        <v>Ajuste acumulado por reexpresiones o revaluaciones</v>
      </c>
      <c r="Z114" s="64" t="str">
        <f t="shared" si="34"/>
        <v/>
      </c>
      <c r="AA114" s="64" t="str">
        <f t="shared" si="29"/>
        <v>PROPIEDADES, PLANTA Y EQUIPO_MAQUINARIA, EQUIPO, INSTALACIONES Y ADECUACIONES_Ajuste acumulado por reexpresiones o revaluaciones_</v>
      </c>
    </row>
    <row r="115" spans="1:27">
      <c r="A115" s="53"/>
      <c r="B115" s="53"/>
      <c r="C115" s="53"/>
      <c r="D115" s="53"/>
      <c r="E115" s="239" t="s">
        <v>190</v>
      </c>
      <c r="F115" s="239"/>
      <c r="G115" s="239"/>
      <c r="H115" s="239"/>
      <c r="I115" s="239"/>
      <c r="J115" s="239"/>
      <c r="K115" s="239"/>
      <c r="L115" s="239"/>
      <c r="M115" s="239"/>
      <c r="N115" s="239"/>
      <c r="O115" s="239"/>
      <c r="S115" s="61">
        <f t="shared" si="31"/>
        <v>0</v>
      </c>
      <c r="T115" s="64" t="str">
        <f t="shared" si="30"/>
        <v>ESTADO DE SITUACIÓN FINANCIERA</v>
      </c>
      <c r="U115" s="64" t="str">
        <f t="shared" si="26"/>
        <v>ACTIVO</v>
      </c>
      <c r="V115" s="64" t="str">
        <f t="shared" si="27"/>
        <v>ACTIVOS  NO CORRIENTES</v>
      </c>
      <c r="W115" s="64" t="str">
        <f t="shared" si="28"/>
        <v>PROPIEDADES, PLANTA Y EQUIPO</v>
      </c>
      <c r="X115" s="64" t="str">
        <f t="shared" si="32"/>
        <v>PLANTAS PRODUCTORAS (AGRICULTURA)</v>
      </c>
      <c r="Y115" s="64" t="str">
        <f t="shared" si="33"/>
        <v/>
      </c>
      <c r="Z115" s="64" t="str">
        <f t="shared" si="34"/>
        <v/>
      </c>
      <c r="AA115" s="64" t="str">
        <f t="shared" si="29"/>
        <v>PROPIEDADES, PLANTA Y EQUIPO_PLANTAS PRODUCTORAS (AGRICULTURA)__</v>
      </c>
    </row>
    <row r="116" spans="1:27">
      <c r="A116" s="53"/>
      <c r="B116" s="53"/>
      <c r="C116" s="53"/>
      <c r="D116" s="53"/>
      <c r="E116" s="53"/>
      <c r="F116" s="235" t="s">
        <v>175</v>
      </c>
      <c r="G116" s="235"/>
      <c r="H116" s="235"/>
      <c r="I116" s="235"/>
      <c r="J116" s="235"/>
      <c r="K116" s="235"/>
      <c r="L116" s="235"/>
      <c r="M116" s="235"/>
      <c r="N116" s="9" t="s">
        <v>191</v>
      </c>
      <c r="O116" s="55" t="e">
        <f>VLOOKUP(N116,Casilleros!$A$4:$Q$830,17,FALSE)</f>
        <v>#REF!</v>
      </c>
      <c r="S116" s="61" t="str">
        <f t="shared" si="31"/>
        <v>370</v>
      </c>
      <c r="T116" s="64" t="str">
        <f t="shared" si="30"/>
        <v>ESTADO DE SITUACIÓN FINANCIERA</v>
      </c>
      <c r="U116" s="64" t="str">
        <f t="shared" si="26"/>
        <v>ACTIVO</v>
      </c>
      <c r="V116" s="64" t="str">
        <f t="shared" si="27"/>
        <v>ACTIVOS  NO CORRIENTES</v>
      </c>
      <c r="W116" s="64" t="str">
        <f t="shared" si="28"/>
        <v>PROPIEDADES, PLANTA Y EQUIPO</v>
      </c>
      <c r="X116" s="64" t="str">
        <f t="shared" si="32"/>
        <v>PLANTAS PRODUCTORAS (AGRICULTURA)</v>
      </c>
      <c r="Y116" s="64" t="str">
        <f t="shared" si="33"/>
        <v>Costo histórico antes de reexpresiones o revaluaciones</v>
      </c>
      <c r="Z116" s="64" t="str">
        <f t="shared" si="34"/>
        <v/>
      </c>
      <c r="AA116" s="64" t="str">
        <f t="shared" si="29"/>
        <v>PROPIEDADES, PLANTA Y EQUIPO_PLANTAS PRODUCTORAS (AGRICULTURA)_Costo histórico antes de reexpresiones o revaluaciones_</v>
      </c>
    </row>
    <row r="117" spans="1:27">
      <c r="A117" s="53"/>
      <c r="B117" s="53"/>
      <c r="C117" s="53"/>
      <c r="D117" s="53"/>
      <c r="E117" s="53"/>
      <c r="F117" s="235" t="s">
        <v>177</v>
      </c>
      <c r="G117" s="235" t="s">
        <v>178</v>
      </c>
      <c r="H117" s="235"/>
      <c r="I117" s="235"/>
      <c r="J117" s="235"/>
      <c r="K117" s="235" t="s">
        <v>178</v>
      </c>
      <c r="L117" s="235" t="s">
        <v>178</v>
      </c>
      <c r="M117" s="235" t="s">
        <v>178</v>
      </c>
      <c r="N117" s="9" t="s">
        <v>192</v>
      </c>
      <c r="O117" s="55" t="e">
        <f>VLOOKUP(N117,Casilleros!$A$4:$Q$830,17,FALSE)</f>
        <v>#REF!</v>
      </c>
      <c r="S117" s="61" t="str">
        <f t="shared" si="31"/>
        <v>371</v>
      </c>
      <c r="T117" s="64" t="str">
        <f t="shared" si="30"/>
        <v>ESTADO DE SITUACIÓN FINANCIERA</v>
      </c>
      <c r="U117" s="64" t="str">
        <f t="shared" si="26"/>
        <v>ACTIVO</v>
      </c>
      <c r="V117" s="64" t="str">
        <f t="shared" si="27"/>
        <v>ACTIVOS  NO CORRIENTES</v>
      </c>
      <c r="W117" s="64" t="str">
        <f t="shared" si="28"/>
        <v>PROPIEDADES, PLANTA Y EQUIPO</v>
      </c>
      <c r="X117" s="64" t="str">
        <f t="shared" si="32"/>
        <v>PLANTAS PRODUCTORAS (AGRICULTURA)</v>
      </c>
      <c r="Y117" s="64" t="str">
        <f t="shared" si="33"/>
        <v>Ajuste acumulado por reexpresiones o revaluaciones</v>
      </c>
      <c r="Z117" s="64" t="str">
        <f t="shared" si="34"/>
        <v/>
      </c>
      <c r="AA117" s="64" t="str">
        <f t="shared" si="29"/>
        <v>PROPIEDADES, PLANTA Y EQUIPO_PLANTAS PRODUCTORAS (AGRICULTURA)_Ajuste acumulado por reexpresiones o revaluaciones_</v>
      </c>
    </row>
    <row r="118" spans="1:27">
      <c r="A118" s="53"/>
      <c r="B118" s="53"/>
      <c r="C118" s="53"/>
      <c r="D118" s="53"/>
      <c r="E118" s="243" t="s">
        <v>193</v>
      </c>
      <c r="F118" s="243"/>
      <c r="G118" s="243"/>
      <c r="H118" s="243"/>
      <c r="I118" s="243"/>
      <c r="J118" s="243"/>
      <c r="K118" s="243"/>
      <c r="L118" s="243"/>
      <c r="M118" s="243"/>
      <c r="N118" s="9" t="s">
        <v>194</v>
      </c>
      <c r="O118" s="55" t="e">
        <f>VLOOKUP(N118,Casilleros!$A$4:$Q$830,17,FALSE)</f>
        <v>#REF!</v>
      </c>
      <c r="S118" s="61" t="str">
        <f t="shared" si="31"/>
        <v>372</v>
      </c>
      <c r="T118" s="64" t="str">
        <f t="shared" si="30"/>
        <v>ESTADO DE SITUACIÓN FINANCIERA</v>
      </c>
      <c r="U118" s="64" t="str">
        <f t="shared" si="26"/>
        <v>ACTIVO</v>
      </c>
      <c r="V118" s="64" t="str">
        <f t="shared" si="27"/>
        <v>ACTIVOS  NO CORRIENTES</v>
      </c>
      <c r="W118" s="64" t="str">
        <f t="shared" si="28"/>
        <v>PROPIEDADES, PLANTA Y EQUIPO</v>
      </c>
      <c r="X118" s="64" t="str">
        <f t="shared" si="32"/>
        <v>Construcciones en Curso y Otros Activos en Tránsito</v>
      </c>
      <c r="Y118" s="64" t="str">
        <f t="shared" si="33"/>
        <v/>
      </c>
      <c r="Z118" s="64" t="str">
        <f t="shared" si="34"/>
        <v/>
      </c>
      <c r="AA118" s="64" t="str">
        <f t="shared" si="29"/>
        <v>PROPIEDADES, PLANTA Y EQUIPO_Construcciones en Curso y Otros Activos en Tránsito__</v>
      </c>
    </row>
    <row r="119" spans="1:27">
      <c r="A119" s="53"/>
      <c r="B119" s="53"/>
      <c r="C119" s="53"/>
      <c r="D119" s="53"/>
      <c r="E119" s="243" t="s">
        <v>13</v>
      </c>
      <c r="F119" s="243"/>
      <c r="G119" s="243"/>
      <c r="H119" s="243"/>
      <c r="I119" s="243"/>
      <c r="J119" s="243"/>
      <c r="K119" s="243"/>
      <c r="L119" s="243"/>
      <c r="M119" s="243"/>
      <c r="N119" s="9" t="s">
        <v>195</v>
      </c>
      <c r="O119" s="55" t="e">
        <f>VLOOKUP(N119,Casilleros!$A$4:$Q$830,17,FALSE)</f>
        <v>#REF!</v>
      </c>
      <c r="S119" s="61" t="str">
        <f t="shared" si="31"/>
        <v>373</v>
      </c>
      <c r="T119" s="64" t="str">
        <f t="shared" si="30"/>
        <v>ESTADO DE SITUACIÓN FINANCIERA</v>
      </c>
      <c r="U119" s="64" t="str">
        <f t="shared" si="26"/>
        <v>ACTIVO</v>
      </c>
      <c r="V119" s="64" t="str">
        <f t="shared" si="27"/>
        <v>ACTIVOS  NO CORRIENTES</v>
      </c>
      <c r="W119" s="64" t="str">
        <f t="shared" si="28"/>
        <v>PROPIEDADES, PLANTA Y EQUIPO</v>
      </c>
      <c r="X119" s="64" t="str">
        <f t="shared" si="32"/>
        <v>Muebles y enseres</v>
      </c>
      <c r="Y119" s="64" t="str">
        <f t="shared" si="33"/>
        <v/>
      </c>
      <c r="Z119" s="64" t="str">
        <f t="shared" si="34"/>
        <v/>
      </c>
      <c r="AA119" s="64" t="str">
        <f t="shared" si="29"/>
        <v>PROPIEDADES, PLANTA Y EQUIPO_Muebles y enseres__</v>
      </c>
    </row>
    <row r="120" spans="1:27">
      <c r="A120" s="53"/>
      <c r="B120" s="53"/>
      <c r="C120" s="53"/>
      <c r="D120" s="53"/>
      <c r="E120" s="243" t="s">
        <v>196</v>
      </c>
      <c r="F120" s="243" t="s">
        <v>197</v>
      </c>
      <c r="G120" s="243" t="s">
        <v>197</v>
      </c>
      <c r="H120" s="243"/>
      <c r="I120" s="243"/>
      <c r="J120" s="243"/>
      <c r="K120" s="243" t="s">
        <v>197</v>
      </c>
      <c r="L120" s="243" t="s">
        <v>197</v>
      </c>
      <c r="M120" s="243" t="s">
        <v>197</v>
      </c>
      <c r="N120" s="9" t="s">
        <v>198</v>
      </c>
      <c r="O120" s="55" t="e">
        <f>VLOOKUP(N120,Casilleros!$A$4:$Q$830,17,FALSE)</f>
        <v>#REF!</v>
      </c>
      <c r="S120" s="61" t="str">
        <f t="shared" si="31"/>
        <v>374</v>
      </c>
      <c r="T120" s="64" t="str">
        <f t="shared" si="30"/>
        <v>ESTADO DE SITUACIÓN FINANCIERA</v>
      </c>
      <c r="U120" s="64" t="str">
        <f t="shared" si="26"/>
        <v>ACTIVO</v>
      </c>
      <c r="V120" s="64" t="str">
        <f t="shared" si="27"/>
        <v>ACTIVOS  NO CORRIENTES</v>
      </c>
      <c r="W120" s="64" t="str">
        <f t="shared" si="28"/>
        <v>PROPIEDADES, PLANTA Y EQUIPO</v>
      </c>
      <c r="X120" s="64" t="str">
        <f t="shared" si="32"/>
        <v>Equipo de Computación</v>
      </c>
      <c r="Y120" s="64" t="str">
        <f t="shared" si="33"/>
        <v/>
      </c>
      <c r="Z120" s="64" t="str">
        <f t="shared" si="34"/>
        <v>equipo de computación</v>
      </c>
      <c r="AA120" s="64" t="str">
        <f t="shared" si="29"/>
        <v>PROPIEDADES, PLANTA Y EQUIPO_Equipo de Computación__equipo de computación</v>
      </c>
    </row>
    <row r="121" spans="1:27">
      <c r="A121" s="53"/>
      <c r="B121" s="53"/>
      <c r="C121" s="53"/>
      <c r="D121" s="53"/>
      <c r="E121" s="243" t="s">
        <v>199</v>
      </c>
      <c r="F121" s="243"/>
      <c r="G121" s="243"/>
      <c r="H121" s="243"/>
      <c r="I121" s="243"/>
      <c r="J121" s="243"/>
      <c r="K121" s="243"/>
      <c r="L121" s="243"/>
      <c r="M121" s="243"/>
      <c r="N121" s="9" t="s">
        <v>200</v>
      </c>
      <c r="O121" s="55" t="e">
        <f>VLOOKUP(N121,Casilleros!$A$4:$Q$830,17,FALSE)</f>
        <v>#REF!</v>
      </c>
      <c r="S121" s="61" t="str">
        <f t="shared" si="31"/>
        <v>375</v>
      </c>
      <c r="T121" s="64" t="str">
        <f t="shared" si="30"/>
        <v>ESTADO DE SITUACIÓN FINANCIERA</v>
      </c>
      <c r="U121" s="64" t="str">
        <f t="shared" si="26"/>
        <v>ACTIVO</v>
      </c>
      <c r="V121" s="64" t="str">
        <f t="shared" si="27"/>
        <v>ACTIVOS  NO CORRIENTES</v>
      </c>
      <c r="W121" s="64" t="str">
        <f t="shared" si="28"/>
        <v>PROPIEDADES, PLANTA Y EQUIPO</v>
      </c>
      <c r="X121" s="64" t="str">
        <f t="shared" si="32"/>
        <v>Vehículos, Equipo de Transporte y Caminero Móvil</v>
      </c>
      <c r="Y121" s="64" t="str">
        <f t="shared" si="33"/>
        <v/>
      </c>
      <c r="Z121" s="64" t="str">
        <f t="shared" si="34"/>
        <v>equipo de computación</v>
      </c>
      <c r="AA121" s="64" t="str">
        <f t="shared" si="29"/>
        <v>PROPIEDADES, PLANTA Y EQUIPO_Vehículos, Equipo de Transporte y Caminero Móvil__equipo de computación</v>
      </c>
    </row>
    <row r="122" spans="1:27">
      <c r="A122" s="53"/>
      <c r="B122" s="53"/>
      <c r="C122" s="53"/>
      <c r="D122" s="53"/>
      <c r="E122" s="239" t="s">
        <v>201</v>
      </c>
      <c r="F122" s="239"/>
      <c r="G122" s="239"/>
      <c r="H122" s="239"/>
      <c r="I122" s="239"/>
      <c r="J122" s="239"/>
      <c r="K122" s="239"/>
      <c r="L122" s="239"/>
      <c r="M122" s="239"/>
      <c r="N122" s="239"/>
      <c r="O122" s="239"/>
      <c r="S122" s="61">
        <f t="shared" si="31"/>
        <v>0</v>
      </c>
      <c r="T122" s="64" t="str">
        <f t="shared" si="30"/>
        <v>ESTADO DE SITUACIÓN FINANCIERA</v>
      </c>
      <c r="U122" s="64" t="str">
        <f t="shared" si="26"/>
        <v>ACTIVO</v>
      </c>
      <c r="V122" s="64" t="str">
        <f t="shared" si="27"/>
        <v>ACTIVOS  NO CORRIENTES</v>
      </c>
      <c r="W122" s="64" t="str">
        <f t="shared" si="28"/>
        <v>PROPIEDADES, PLANTA Y EQUIPO</v>
      </c>
      <c r="X122" s="64" t="str">
        <f t="shared" si="32"/>
        <v>PROPIEDADES, PLANTA Y EQUIPO POR CONTRATOS DE ARRENDAMIENTO FINANCIERO</v>
      </c>
      <c r="Y122" s="64" t="str">
        <f t="shared" si="33"/>
        <v/>
      </c>
      <c r="Z122" s="64" t="str">
        <f t="shared" si="34"/>
        <v>equipo de computación</v>
      </c>
      <c r="AA122" s="64" t="str">
        <f t="shared" si="29"/>
        <v>PROPIEDADES, PLANTA Y EQUIPO_PROPIEDADES, PLANTA Y EQUIPO POR CONTRATOS DE ARRENDAMIENTO FINANCIERO__equipo de computación</v>
      </c>
    </row>
    <row r="123" spans="1:27">
      <c r="A123" s="53"/>
      <c r="B123" s="53"/>
      <c r="C123" s="53"/>
      <c r="D123" s="53"/>
      <c r="E123" s="53"/>
      <c r="F123" s="235" t="s">
        <v>202</v>
      </c>
      <c r="G123" s="235"/>
      <c r="H123" s="235"/>
      <c r="I123" s="235"/>
      <c r="J123" s="235"/>
      <c r="K123" s="235"/>
      <c r="L123" s="235"/>
      <c r="M123" s="235"/>
      <c r="N123" s="9" t="s">
        <v>203</v>
      </c>
      <c r="O123" s="55" t="e">
        <f>VLOOKUP(N123,Casilleros!$A$4:$Q$830,17,FALSE)</f>
        <v>#REF!</v>
      </c>
      <c r="S123" s="61" t="str">
        <f t="shared" si="31"/>
        <v>376</v>
      </c>
      <c r="T123" s="64" t="str">
        <f t="shared" si="30"/>
        <v>ESTADO DE SITUACIÓN FINANCIERA</v>
      </c>
      <c r="U123" s="64" t="str">
        <f t="shared" si="26"/>
        <v>ACTIVO</v>
      </c>
      <c r="V123" s="64" t="str">
        <f t="shared" si="27"/>
        <v>ACTIVOS  NO CORRIENTES</v>
      </c>
      <c r="W123" s="64" t="str">
        <f t="shared" si="28"/>
        <v>PROPIEDADES, PLANTA Y EQUIPO</v>
      </c>
      <c r="X123" s="64" t="str">
        <f t="shared" si="32"/>
        <v>PROPIEDADES, PLANTA Y EQUIPO POR CONTRATOS DE ARRENDAMIENTO FINANCIERO</v>
      </c>
      <c r="Y123" s="64" t="str">
        <f t="shared" si="33"/>
        <v>Terrenos</v>
      </c>
      <c r="Z123" s="64" t="str">
        <f t="shared" si="34"/>
        <v/>
      </c>
      <c r="AA123" s="64" t="str">
        <f t="shared" si="29"/>
        <v>PROPIEDADES, PLANTA Y EQUIPO_PROPIEDADES, PLANTA Y EQUIPO POR CONTRATOS DE ARRENDAMIENTO FINANCIERO_Terrenos_</v>
      </c>
    </row>
    <row r="124" spans="1:27">
      <c r="A124" s="53"/>
      <c r="B124" s="53"/>
      <c r="C124" s="53"/>
      <c r="D124" s="53"/>
      <c r="E124" s="53"/>
      <c r="F124" s="235" t="s">
        <v>204</v>
      </c>
      <c r="G124" s="235" t="s">
        <v>205</v>
      </c>
      <c r="H124" s="235"/>
      <c r="I124" s="235"/>
      <c r="J124" s="235"/>
      <c r="K124" s="235" t="s">
        <v>205</v>
      </c>
      <c r="L124" s="235" t="s">
        <v>205</v>
      </c>
      <c r="M124" s="235" t="s">
        <v>205</v>
      </c>
      <c r="N124" s="9" t="s">
        <v>206</v>
      </c>
      <c r="O124" s="55" t="e">
        <f>VLOOKUP(N124,Casilleros!$A$4:$Q$830,17,FALSE)</f>
        <v>#REF!</v>
      </c>
      <c r="S124" s="61" t="str">
        <f t="shared" si="31"/>
        <v>377</v>
      </c>
      <c r="T124" s="64" t="str">
        <f t="shared" si="30"/>
        <v>ESTADO DE SITUACIÓN FINANCIERA</v>
      </c>
      <c r="U124" s="64" t="str">
        <f t="shared" si="26"/>
        <v>ACTIVO</v>
      </c>
      <c r="V124" s="64" t="str">
        <f t="shared" si="27"/>
        <v>ACTIVOS  NO CORRIENTES</v>
      </c>
      <c r="W124" s="64" t="str">
        <f t="shared" si="28"/>
        <v>PROPIEDADES, PLANTA Y EQUIPO</v>
      </c>
      <c r="X124" s="64" t="str">
        <f t="shared" si="32"/>
        <v>PROPIEDADES, PLANTA Y EQUIPO POR CONTRATOS DE ARRENDAMIENTO FINANCIERO</v>
      </c>
      <c r="Y124" s="64" t="str">
        <f t="shared" si="33"/>
        <v>Edificios y otros inmuebles (excepto terrenos)</v>
      </c>
      <c r="Z124" s="64" t="str">
        <f t="shared" si="34"/>
        <v/>
      </c>
      <c r="AA124" s="64" t="str">
        <f t="shared" si="29"/>
        <v>PROPIEDADES, PLANTA Y EQUIPO_PROPIEDADES, PLANTA Y EQUIPO POR CONTRATOS DE ARRENDAMIENTO FINANCIERO_Edificios y otros inmuebles (excepto terrenos)_</v>
      </c>
    </row>
    <row r="125" spans="1:27">
      <c r="A125" s="53"/>
      <c r="B125" s="53"/>
      <c r="C125" s="53"/>
      <c r="D125" s="53"/>
      <c r="E125" s="53"/>
      <c r="F125" s="235" t="s">
        <v>207</v>
      </c>
      <c r="G125" s="235" t="s">
        <v>208</v>
      </c>
      <c r="H125" s="235"/>
      <c r="I125" s="235"/>
      <c r="J125" s="235"/>
      <c r="K125" s="235" t="s">
        <v>208</v>
      </c>
      <c r="L125" s="235" t="s">
        <v>208</v>
      </c>
      <c r="M125" s="235" t="s">
        <v>208</v>
      </c>
      <c r="N125" s="9" t="s">
        <v>209</v>
      </c>
      <c r="O125" s="55" t="e">
        <f>VLOOKUP(N125,Casilleros!$A$4:$Q$830,17,FALSE)</f>
        <v>#REF!</v>
      </c>
      <c r="S125" s="61" t="str">
        <f t="shared" si="31"/>
        <v>378</v>
      </c>
      <c r="T125" s="64" t="str">
        <f t="shared" si="30"/>
        <v>ESTADO DE SITUACIÓN FINANCIERA</v>
      </c>
      <c r="U125" s="64" t="str">
        <f t="shared" si="26"/>
        <v>ACTIVO</v>
      </c>
      <c r="V125" s="64" t="str">
        <f t="shared" si="27"/>
        <v>ACTIVOS  NO CORRIENTES</v>
      </c>
      <c r="W125" s="64" t="str">
        <f t="shared" si="28"/>
        <v>PROPIEDADES, PLANTA Y EQUIPO</v>
      </c>
      <c r="X125" s="64" t="str">
        <f t="shared" si="32"/>
        <v>PROPIEDADES, PLANTA Y EQUIPO POR CONTRATOS DE ARRENDAMIENTO FINANCIERO</v>
      </c>
      <c r="Y125" s="64" t="str">
        <f t="shared" si="33"/>
        <v>Naves, aeronaves, barcazas y similares</v>
      </c>
      <c r="Z125" s="64" t="str">
        <f t="shared" si="34"/>
        <v/>
      </c>
      <c r="AA125" s="64" t="str">
        <f t="shared" si="29"/>
        <v>PROPIEDADES, PLANTA Y EQUIPO_PROPIEDADES, PLANTA Y EQUIPO POR CONTRATOS DE ARRENDAMIENTO FINANCIERO_Naves, aeronaves, barcazas y similares_</v>
      </c>
    </row>
    <row r="126" spans="1:27">
      <c r="A126" s="53"/>
      <c r="B126" s="53"/>
      <c r="C126" s="53"/>
      <c r="D126" s="53"/>
      <c r="E126" s="53"/>
      <c r="F126" s="235" t="s">
        <v>210</v>
      </c>
      <c r="G126" s="235" t="s">
        <v>211</v>
      </c>
      <c r="H126" s="235"/>
      <c r="I126" s="235"/>
      <c r="J126" s="235"/>
      <c r="K126" s="235" t="s">
        <v>211</v>
      </c>
      <c r="L126" s="235" t="s">
        <v>211</v>
      </c>
      <c r="M126" s="235" t="s">
        <v>211</v>
      </c>
      <c r="N126" s="9" t="s">
        <v>212</v>
      </c>
      <c r="O126" s="55" t="e">
        <f>VLOOKUP(N126,Casilleros!$A$4:$Q$830,17,FALSE)</f>
        <v>#REF!</v>
      </c>
      <c r="S126" s="61" t="str">
        <f t="shared" si="31"/>
        <v>379</v>
      </c>
      <c r="T126" s="64" t="str">
        <f t="shared" si="30"/>
        <v>ESTADO DE SITUACIÓN FINANCIERA</v>
      </c>
      <c r="U126" s="64" t="str">
        <f t="shared" si="26"/>
        <v>ACTIVO</v>
      </c>
      <c r="V126" s="64" t="str">
        <f t="shared" si="27"/>
        <v>ACTIVOS  NO CORRIENTES</v>
      </c>
      <c r="W126" s="64" t="str">
        <f t="shared" si="28"/>
        <v>PROPIEDADES, PLANTA Y EQUIPO</v>
      </c>
      <c r="X126" s="64" t="str">
        <f t="shared" si="32"/>
        <v>PROPIEDADES, PLANTA Y EQUIPO POR CONTRATOS DE ARRENDAMIENTO FINANCIERO</v>
      </c>
      <c r="Y126" s="64" t="str">
        <f t="shared" si="33"/>
        <v>Maquinaria, equipo, instalaciones y adecuaciones</v>
      </c>
      <c r="Z126" s="64" t="str">
        <f t="shared" si="34"/>
        <v/>
      </c>
      <c r="AA126" s="64" t="str">
        <f t="shared" si="29"/>
        <v>PROPIEDADES, PLANTA Y EQUIPO_PROPIEDADES, PLANTA Y EQUIPO POR CONTRATOS DE ARRENDAMIENTO FINANCIERO_Maquinaria, equipo, instalaciones y adecuaciones_</v>
      </c>
    </row>
    <row r="127" spans="1:27">
      <c r="A127" s="53"/>
      <c r="B127" s="53"/>
      <c r="C127" s="53"/>
      <c r="D127" s="53"/>
      <c r="E127" s="53"/>
      <c r="F127" s="235" t="s">
        <v>213</v>
      </c>
      <c r="G127" s="235" t="s">
        <v>197</v>
      </c>
      <c r="H127" s="235"/>
      <c r="I127" s="235"/>
      <c r="J127" s="235"/>
      <c r="K127" s="235" t="s">
        <v>197</v>
      </c>
      <c r="L127" s="235" t="s">
        <v>197</v>
      </c>
      <c r="M127" s="235" t="s">
        <v>197</v>
      </c>
      <c r="N127" s="9" t="s">
        <v>214</v>
      </c>
      <c r="O127" s="55" t="e">
        <f>VLOOKUP(N127,Casilleros!$A$4:$Q$830,17,FALSE)</f>
        <v>#REF!</v>
      </c>
      <c r="S127" s="61" t="str">
        <f t="shared" si="31"/>
        <v>380</v>
      </c>
      <c r="T127" s="64" t="str">
        <f t="shared" si="30"/>
        <v>ESTADO DE SITUACIÓN FINANCIERA</v>
      </c>
      <c r="U127" s="64" t="str">
        <f t="shared" si="26"/>
        <v>ACTIVO</v>
      </c>
      <c r="V127" s="64" t="str">
        <f t="shared" si="27"/>
        <v>ACTIVOS  NO CORRIENTES</v>
      </c>
      <c r="W127" s="64" t="str">
        <f t="shared" si="28"/>
        <v>PROPIEDADES, PLANTA Y EQUIPO</v>
      </c>
      <c r="X127" s="64" t="str">
        <f t="shared" si="32"/>
        <v>PROPIEDADES, PLANTA Y EQUIPO POR CONTRATOS DE ARRENDAMIENTO FINANCIERO</v>
      </c>
      <c r="Y127" s="64" t="str">
        <f t="shared" si="33"/>
        <v>Equipo de computación</v>
      </c>
      <c r="Z127" s="64" t="str">
        <f t="shared" si="34"/>
        <v/>
      </c>
      <c r="AA127" s="64" t="str">
        <f t="shared" si="29"/>
        <v>PROPIEDADES, PLANTA Y EQUIPO_PROPIEDADES, PLANTA Y EQUIPO POR CONTRATOS DE ARRENDAMIENTO FINANCIERO_Equipo de computación_</v>
      </c>
    </row>
    <row r="128" spans="1:27">
      <c r="A128" s="53"/>
      <c r="B128" s="53"/>
      <c r="C128" s="53"/>
      <c r="D128" s="53"/>
      <c r="E128" s="53"/>
      <c r="F128" s="235" t="s">
        <v>215</v>
      </c>
      <c r="G128" s="235" t="s">
        <v>216</v>
      </c>
      <c r="H128" s="235"/>
      <c r="I128" s="235"/>
      <c r="J128" s="235"/>
      <c r="K128" s="235" t="s">
        <v>216</v>
      </c>
      <c r="L128" s="235" t="s">
        <v>216</v>
      </c>
      <c r="M128" s="235" t="s">
        <v>216</v>
      </c>
      <c r="N128" s="9" t="s">
        <v>217</v>
      </c>
      <c r="O128" s="55" t="e">
        <f>VLOOKUP(N128,Casilleros!$A$4:$Q$830,17,FALSE)</f>
        <v>#REF!</v>
      </c>
      <c r="S128" s="61" t="str">
        <f t="shared" si="31"/>
        <v>381</v>
      </c>
      <c r="T128" s="64" t="str">
        <f t="shared" si="30"/>
        <v>ESTADO DE SITUACIÓN FINANCIERA</v>
      </c>
      <c r="U128" s="64" t="str">
        <f t="shared" si="26"/>
        <v>ACTIVO</v>
      </c>
      <c r="V128" s="64" t="str">
        <f t="shared" si="27"/>
        <v>ACTIVOS  NO CORRIENTES</v>
      </c>
      <c r="W128" s="64" t="str">
        <f t="shared" si="28"/>
        <v>PROPIEDADES, PLANTA Y EQUIPO</v>
      </c>
      <c r="X128" s="64" t="str">
        <f t="shared" si="32"/>
        <v>PROPIEDADES, PLANTA Y EQUIPO POR CONTRATOS DE ARRENDAMIENTO FINANCIERO</v>
      </c>
      <c r="Y128" s="64" t="str">
        <f t="shared" si="33"/>
        <v>Vehículos, equipo de transporte y caminero móvil</v>
      </c>
      <c r="Z128" s="64" t="str">
        <f t="shared" si="34"/>
        <v/>
      </c>
      <c r="AA128" s="64" t="str">
        <f t="shared" si="29"/>
        <v>PROPIEDADES, PLANTA Y EQUIPO_PROPIEDADES, PLANTA Y EQUIPO POR CONTRATOS DE ARRENDAMIENTO FINANCIERO_Vehículos, equipo de transporte y caminero móvil_</v>
      </c>
    </row>
    <row r="129" spans="1:27">
      <c r="A129" s="53"/>
      <c r="B129" s="53"/>
      <c r="C129" s="53"/>
      <c r="D129" s="53"/>
      <c r="E129" s="53"/>
      <c r="F129" s="235" t="s">
        <v>122</v>
      </c>
      <c r="G129" s="235" t="s">
        <v>218</v>
      </c>
      <c r="H129" s="235"/>
      <c r="I129" s="235"/>
      <c r="J129" s="235"/>
      <c r="K129" s="235" t="s">
        <v>218</v>
      </c>
      <c r="L129" s="235" t="s">
        <v>218</v>
      </c>
      <c r="M129" s="235" t="s">
        <v>218</v>
      </c>
      <c r="N129" s="9" t="s">
        <v>219</v>
      </c>
      <c r="O129" s="55" t="e">
        <f>VLOOKUP(N129,Casilleros!$A$4:$Q$830,17,FALSE)</f>
        <v>#REF!</v>
      </c>
      <c r="S129" s="61" t="str">
        <f t="shared" si="31"/>
        <v>382</v>
      </c>
      <c r="T129" s="64" t="str">
        <f t="shared" si="30"/>
        <v>ESTADO DE SITUACIÓN FINANCIERA</v>
      </c>
      <c r="U129" s="64" t="str">
        <f t="shared" si="26"/>
        <v>ACTIVO</v>
      </c>
      <c r="V129" s="64" t="str">
        <f t="shared" si="27"/>
        <v>ACTIVOS  NO CORRIENTES</v>
      </c>
      <c r="W129" s="64" t="str">
        <f t="shared" si="28"/>
        <v>PROPIEDADES, PLANTA Y EQUIPO</v>
      </c>
      <c r="X129" s="64" t="str">
        <f t="shared" si="32"/>
        <v>PROPIEDADES, PLANTA Y EQUIPO POR CONTRATOS DE ARRENDAMIENTO FINANCIERO</v>
      </c>
      <c r="Y129" s="64" t="str">
        <f t="shared" si="33"/>
        <v>Otros</v>
      </c>
      <c r="Z129" s="64" t="str">
        <f t="shared" si="34"/>
        <v/>
      </c>
      <c r="AA129" s="64" t="str">
        <f t="shared" si="29"/>
        <v>PROPIEDADES, PLANTA Y EQUIPO_PROPIEDADES, PLANTA Y EQUIPO POR CONTRATOS DE ARRENDAMIENTO FINANCIERO_Otros_</v>
      </c>
    </row>
    <row r="130" spans="1:27">
      <c r="A130" s="53"/>
      <c r="B130" s="53"/>
      <c r="C130" s="53"/>
      <c r="D130" s="53"/>
      <c r="E130" s="243" t="s">
        <v>220</v>
      </c>
      <c r="F130" s="243"/>
      <c r="G130" s="243"/>
      <c r="H130" s="243"/>
      <c r="I130" s="243"/>
      <c r="J130" s="243"/>
      <c r="K130" s="243"/>
      <c r="L130" s="243"/>
      <c r="M130" s="243"/>
      <c r="N130" s="9" t="s">
        <v>221</v>
      </c>
      <c r="O130" s="55" t="e">
        <f>VLOOKUP(N130,Casilleros!$A$4:$Q$830,17,FALSE)</f>
        <v>#REF!</v>
      </c>
      <c r="S130" s="61" t="str">
        <f t="shared" si="31"/>
        <v>383</v>
      </c>
      <c r="T130" s="64" t="str">
        <f t="shared" si="30"/>
        <v>ESTADO DE SITUACIÓN FINANCIERA</v>
      </c>
      <c r="U130" s="64" t="str">
        <f t="shared" si="26"/>
        <v>ACTIVO</v>
      </c>
      <c r="V130" s="64" t="str">
        <f t="shared" si="27"/>
        <v>ACTIVOS  NO CORRIENTES</v>
      </c>
      <c r="W130" s="64" t="str">
        <f t="shared" si="28"/>
        <v>PROPIEDADES, PLANTA Y EQUIPO</v>
      </c>
      <c r="X130" s="64" t="str">
        <f t="shared" si="32"/>
        <v>Otras Propiedades, Planta y Equipo</v>
      </c>
      <c r="Y130" s="64" t="str">
        <f t="shared" si="33"/>
        <v/>
      </c>
      <c r="Z130" s="64" t="str">
        <f t="shared" si="34"/>
        <v/>
      </c>
      <c r="AA130" s="64" t="str">
        <f t="shared" si="29"/>
        <v>PROPIEDADES, PLANTA Y EQUIPO_Otras Propiedades, Planta y Equipo__</v>
      </c>
    </row>
    <row r="131" spans="1:27">
      <c r="A131" s="53"/>
      <c r="B131" s="53"/>
      <c r="C131" s="53"/>
      <c r="D131" s="53"/>
      <c r="E131" s="239" t="s">
        <v>222</v>
      </c>
      <c r="F131" s="239"/>
      <c r="G131" s="239"/>
      <c r="H131" s="239"/>
      <c r="I131" s="239"/>
      <c r="J131" s="239"/>
      <c r="K131" s="239"/>
      <c r="L131" s="239"/>
      <c r="M131" s="239"/>
      <c r="N131" s="239"/>
      <c r="O131" s="239"/>
      <c r="S131" s="61">
        <f t="shared" si="31"/>
        <v>0</v>
      </c>
      <c r="T131" s="64" t="str">
        <f t="shared" si="30"/>
        <v>ESTADO DE SITUACIÓN FINANCIERA</v>
      </c>
      <c r="U131" s="64" t="str">
        <f t="shared" si="26"/>
        <v>ACTIVO</v>
      </c>
      <c r="V131" s="64" t="str">
        <f t="shared" si="27"/>
        <v>ACTIVOS  NO CORRIENTES</v>
      </c>
      <c r="W131" s="64" t="str">
        <f t="shared" si="28"/>
        <v>PROPIEDADES, PLANTA Y EQUIPO</v>
      </c>
      <c r="X131" s="64" t="str">
        <f t="shared" si="32"/>
        <v>(-) DEPRECIACIÒN ACUMULADA DE PROPIEDADES, PLANTA Y EQUIPO</v>
      </c>
      <c r="Y131" s="64" t="str">
        <f t="shared" si="33"/>
        <v/>
      </c>
      <c r="Z131" s="64" t="str">
        <f t="shared" si="34"/>
        <v/>
      </c>
      <c r="AA131" s="64" t="str">
        <f t="shared" si="29"/>
        <v>PROPIEDADES, PLANTA Y EQUIPO_(-) DEPRECIACIÒN ACUMULADA DE PROPIEDADES, PLANTA Y EQUIPO__</v>
      </c>
    </row>
    <row r="132" spans="1:27">
      <c r="A132" s="53"/>
      <c r="B132" s="53"/>
      <c r="C132" s="53"/>
      <c r="D132" s="53"/>
      <c r="E132" s="53"/>
      <c r="F132" s="235" t="s">
        <v>223</v>
      </c>
      <c r="G132" s="235"/>
      <c r="H132" s="235"/>
      <c r="I132" s="235"/>
      <c r="J132" s="235"/>
      <c r="K132" s="235"/>
      <c r="L132" s="235"/>
      <c r="M132" s="235"/>
      <c r="N132" s="9" t="s">
        <v>224</v>
      </c>
      <c r="O132" s="74" t="e">
        <f>VLOOKUP(N132,Casilleros!$A$4:$Q$830,17,FALSE)</f>
        <v>#REF!</v>
      </c>
      <c r="S132" s="61" t="str">
        <f t="shared" si="31"/>
        <v>384</v>
      </c>
      <c r="T132" s="64" t="str">
        <f t="shared" si="30"/>
        <v>ESTADO DE SITUACIÓN FINANCIERA</v>
      </c>
      <c r="U132" s="64" t="str">
        <f t="shared" si="26"/>
        <v>ACTIVO</v>
      </c>
      <c r="V132" s="64" t="str">
        <f t="shared" si="27"/>
        <v>ACTIVOS  NO CORRIENTES</v>
      </c>
      <c r="W132" s="64" t="str">
        <f t="shared" si="28"/>
        <v>PROPIEDADES, PLANTA Y EQUIPO</v>
      </c>
      <c r="X132" s="64" t="str">
        <f t="shared" si="32"/>
        <v>(-) DEPRECIACIÒN ACUMULADA DE PROPIEDADES, PLANTA Y EQUIPO</v>
      </c>
      <c r="Y132" s="64" t="str">
        <f t="shared" si="33"/>
        <v>Del costo histórico antes de reexpresiones o revaluaciones</v>
      </c>
      <c r="Z132" s="64" t="str">
        <f t="shared" si="34"/>
        <v/>
      </c>
      <c r="AA132" s="64" t="str">
        <f t="shared" si="29"/>
        <v>PROPIEDADES, PLANTA Y EQUIPO_(-) DEPRECIACIÒN ACUMULADA DE PROPIEDADES, PLANTA Y EQUIPO_Del costo histórico antes de reexpresiones o revaluaciones_</v>
      </c>
    </row>
    <row r="133" spans="1:27">
      <c r="A133" s="53"/>
      <c r="B133" s="53"/>
      <c r="C133" s="53"/>
      <c r="D133" s="53"/>
      <c r="E133" s="53"/>
      <c r="F133" s="235" t="s">
        <v>225</v>
      </c>
      <c r="G133" s="235"/>
      <c r="H133" s="235"/>
      <c r="I133" s="235"/>
      <c r="J133" s="235"/>
      <c r="K133" s="235"/>
      <c r="L133" s="235"/>
      <c r="M133" s="235"/>
      <c r="N133" s="9" t="s">
        <v>226</v>
      </c>
      <c r="O133" s="55" t="e">
        <f>VLOOKUP(N133,Casilleros!$A$4:$Q$830,17,FALSE)</f>
        <v>#REF!</v>
      </c>
      <c r="S133" s="61" t="str">
        <f t="shared" si="31"/>
        <v>385</v>
      </c>
      <c r="T133" s="64" t="str">
        <f t="shared" si="30"/>
        <v>ESTADO DE SITUACIÓN FINANCIERA</v>
      </c>
      <c r="U133" s="64" t="str">
        <f t="shared" si="26"/>
        <v>ACTIVO</v>
      </c>
      <c r="V133" s="64" t="str">
        <f t="shared" si="27"/>
        <v>ACTIVOS  NO CORRIENTES</v>
      </c>
      <c r="W133" s="64" t="str">
        <f t="shared" si="28"/>
        <v>PROPIEDADES, PLANTA Y EQUIPO</v>
      </c>
      <c r="X133" s="64" t="str">
        <f t="shared" si="32"/>
        <v>(-) DEPRECIACIÒN ACUMULADA DE PROPIEDADES, PLANTA Y EQUIPO</v>
      </c>
      <c r="Y133" s="64" t="str">
        <f t="shared" si="33"/>
        <v>Del ajuste acumulado por reexpresiones o revaluaciones</v>
      </c>
      <c r="Z133" s="64" t="str">
        <f t="shared" si="34"/>
        <v/>
      </c>
      <c r="AA133" s="64" t="str">
        <f t="shared" si="29"/>
        <v>PROPIEDADES, PLANTA Y EQUIPO_(-) DEPRECIACIÒN ACUMULADA DE PROPIEDADES, PLANTA Y EQUIPO_Del ajuste acumulado por reexpresiones o revaluaciones_</v>
      </c>
    </row>
    <row r="134" spans="1:27">
      <c r="A134" s="53"/>
      <c r="B134" s="53"/>
      <c r="C134" s="53"/>
      <c r="D134" s="53"/>
      <c r="E134" s="243" t="s">
        <v>227</v>
      </c>
      <c r="F134" s="243"/>
      <c r="G134" s="243"/>
      <c r="H134" s="243"/>
      <c r="I134" s="243"/>
      <c r="J134" s="243"/>
      <c r="K134" s="243"/>
      <c r="L134" s="243"/>
      <c r="M134" s="243"/>
      <c r="N134" s="9" t="s">
        <v>228</v>
      </c>
      <c r="O134" s="55" t="e">
        <f>VLOOKUP(N134,Casilleros!$A$4:$Q$830,17,FALSE)</f>
        <v>#REF!</v>
      </c>
      <c r="S134" s="61" t="str">
        <f t="shared" si="31"/>
        <v>386</v>
      </c>
      <c r="T134" s="64" t="str">
        <f t="shared" si="30"/>
        <v>ESTADO DE SITUACIÓN FINANCIERA</v>
      </c>
      <c r="U134" s="64" t="str">
        <f t="shared" si="26"/>
        <v>ACTIVO</v>
      </c>
      <c r="V134" s="64" t="str">
        <f t="shared" si="27"/>
        <v>ACTIVOS  NO CORRIENTES</v>
      </c>
      <c r="W134" s="64" t="str">
        <f t="shared" si="28"/>
        <v>PROPIEDADES, PLANTA Y EQUIPO</v>
      </c>
      <c r="X134" s="64" t="str">
        <f t="shared" si="32"/>
        <v>(-) Deterioro acumulado del valor de propiedades, planta y equipo</v>
      </c>
      <c r="Y134" s="64" t="str">
        <f t="shared" si="33"/>
        <v/>
      </c>
      <c r="Z134" s="64" t="str">
        <f t="shared" si="34"/>
        <v/>
      </c>
      <c r="AA134" s="64" t="str">
        <f t="shared" si="29"/>
        <v>PROPIEDADES, PLANTA Y EQUIPO_(-) Deterioro acumulado del valor de propiedades, planta y equipo__</v>
      </c>
    </row>
    <row r="135" spans="1:27">
      <c r="A135" s="53"/>
      <c r="B135" s="53"/>
      <c r="C135" s="53"/>
      <c r="D135" s="236" t="s">
        <v>229</v>
      </c>
      <c r="E135" s="236"/>
      <c r="F135" s="236"/>
      <c r="G135" s="236"/>
      <c r="H135" s="236"/>
      <c r="I135" s="236"/>
      <c r="J135" s="236"/>
      <c r="K135" s="236"/>
      <c r="L135" s="236"/>
      <c r="M135" s="236"/>
      <c r="N135" s="236"/>
      <c r="O135" s="236"/>
      <c r="S135" s="61">
        <f t="shared" si="31"/>
        <v>0</v>
      </c>
      <c r="T135" s="64" t="str">
        <f t="shared" si="30"/>
        <v>ESTADO DE SITUACIÓN FINANCIERA</v>
      </c>
      <c r="U135" s="64" t="str">
        <f t="shared" si="26"/>
        <v>ACTIVO</v>
      </c>
      <c r="V135" s="64" t="str">
        <f t="shared" si="27"/>
        <v>ACTIVOS  NO CORRIENTES</v>
      </c>
      <c r="W135" s="64" t="str">
        <f t="shared" si="28"/>
        <v>ACTIVOS INTANGIBLES</v>
      </c>
      <c r="X135" s="64" t="str">
        <f t="shared" si="32"/>
        <v/>
      </c>
      <c r="Y135" s="64" t="str">
        <f t="shared" si="33"/>
        <v/>
      </c>
      <c r="Z135" s="64" t="str">
        <f t="shared" si="34"/>
        <v/>
      </c>
      <c r="AA135" s="64" t="str">
        <f t="shared" si="29"/>
        <v>ACTIVOS INTANGIBLES</v>
      </c>
    </row>
    <row r="136" spans="1:27">
      <c r="A136" s="53"/>
      <c r="B136" s="53"/>
      <c r="C136" s="53"/>
      <c r="D136" s="53"/>
      <c r="E136" s="235" t="s">
        <v>230</v>
      </c>
      <c r="F136" s="235"/>
      <c r="G136" s="235"/>
      <c r="H136" s="235"/>
      <c r="I136" s="235"/>
      <c r="J136" s="235"/>
      <c r="K136" s="235"/>
      <c r="L136" s="235"/>
      <c r="M136" s="235"/>
      <c r="N136" s="9" t="s">
        <v>231</v>
      </c>
      <c r="O136" s="55" t="e">
        <f>VLOOKUP(N136,Casilleros!$A$4:$Q$830,17,FALSE)</f>
        <v>#REF!</v>
      </c>
      <c r="S136" s="61" t="str">
        <f t="shared" si="31"/>
        <v>387</v>
      </c>
      <c r="T136" s="64" t="str">
        <f t="shared" si="30"/>
        <v>ESTADO DE SITUACIÓN FINANCIERA</v>
      </c>
      <c r="U136" s="64" t="str">
        <f t="shared" si="26"/>
        <v>ACTIVO</v>
      </c>
      <c r="V136" s="64" t="str">
        <f t="shared" si="27"/>
        <v>ACTIVOS  NO CORRIENTES</v>
      </c>
      <c r="W136" s="64" t="str">
        <f t="shared" si="28"/>
        <v>ACTIVOS INTANGIBLES</v>
      </c>
      <c r="X136" s="64" t="str">
        <f t="shared" si="32"/>
        <v>Plusvalía o goodwill (derecho de llave)</v>
      </c>
      <c r="Y136" s="64" t="str">
        <f t="shared" si="33"/>
        <v/>
      </c>
      <c r="Z136" s="64" t="str">
        <f t="shared" si="34"/>
        <v/>
      </c>
      <c r="AA136" s="64" t="str">
        <f t="shared" si="29"/>
        <v>ACTIVOS INTANGIBLES_Plusvalía o goodwill (derecho de llave)__</v>
      </c>
    </row>
    <row r="137" spans="1:27">
      <c r="A137" s="53"/>
      <c r="B137" s="53"/>
      <c r="C137" s="53"/>
      <c r="D137" s="53"/>
      <c r="E137" s="235" t="s">
        <v>232</v>
      </c>
      <c r="F137" s="235"/>
      <c r="G137" s="235"/>
      <c r="H137" s="235"/>
      <c r="I137" s="235"/>
      <c r="J137" s="235"/>
      <c r="K137" s="235"/>
      <c r="L137" s="235"/>
      <c r="M137" s="235"/>
      <c r="N137" s="9" t="s">
        <v>233</v>
      </c>
      <c r="O137" s="55" t="e">
        <f>VLOOKUP(N137,Casilleros!$A$4:$Q$830,17,FALSE)</f>
        <v>#REF!</v>
      </c>
      <c r="S137" s="61" t="str">
        <f t="shared" si="31"/>
        <v>388</v>
      </c>
      <c r="T137" s="64" t="str">
        <f t="shared" si="30"/>
        <v>ESTADO DE SITUACIÓN FINANCIERA</v>
      </c>
      <c r="U137" s="64" t="str">
        <f t="shared" si="26"/>
        <v>ACTIVO</v>
      </c>
      <c r="V137" s="64" t="str">
        <f t="shared" si="27"/>
        <v>ACTIVOS  NO CORRIENTES</v>
      </c>
      <c r="W137" s="64" t="str">
        <f t="shared" si="28"/>
        <v>ACTIVOS INTANGIBLES</v>
      </c>
      <c r="X137" s="64" t="str">
        <f t="shared" si="32"/>
        <v>Marcas, patentes, licencias y otros similares</v>
      </c>
      <c r="Y137" s="64" t="str">
        <f t="shared" si="33"/>
        <v/>
      </c>
      <c r="Z137" s="64" t="str">
        <f t="shared" si="34"/>
        <v/>
      </c>
      <c r="AA137" s="64" t="str">
        <f t="shared" si="29"/>
        <v>ACTIVOS INTANGIBLES_Marcas, patentes, licencias y otros similares__</v>
      </c>
    </row>
    <row r="138" spans="1:27">
      <c r="A138" s="53"/>
      <c r="B138" s="53"/>
      <c r="C138" s="53"/>
      <c r="D138" s="53"/>
      <c r="E138" s="235" t="s">
        <v>234</v>
      </c>
      <c r="F138" s="235"/>
      <c r="G138" s="235"/>
      <c r="H138" s="235"/>
      <c r="I138" s="235"/>
      <c r="J138" s="235"/>
      <c r="K138" s="235"/>
      <c r="L138" s="235"/>
      <c r="M138" s="235"/>
      <c r="N138" s="9" t="s">
        <v>235</v>
      </c>
      <c r="O138" s="55" t="e">
        <f>VLOOKUP(N138,Casilleros!$A$4:$Q$830,17,FALSE)</f>
        <v>#REF!</v>
      </c>
      <c r="S138" s="61" t="str">
        <f t="shared" si="31"/>
        <v>389</v>
      </c>
      <c r="T138" s="64" t="str">
        <f t="shared" si="30"/>
        <v>ESTADO DE SITUACIÓN FINANCIERA</v>
      </c>
      <c r="U138" s="64" t="str">
        <f t="shared" si="26"/>
        <v>ACTIVO</v>
      </c>
      <c r="V138" s="64" t="str">
        <f t="shared" si="27"/>
        <v>ACTIVOS  NO CORRIENTES</v>
      </c>
      <c r="W138" s="64" t="str">
        <f t="shared" si="28"/>
        <v>ACTIVOS INTANGIBLES</v>
      </c>
      <c r="X138" s="64" t="str">
        <f t="shared" si="32"/>
        <v>Adecuaciones y mejoras en bienes arrendados mediante arrendamiento operativo</v>
      </c>
      <c r="Y138" s="64" t="str">
        <f t="shared" si="33"/>
        <v/>
      </c>
      <c r="Z138" s="64" t="str">
        <f t="shared" si="34"/>
        <v/>
      </c>
      <c r="AA138" s="64" t="str">
        <f t="shared" si="29"/>
        <v>ACTIVOS INTANGIBLES_Adecuaciones y mejoras en bienes arrendados mediante arrendamiento operativo__</v>
      </c>
    </row>
    <row r="139" spans="1:27">
      <c r="A139" s="53"/>
      <c r="B139" s="53"/>
      <c r="C139" s="53"/>
      <c r="D139" s="53"/>
      <c r="E139" s="235" t="s">
        <v>236</v>
      </c>
      <c r="F139" s="235"/>
      <c r="G139" s="235"/>
      <c r="H139" s="235"/>
      <c r="I139" s="235"/>
      <c r="J139" s="235"/>
      <c r="K139" s="235"/>
      <c r="L139" s="235"/>
      <c r="M139" s="235"/>
      <c r="N139" s="9" t="s">
        <v>237</v>
      </c>
      <c r="O139" s="55" t="e">
        <f>VLOOKUP(N139,Casilleros!$A$4:$Q$830,17,FALSE)</f>
        <v>#REF!</v>
      </c>
      <c r="S139" s="61" t="str">
        <f t="shared" si="31"/>
        <v>390</v>
      </c>
      <c r="T139" s="64" t="str">
        <f t="shared" si="30"/>
        <v>ESTADO DE SITUACIÓN FINANCIERA</v>
      </c>
      <c r="U139" s="64" t="str">
        <f t="shared" si="26"/>
        <v>ACTIVO</v>
      </c>
      <c r="V139" s="64" t="str">
        <f t="shared" si="27"/>
        <v>ACTIVOS  NO CORRIENTES</v>
      </c>
      <c r="W139" s="64" t="str">
        <f t="shared" si="28"/>
        <v>ACTIVOS INTANGIBLES</v>
      </c>
      <c r="X139" s="64" t="str">
        <f t="shared" si="32"/>
        <v>Derechos en acuerdos de concesión</v>
      </c>
      <c r="Y139" s="64" t="str">
        <f t="shared" si="33"/>
        <v/>
      </c>
      <c r="Z139" s="64" t="str">
        <f t="shared" si="34"/>
        <v/>
      </c>
      <c r="AA139" s="64" t="str">
        <f t="shared" si="29"/>
        <v>ACTIVOS INTANGIBLES_Derechos en acuerdos de concesión__</v>
      </c>
    </row>
    <row r="140" spans="1:27">
      <c r="A140" s="53"/>
      <c r="B140" s="53"/>
      <c r="C140" s="53"/>
      <c r="D140" s="53"/>
      <c r="E140" s="235" t="s">
        <v>122</v>
      </c>
      <c r="F140" s="235"/>
      <c r="G140" s="235"/>
      <c r="H140" s="235"/>
      <c r="I140" s="235"/>
      <c r="J140" s="235"/>
      <c r="K140" s="235"/>
      <c r="L140" s="235"/>
      <c r="M140" s="235"/>
      <c r="N140" s="9" t="s">
        <v>238</v>
      </c>
      <c r="O140" s="55" t="e">
        <f>VLOOKUP(N140,Casilleros!$A$4:$Q$830,17,FALSE)</f>
        <v>#REF!</v>
      </c>
      <c r="S140" s="61" t="str">
        <f t="shared" si="31"/>
        <v>391</v>
      </c>
      <c r="T140" s="64" t="str">
        <f t="shared" si="30"/>
        <v>ESTADO DE SITUACIÓN FINANCIERA</v>
      </c>
      <c r="U140" s="64" t="str">
        <f t="shared" si="26"/>
        <v>ACTIVO</v>
      </c>
      <c r="V140" s="64" t="str">
        <f t="shared" si="27"/>
        <v>ACTIVOS  NO CORRIENTES</v>
      </c>
      <c r="W140" s="64" t="str">
        <f t="shared" si="28"/>
        <v>ACTIVOS INTANGIBLES</v>
      </c>
      <c r="X140" s="64" t="str">
        <f t="shared" si="32"/>
        <v>Otros</v>
      </c>
      <c r="Y140" s="64" t="str">
        <f t="shared" si="33"/>
        <v/>
      </c>
      <c r="Z140" s="64" t="str">
        <f t="shared" si="34"/>
        <v/>
      </c>
      <c r="AA140" s="64" t="str">
        <f t="shared" si="29"/>
        <v>ACTIVOS INTANGIBLES_Otros__</v>
      </c>
    </row>
    <row r="141" spans="1:27">
      <c r="A141" s="53"/>
      <c r="B141" s="53"/>
      <c r="C141" s="53"/>
      <c r="D141" s="53"/>
      <c r="E141" s="235" t="s">
        <v>239</v>
      </c>
      <c r="F141" s="235"/>
      <c r="G141" s="235"/>
      <c r="H141" s="235"/>
      <c r="I141" s="235"/>
      <c r="J141" s="235"/>
      <c r="K141" s="235"/>
      <c r="L141" s="235"/>
      <c r="M141" s="235"/>
      <c r="N141" s="9" t="s">
        <v>240</v>
      </c>
      <c r="O141" s="55" t="e">
        <f>VLOOKUP(N141,Casilleros!$A$4:$Q$830,17,FALSE)</f>
        <v>#REF!</v>
      </c>
      <c r="S141" s="61" t="str">
        <f t="shared" si="31"/>
        <v>392</v>
      </c>
      <c r="T141" s="64" t="str">
        <f t="shared" si="30"/>
        <v>ESTADO DE SITUACIÓN FINANCIERA</v>
      </c>
      <c r="U141" s="64" t="str">
        <f t="shared" si="26"/>
        <v>ACTIVO</v>
      </c>
      <c r="V141" s="64" t="str">
        <f t="shared" si="27"/>
        <v>ACTIVOS  NO CORRIENTES</v>
      </c>
      <c r="W141" s="64" t="str">
        <f t="shared" si="28"/>
        <v>ACTIVOS INTANGIBLES</v>
      </c>
      <c r="X141" s="64" t="str">
        <f t="shared" si="32"/>
        <v>(-) Amortización acumulada de activos intangibles</v>
      </c>
      <c r="Y141" s="64" t="str">
        <f t="shared" si="33"/>
        <v/>
      </c>
      <c r="Z141" s="64" t="str">
        <f t="shared" si="34"/>
        <v/>
      </c>
      <c r="AA141" s="64" t="str">
        <f t="shared" si="29"/>
        <v>ACTIVOS INTANGIBLES_(-) Amortización acumulada de activos intangibles__</v>
      </c>
    </row>
    <row r="142" spans="1:27">
      <c r="A142" s="53"/>
      <c r="B142" s="53"/>
      <c r="C142" s="53"/>
      <c r="D142" s="53"/>
      <c r="E142" s="235" t="s">
        <v>241</v>
      </c>
      <c r="F142" s="235"/>
      <c r="G142" s="235"/>
      <c r="H142" s="235"/>
      <c r="I142" s="235"/>
      <c r="J142" s="235"/>
      <c r="K142" s="235"/>
      <c r="L142" s="235"/>
      <c r="M142" s="235"/>
      <c r="N142" s="9" t="s">
        <v>242</v>
      </c>
      <c r="O142" s="55" t="e">
        <f>VLOOKUP(N142,Casilleros!$A$4:$Q$830,17,FALSE)</f>
        <v>#REF!</v>
      </c>
      <c r="S142" s="61" t="str">
        <f t="shared" si="31"/>
        <v>393</v>
      </c>
      <c r="T142" s="64" t="str">
        <f t="shared" si="30"/>
        <v>ESTADO DE SITUACIÓN FINANCIERA</v>
      </c>
      <c r="U142" s="64" t="str">
        <f t="shared" si="26"/>
        <v>ACTIVO</v>
      </c>
      <c r="V142" s="64" t="str">
        <f t="shared" si="27"/>
        <v>ACTIVOS  NO CORRIENTES</v>
      </c>
      <c r="W142" s="64" t="str">
        <f t="shared" si="28"/>
        <v>ACTIVOS INTANGIBLES</v>
      </c>
      <c r="X142" s="64" t="str">
        <f t="shared" si="32"/>
        <v>(-) Deterioro acumulado de activos intangibles</v>
      </c>
      <c r="Y142" s="64" t="str">
        <f t="shared" si="33"/>
        <v/>
      </c>
      <c r="Z142" s="64" t="str">
        <f t="shared" si="34"/>
        <v/>
      </c>
      <c r="AA142" s="64" t="str">
        <f t="shared" si="29"/>
        <v>ACTIVOS INTANGIBLES_(-) Deterioro acumulado de activos intangibles__</v>
      </c>
    </row>
    <row r="143" spans="1:27">
      <c r="A143" s="53"/>
      <c r="B143" s="53"/>
      <c r="C143" s="53"/>
      <c r="D143" s="236" t="s">
        <v>243</v>
      </c>
      <c r="E143" s="236"/>
      <c r="F143" s="236"/>
      <c r="G143" s="236"/>
      <c r="H143" s="236"/>
      <c r="I143" s="236"/>
      <c r="J143" s="236"/>
      <c r="K143" s="236"/>
      <c r="L143" s="236"/>
      <c r="M143" s="236"/>
      <c r="N143" s="236"/>
      <c r="O143" s="236"/>
      <c r="S143" s="61">
        <f t="shared" si="31"/>
        <v>0</v>
      </c>
      <c r="T143" s="64" t="str">
        <f t="shared" si="30"/>
        <v>ESTADO DE SITUACIÓN FINANCIERA</v>
      </c>
      <c r="U143" s="64" t="str">
        <f t="shared" si="26"/>
        <v>ACTIVO</v>
      </c>
      <c r="V143" s="64" t="str">
        <f t="shared" si="27"/>
        <v>ACTIVOS  NO CORRIENTES</v>
      </c>
      <c r="W143" s="64" t="str">
        <f t="shared" si="28"/>
        <v>PROPIEDADES DE INVERSIÓN</v>
      </c>
      <c r="X143" s="64" t="str">
        <f t="shared" si="32"/>
        <v/>
      </c>
      <c r="Y143" s="64" t="str">
        <f t="shared" si="33"/>
        <v/>
      </c>
      <c r="Z143" s="64" t="str">
        <f t="shared" si="34"/>
        <v/>
      </c>
      <c r="AA143" s="64" t="str">
        <f t="shared" si="29"/>
        <v>PROPIEDADES DE INVERSIÓN</v>
      </c>
    </row>
    <row r="144" spans="1:27">
      <c r="A144" s="53"/>
      <c r="B144" s="53"/>
      <c r="C144" s="53"/>
      <c r="D144" s="53"/>
      <c r="E144" s="239" t="s">
        <v>174</v>
      </c>
      <c r="F144" s="239"/>
      <c r="G144" s="239"/>
      <c r="H144" s="239"/>
      <c r="I144" s="239"/>
      <c r="J144" s="239"/>
      <c r="K144" s="239"/>
      <c r="L144" s="239"/>
      <c r="M144" s="239"/>
      <c r="N144" s="239"/>
      <c r="O144" s="239"/>
      <c r="S144" s="61">
        <f t="shared" si="31"/>
        <v>0</v>
      </c>
      <c r="T144" s="64" t="str">
        <f t="shared" si="30"/>
        <v>ESTADO DE SITUACIÓN FINANCIERA</v>
      </c>
      <c r="U144" s="64" t="str">
        <f t="shared" si="26"/>
        <v>ACTIVO</v>
      </c>
      <c r="V144" s="64" t="str">
        <f t="shared" si="27"/>
        <v>ACTIVOS  NO CORRIENTES</v>
      </c>
      <c r="W144" s="64" t="str">
        <f t="shared" si="28"/>
        <v>PROPIEDADES DE INVERSIÓN</v>
      </c>
      <c r="X144" s="64" t="str">
        <f t="shared" si="32"/>
        <v>TERRENOS</v>
      </c>
      <c r="Y144" s="64" t="str">
        <f t="shared" si="33"/>
        <v/>
      </c>
      <c r="Z144" s="64" t="str">
        <f t="shared" si="34"/>
        <v/>
      </c>
      <c r="AA144" s="64" t="str">
        <f t="shared" si="29"/>
        <v>PROPIEDADES DE INVERSIÓN_TERRENOS__</v>
      </c>
    </row>
    <row r="145" spans="1:27">
      <c r="A145" s="53"/>
      <c r="B145" s="53"/>
      <c r="C145" s="53"/>
      <c r="D145" s="53"/>
      <c r="E145" s="53"/>
      <c r="F145" s="235" t="s">
        <v>150</v>
      </c>
      <c r="G145" s="235"/>
      <c r="H145" s="235"/>
      <c r="I145" s="235"/>
      <c r="J145" s="235"/>
      <c r="K145" s="235"/>
      <c r="L145" s="235"/>
      <c r="M145" s="235"/>
      <c r="N145" s="9" t="s">
        <v>244</v>
      </c>
      <c r="O145" s="55" t="e">
        <f>VLOOKUP(N145,Casilleros!$A$4:$Q$830,17,FALSE)</f>
        <v>#REF!</v>
      </c>
      <c r="S145" s="61" t="str">
        <f t="shared" si="31"/>
        <v>394</v>
      </c>
      <c r="T145" s="64" t="str">
        <f t="shared" si="30"/>
        <v>ESTADO DE SITUACIÓN FINANCIERA</v>
      </c>
      <c r="U145" s="64" t="str">
        <f t="shared" si="26"/>
        <v>ACTIVO</v>
      </c>
      <c r="V145" s="64" t="str">
        <f t="shared" si="27"/>
        <v>ACTIVOS  NO CORRIENTES</v>
      </c>
      <c r="W145" s="64" t="str">
        <f t="shared" si="28"/>
        <v>PROPIEDADES DE INVERSIÓN</v>
      </c>
      <c r="X145" s="64" t="str">
        <f t="shared" si="32"/>
        <v>TERRENOS</v>
      </c>
      <c r="Y145" s="64" t="str">
        <f t="shared" si="33"/>
        <v>A costo</v>
      </c>
      <c r="Z145" s="64" t="str">
        <f t="shared" si="34"/>
        <v/>
      </c>
      <c r="AA145" s="64" t="str">
        <f t="shared" si="29"/>
        <v>PROPIEDADES DE INVERSIÓN_TERRENOS_A costo_</v>
      </c>
    </row>
    <row r="146" spans="1:27">
      <c r="A146" s="53"/>
      <c r="B146" s="53"/>
      <c r="C146" s="53"/>
      <c r="D146" s="53"/>
      <c r="E146" s="53"/>
      <c r="F146" s="235" t="s">
        <v>105</v>
      </c>
      <c r="G146" s="235"/>
      <c r="H146" s="235"/>
      <c r="I146" s="235"/>
      <c r="J146" s="235"/>
      <c r="K146" s="235"/>
      <c r="L146" s="235"/>
      <c r="M146" s="235"/>
      <c r="N146" s="9" t="s">
        <v>245</v>
      </c>
      <c r="O146" s="55" t="e">
        <f>VLOOKUP(N146,Casilleros!$A$4:$Q$830,17,FALSE)</f>
        <v>#REF!</v>
      </c>
      <c r="S146" s="61" t="str">
        <f t="shared" si="31"/>
        <v>395</v>
      </c>
      <c r="T146" s="64" t="str">
        <f t="shared" si="30"/>
        <v>ESTADO DE SITUACIÓN FINANCIERA</v>
      </c>
      <c r="U146" s="64" t="str">
        <f t="shared" si="26"/>
        <v>ACTIVO</v>
      </c>
      <c r="V146" s="64" t="str">
        <f t="shared" si="27"/>
        <v>ACTIVOS  NO CORRIENTES</v>
      </c>
      <c r="W146" s="64" t="str">
        <f t="shared" si="28"/>
        <v>PROPIEDADES DE INVERSIÓN</v>
      </c>
      <c r="X146" s="64" t="str">
        <f t="shared" si="32"/>
        <v>TERRENOS</v>
      </c>
      <c r="Y146" s="64" t="str">
        <f t="shared" si="33"/>
        <v>A valor razonable</v>
      </c>
      <c r="Z146" s="64" t="str">
        <f t="shared" si="34"/>
        <v/>
      </c>
      <c r="AA146" s="64" t="str">
        <f t="shared" si="29"/>
        <v>PROPIEDADES DE INVERSIÓN_TERRENOS_A valor razonable_</v>
      </c>
    </row>
    <row r="147" spans="1:27">
      <c r="A147" s="53"/>
      <c r="B147" s="53"/>
      <c r="C147" s="53"/>
      <c r="D147" s="53"/>
      <c r="E147" s="239" t="s">
        <v>246</v>
      </c>
      <c r="F147" s="239"/>
      <c r="G147" s="239"/>
      <c r="H147" s="239"/>
      <c r="I147" s="239"/>
      <c r="J147" s="239"/>
      <c r="K147" s="239"/>
      <c r="L147" s="239"/>
      <c r="M147" s="239"/>
      <c r="N147" s="239"/>
      <c r="O147" s="239"/>
      <c r="S147" s="61">
        <f t="shared" si="31"/>
        <v>0</v>
      </c>
      <c r="T147" s="64" t="str">
        <f t="shared" si="30"/>
        <v>ESTADO DE SITUACIÓN FINANCIERA</v>
      </c>
      <c r="U147" s="64" t="str">
        <f t="shared" si="26"/>
        <v>ACTIVO</v>
      </c>
      <c r="V147" s="64" t="str">
        <f t="shared" si="27"/>
        <v>ACTIVOS  NO CORRIENTES</v>
      </c>
      <c r="W147" s="64" t="str">
        <f t="shared" si="28"/>
        <v>PROPIEDADES DE INVERSIÓN</v>
      </c>
      <c r="X147" s="64" t="str">
        <f t="shared" si="32"/>
        <v>EDIFICIOS</v>
      </c>
      <c r="Y147" s="64" t="str">
        <f t="shared" si="33"/>
        <v/>
      </c>
      <c r="Z147" s="64" t="str">
        <f t="shared" si="34"/>
        <v/>
      </c>
      <c r="AA147" s="64" t="str">
        <f t="shared" si="29"/>
        <v>PROPIEDADES DE INVERSIÓN_EDIFICIOS__</v>
      </c>
    </row>
    <row r="148" spans="1:27">
      <c r="A148" s="53"/>
      <c r="B148" s="53"/>
      <c r="C148" s="53"/>
      <c r="D148" s="53"/>
      <c r="E148" s="53"/>
      <c r="F148" s="235" t="s">
        <v>150</v>
      </c>
      <c r="G148" s="235"/>
      <c r="H148" s="235"/>
      <c r="I148" s="235"/>
      <c r="J148" s="235"/>
      <c r="K148" s="235"/>
      <c r="L148" s="235"/>
      <c r="M148" s="235"/>
      <c r="N148" s="9" t="s">
        <v>247</v>
      </c>
      <c r="O148" s="55" t="e">
        <f>VLOOKUP(N148,Casilleros!$A$4:$Q$830,17,FALSE)</f>
        <v>#REF!</v>
      </c>
      <c r="S148" s="61" t="str">
        <f t="shared" si="31"/>
        <v>396</v>
      </c>
      <c r="T148" s="64" t="str">
        <f t="shared" si="30"/>
        <v>ESTADO DE SITUACIÓN FINANCIERA</v>
      </c>
      <c r="U148" s="64" t="str">
        <f t="shared" si="26"/>
        <v>ACTIVO</v>
      </c>
      <c r="V148" s="64" t="str">
        <f t="shared" si="27"/>
        <v>ACTIVOS  NO CORRIENTES</v>
      </c>
      <c r="W148" s="64" t="str">
        <f t="shared" si="28"/>
        <v>PROPIEDADES DE INVERSIÓN</v>
      </c>
      <c r="X148" s="64" t="str">
        <f t="shared" si="32"/>
        <v>EDIFICIOS</v>
      </c>
      <c r="Y148" s="64" t="str">
        <f t="shared" si="33"/>
        <v>A costo</v>
      </c>
      <c r="Z148" s="64" t="str">
        <f t="shared" si="34"/>
        <v/>
      </c>
      <c r="AA148" s="64" t="str">
        <f t="shared" si="29"/>
        <v>PROPIEDADES DE INVERSIÓN_EDIFICIOS_A costo_</v>
      </c>
    </row>
    <row r="149" spans="1:27">
      <c r="A149" s="53"/>
      <c r="B149" s="53"/>
      <c r="C149" s="53"/>
      <c r="D149" s="53"/>
      <c r="E149" s="53"/>
      <c r="F149" s="235" t="s">
        <v>105</v>
      </c>
      <c r="G149" s="235"/>
      <c r="H149" s="235"/>
      <c r="I149" s="235"/>
      <c r="J149" s="235"/>
      <c r="K149" s="235"/>
      <c r="L149" s="235"/>
      <c r="M149" s="235"/>
      <c r="N149" s="9" t="s">
        <v>248</v>
      </c>
      <c r="O149" s="55" t="e">
        <f>VLOOKUP(N149,Casilleros!$A$4:$Q$830,17,FALSE)</f>
        <v>#REF!</v>
      </c>
      <c r="S149" s="61" t="str">
        <f t="shared" si="31"/>
        <v>397</v>
      </c>
      <c r="T149" s="64" t="str">
        <f t="shared" si="30"/>
        <v>ESTADO DE SITUACIÓN FINANCIERA</v>
      </c>
      <c r="U149" s="64" t="str">
        <f t="shared" si="26"/>
        <v>ACTIVO</v>
      </c>
      <c r="V149" s="64" t="str">
        <f t="shared" si="27"/>
        <v>ACTIVOS  NO CORRIENTES</v>
      </c>
      <c r="W149" s="64" t="str">
        <f t="shared" si="28"/>
        <v>PROPIEDADES DE INVERSIÓN</v>
      </c>
      <c r="X149" s="64" t="str">
        <f t="shared" si="32"/>
        <v>EDIFICIOS</v>
      </c>
      <c r="Y149" s="64" t="str">
        <f t="shared" si="33"/>
        <v>A valor razonable</v>
      </c>
      <c r="Z149" s="64" t="str">
        <f t="shared" si="34"/>
        <v/>
      </c>
      <c r="AA149" s="64" t="str">
        <f t="shared" si="29"/>
        <v>PROPIEDADES DE INVERSIÓN_EDIFICIOS_A valor razonable_</v>
      </c>
    </row>
    <row r="150" spans="1:27">
      <c r="A150" s="53"/>
      <c r="B150" s="53"/>
      <c r="C150" s="53"/>
      <c r="D150" s="53"/>
      <c r="E150" s="243" t="s">
        <v>249</v>
      </c>
      <c r="F150" s="243"/>
      <c r="G150" s="243"/>
      <c r="H150" s="243"/>
      <c r="I150" s="243"/>
      <c r="J150" s="243"/>
      <c r="K150" s="243"/>
      <c r="L150" s="243"/>
      <c r="M150" s="243"/>
      <c r="N150" s="9" t="s">
        <v>250</v>
      </c>
      <c r="O150" s="55" t="e">
        <f>VLOOKUP(N150,Casilleros!$A$4:$Q$830,17,FALSE)</f>
        <v>#REF!</v>
      </c>
      <c r="S150" s="61" t="str">
        <f t="shared" si="31"/>
        <v>398</v>
      </c>
      <c r="T150" s="64" t="str">
        <f t="shared" si="30"/>
        <v>ESTADO DE SITUACIÓN FINANCIERA</v>
      </c>
      <c r="U150" s="64" t="str">
        <f t="shared" si="26"/>
        <v>ACTIVO</v>
      </c>
      <c r="V150" s="64" t="str">
        <f t="shared" si="27"/>
        <v>ACTIVOS  NO CORRIENTES</v>
      </c>
      <c r="W150" s="64" t="str">
        <f t="shared" si="28"/>
        <v>PROPIEDADES DE INVERSIÓN</v>
      </c>
      <c r="X150" s="64" t="str">
        <f t="shared" si="32"/>
        <v>(-) Depreciación Acumulada de Propiedades de Inversión</v>
      </c>
      <c r="Y150" s="64" t="str">
        <f t="shared" si="33"/>
        <v/>
      </c>
      <c r="Z150" s="64" t="str">
        <f t="shared" si="34"/>
        <v/>
      </c>
      <c r="AA150" s="64" t="str">
        <f t="shared" si="29"/>
        <v>PROPIEDADES DE INVERSIÓN_(-) Depreciación Acumulada de Propiedades de Inversión__</v>
      </c>
    </row>
    <row r="151" spans="1:27">
      <c r="A151" s="53"/>
      <c r="B151" s="53"/>
      <c r="C151" s="53"/>
      <c r="D151" s="53"/>
      <c r="E151" s="243" t="s">
        <v>251</v>
      </c>
      <c r="F151" s="243"/>
      <c r="G151" s="243"/>
      <c r="H151" s="243"/>
      <c r="I151" s="243"/>
      <c r="J151" s="243"/>
      <c r="K151" s="243"/>
      <c r="L151" s="243"/>
      <c r="M151" s="243"/>
      <c r="N151" s="9" t="s">
        <v>252</v>
      </c>
      <c r="O151" s="55" t="e">
        <f>VLOOKUP(N151,Casilleros!$A$4:$Q$830,17,FALSE)</f>
        <v>#REF!</v>
      </c>
      <c r="S151" s="61" t="str">
        <f t="shared" si="31"/>
        <v>399</v>
      </c>
      <c r="T151" s="64" t="str">
        <f t="shared" si="30"/>
        <v>ESTADO DE SITUACIÓN FINANCIERA</v>
      </c>
      <c r="U151" s="64" t="str">
        <f t="shared" si="26"/>
        <v>ACTIVO</v>
      </c>
      <c r="V151" s="64" t="str">
        <f t="shared" si="27"/>
        <v>ACTIVOS  NO CORRIENTES</v>
      </c>
      <c r="W151" s="64" t="str">
        <f t="shared" si="28"/>
        <v>PROPIEDADES DE INVERSIÓN</v>
      </c>
      <c r="X151" s="64" t="str">
        <f t="shared" si="32"/>
        <v>(-) Deterioro Acumulado del Valor de Propiedades de Inversión</v>
      </c>
      <c r="Y151" s="64" t="str">
        <f t="shared" si="33"/>
        <v/>
      </c>
      <c r="Z151" s="64" t="str">
        <f t="shared" si="34"/>
        <v/>
      </c>
      <c r="AA151" s="64" t="str">
        <f t="shared" si="29"/>
        <v>PROPIEDADES DE INVERSIÓN_(-) Deterioro Acumulado del Valor de Propiedades de Inversión__</v>
      </c>
    </row>
    <row r="152" spans="1:27">
      <c r="A152" s="53"/>
      <c r="B152" s="53"/>
      <c r="C152" s="53"/>
      <c r="D152" s="236" t="s">
        <v>148</v>
      </c>
      <c r="E152" s="236"/>
      <c r="F152" s="236"/>
      <c r="G152" s="236"/>
      <c r="H152" s="236"/>
      <c r="I152" s="236"/>
      <c r="J152" s="236"/>
      <c r="K152" s="236"/>
      <c r="L152" s="236"/>
      <c r="M152" s="236"/>
      <c r="N152" s="236"/>
      <c r="O152" s="236"/>
      <c r="S152" s="61">
        <f t="shared" si="31"/>
        <v>0</v>
      </c>
      <c r="T152" s="64" t="str">
        <f t="shared" si="30"/>
        <v>ESTADO DE SITUACIÓN FINANCIERA</v>
      </c>
      <c r="U152" s="64" t="str">
        <f t="shared" si="26"/>
        <v>ACTIVO</v>
      </c>
      <c r="V152" s="64" t="str">
        <f t="shared" si="27"/>
        <v>ACTIVOS  NO CORRIENTES</v>
      </c>
      <c r="W152" s="64" t="str">
        <f t="shared" si="28"/>
        <v>ACTIVOS BIOLÓGICOS</v>
      </c>
      <c r="X152" s="64" t="str">
        <f t="shared" si="32"/>
        <v/>
      </c>
      <c r="Y152" s="64" t="str">
        <f t="shared" si="33"/>
        <v/>
      </c>
      <c r="Z152" s="64" t="str">
        <f t="shared" si="34"/>
        <v/>
      </c>
      <c r="AA152" s="64" t="str">
        <f t="shared" si="29"/>
        <v>ACTIVOS BIOLÓGICOS</v>
      </c>
    </row>
    <row r="153" spans="1:27">
      <c r="A153" s="53"/>
      <c r="B153" s="53"/>
      <c r="C153" s="53"/>
      <c r="D153" s="53"/>
      <c r="E153" s="239" t="s">
        <v>149</v>
      </c>
      <c r="F153" s="239"/>
      <c r="G153" s="239"/>
      <c r="H153" s="239"/>
      <c r="I153" s="239"/>
      <c r="J153" s="239"/>
      <c r="K153" s="239"/>
      <c r="L153" s="239"/>
      <c r="M153" s="239"/>
      <c r="N153" s="239"/>
      <c r="O153" s="239"/>
      <c r="S153" s="61">
        <f t="shared" si="31"/>
        <v>0</v>
      </c>
      <c r="T153" s="64" t="str">
        <f t="shared" si="30"/>
        <v>ESTADO DE SITUACIÓN FINANCIERA</v>
      </c>
      <c r="U153" s="64" t="str">
        <f t="shared" si="26"/>
        <v>ACTIVO</v>
      </c>
      <c r="V153" s="64" t="str">
        <f t="shared" si="27"/>
        <v>ACTIVOS  NO CORRIENTES</v>
      </c>
      <c r="W153" s="64" t="str">
        <f t="shared" si="28"/>
        <v>ACTIVOS BIOLÓGICOS</v>
      </c>
      <c r="X153" s="64" t="str">
        <f t="shared" si="32"/>
        <v>PLANTAS VIVAS Y FRUTOS EN CRECIMIENTO</v>
      </c>
      <c r="Y153" s="64" t="str">
        <f t="shared" si="33"/>
        <v/>
      </c>
      <c r="Z153" s="64" t="str">
        <f t="shared" si="34"/>
        <v/>
      </c>
      <c r="AA153" s="64" t="str">
        <f t="shared" si="29"/>
        <v>ACTIVOS BIOLÓGICOS_PLANTAS VIVAS Y FRUTOS EN CRECIMIENTO__</v>
      </c>
    </row>
    <row r="154" spans="1:27">
      <c r="A154" s="53"/>
      <c r="B154" s="53"/>
      <c r="C154" s="53"/>
      <c r="D154" s="53"/>
      <c r="E154" s="53"/>
      <c r="F154" s="235" t="s">
        <v>150</v>
      </c>
      <c r="G154" s="235"/>
      <c r="H154" s="235"/>
      <c r="I154" s="235"/>
      <c r="J154" s="235"/>
      <c r="K154" s="235"/>
      <c r="L154" s="235"/>
      <c r="M154" s="235"/>
      <c r="N154" s="9" t="s">
        <v>253</v>
      </c>
      <c r="O154" s="55" t="e">
        <f>VLOOKUP(N154,Casilleros!$A$4:$Q$830,17,FALSE)</f>
        <v>#REF!</v>
      </c>
      <c r="S154" s="61" t="str">
        <f t="shared" si="31"/>
        <v>400</v>
      </c>
      <c r="T154" s="64" t="str">
        <f t="shared" si="30"/>
        <v>ESTADO DE SITUACIÓN FINANCIERA</v>
      </c>
      <c r="U154" s="64" t="str">
        <f t="shared" si="26"/>
        <v>ACTIVO</v>
      </c>
      <c r="V154" s="64" t="str">
        <f t="shared" si="27"/>
        <v>ACTIVOS  NO CORRIENTES</v>
      </c>
      <c r="W154" s="64" t="str">
        <f t="shared" si="28"/>
        <v>ACTIVOS BIOLÓGICOS</v>
      </c>
      <c r="X154" s="64" t="str">
        <f t="shared" si="32"/>
        <v>PLANTAS VIVAS Y FRUTOS EN CRECIMIENTO</v>
      </c>
      <c r="Y154" s="64" t="str">
        <f t="shared" si="33"/>
        <v>A costo</v>
      </c>
      <c r="Z154" s="64" t="str">
        <f t="shared" si="34"/>
        <v/>
      </c>
      <c r="AA154" s="64" t="str">
        <f t="shared" si="29"/>
        <v>ACTIVOS BIOLÓGICOS_PLANTAS VIVAS Y FRUTOS EN CRECIMIENTO_A costo_</v>
      </c>
    </row>
    <row r="155" spans="1:27">
      <c r="A155" s="53"/>
      <c r="B155" s="53"/>
      <c r="C155" s="53"/>
      <c r="D155" s="53"/>
      <c r="E155" s="53"/>
      <c r="F155" s="235" t="s">
        <v>254</v>
      </c>
      <c r="G155" s="235"/>
      <c r="H155" s="235"/>
      <c r="I155" s="235"/>
      <c r="J155" s="235"/>
      <c r="K155" s="235"/>
      <c r="L155" s="235"/>
      <c r="M155" s="235"/>
      <c r="N155" s="9" t="s">
        <v>255</v>
      </c>
      <c r="O155" s="55" t="e">
        <f>VLOOKUP(N155,Casilleros!$A$4:$Q$830,17,FALSE)</f>
        <v>#REF!</v>
      </c>
      <c r="S155" s="61" t="str">
        <f t="shared" si="31"/>
        <v>401</v>
      </c>
      <c r="T155" s="64" t="str">
        <f t="shared" si="30"/>
        <v>ESTADO DE SITUACIÓN FINANCIERA</v>
      </c>
      <c r="U155" s="64" t="str">
        <f t="shared" si="26"/>
        <v>ACTIVO</v>
      </c>
      <c r="V155" s="64" t="str">
        <f t="shared" si="27"/>
        <v>ACTIVOS  NO CORRIENTES</v>
      </c>
      <c r="W155" s="64" t="str">
        <f t="shared" si="28"/>
        <v>ACTIVOS BIOLÓGICOS</v>
      </c>
      <c r="X155" s="64" t="str">
        <f t="shared" si="32"/>
        <v>PLANTAS VIVAS Y FRUTOS EN CRECIMIENTO</v>
      </c>
      <c r="Y155" s="64" t="str">
        <f t="shared" si="33"/>
        <v>(-) Depreciación acumulada de activos biológicos medidos a costo</v>
      </c>
      <c r="Z155" s="64" t="str">
        <f t="shared" si="34"/>
        <v/>
      </c>
      <c r="AA155" s="64" t="str">
        <f t="shared" si="29"/>
        <v>ACTIVOS BIOLÓGICOS_PLANTAS VIVAS Y FRUTOS EN CRECIMIENTO_(-) Depreciación acumulada de activos biológicos medidos a costo_</v>
      </c>
    </row>
    <row r="156" spans="1:27">
      <c r="A156" s="53"/>
      <c r="B156" s="53"/>
      <c r="C156" s="53"/>
      <c r="D156" s="53"/>
      <c r="E156" s="53"/>
      <c r="F156" s="235" t="s">
        <v>152</v>
      </c>
      <c r="G156" s="235"/>
      <c r="H156" s="235"/>
      <c r="I156" s="235"/>
      <c r="J156" s="235"/>
      <c r="K156" s="235"/>
      <c r="L156" s="235"/>
      <c r="M156" s="235"/>
      <c r="N156" s="9" t="s">
        <v>256</v>
      </c>
      <c r="O156" s="55" t="e">
        <f>VLOOKUP(N156,Casilleros!$A$4:$Q$830,17,FALSE)</f>
        <v>#REF!</v>
      </c>
      <c r="S156" s="61" t="str">
        <f t="shared" si="31"/>
        <v>402</v>
      </c>
      <c r="T156" s="64" t="str">
        <f t="shared" si="30"/>
        <v>ESTADO DE SITUACIÓN FINANCIERA</v>
      </c>
      <c r="U156" s="64" t="str">
        <f t="shared" ref="U156:U219" si="35">IF(T155&lt;&gt;T156,"",(IF(B156&lt;&gt;"",B156,U155)))</f>
        <v>ACTIVO</v>
      </c>
      <c r="V156" s="64" t="str">
        <f t="shared" ref="V156:V219" si="36">IF(U155&lt;&gt;U156,"",(IF(C156&lt;&gt;"",C156,V155)))</f>
        <v>ACTIVOS  NO CORRIENTES</v>
      </c>
      <c r="W156" s="64" t="str">
        <f t="shared" ref="W156:W219" si="37">IF(V155&lt;&gt;V156,"",(IF(D156&lt;&gt;"",D156,W155)))</f>
        <v>ACTIVOS BIOLÓGICOS</v>
      </c>
      <c r="X156" s="64" t="str">
        <f t="shared" si="32"/>
        <v>PLANTAS VIVAS Y FRUTOS EN CRECIMIENTO</v>
      </c>
      <c r="Y156" s="64" t="str">
        <f t="shared" si="33"/>
        <v>(-) Deterioro acumulado del valor de activos biológicos medidos a costo</v>
      </c>
      <c r="Z156" s="64" t="str">
        <f t="shared" si="34"/>
        <v/>
      </c>
      <c r="AA156" s="64" t="str">
        <f t="shared" ref="AA156:AA219" si="38">IF(X156&lt;&gt;"",CONCATENATE(W156,"_",X156,"_",Y156,"_",Z156),W156)</f>
        <v>ACTIVOS BIOLÓGICOS_PLANTAS VIVAS Y FRUTOS EN CRECIMIENTO_(-) Deterioro acumulado del valor de activos biológicos medidos a costo_</v>
      </c>
    </row>
    <row r="157" spans="1:27">
      <c r="A157" s="53"/>
      <c r="B157" s="53"/>
      <c r="C157" s="53"/>
      <c r="D157" s="53"/>
      <c r="E157" s="53"/>
      <c r="F157" s="235" t="s">
        <v>154</v>
      </c>
      <c r="G157" s="235"/>
      <c r="H157" s="235"/>
      <c r="I157" s="235"/>
      <c r="J157" s="235"/>
      <c r="K157" s="235"/>
      <c r="L157" s="235"/>
      <c r="M157" s="235"/>
      <c r="N157" s="9" t="s">
        <v>257</v>
      </c>
      <c r="O157" s="55" t="e">
        <f>VLOOKUP(N157,Casilleros!$A$4:$Q$830,17,FALSE)</f>
        <v>#REF!</v>
      </c>
      <c r="S157" s="61" t="str">
        <f t="shared" si="31"/>
        <v>403</v>
      </c>
      <c r="T157" s="64" t="str">
        <f t="shared" ref="T157:T220" si="39">IF(A157&lt;&gt;"",A157,T156)</f>
        <v>ESTADO DE SITUACIÓN FINANCIERA</v>
      </c>
      <c r="U157" s="64" t="str">
        <f t="shared" si="35"/>
        <v>ACTIVO</v>
      </c>
      <c r="V157" s="64" t="str">
        <f t="shared" si="36"/>
        <v>ACTIVOS  NO CORRIENTES</v>
      </c>
      <c r="W157" s="64" t="str">
        <f t="shared" si="37"/>
        <v>ACTIVOS BIOLÓGICOS</v>
      </c>
      <c r="X157" s="64" t="str">
        <f t="shared" si="32"/>
        <v>PLANTAS VIVAS Y FRUTOS EN CRECIMIENTO</v>
      </c>
      <c r="Y157" s="64" t="str">
        <f t="shared" si="33"/>
        <v>A valor razonable menos los costos de venta</v>
      </c>
      <c r="Z157" s="64" t="str">
        <f t="shared" si="34"/>
        <v/>
      </c>
      <c r="AA157" s="64" t="str">
        <f t="shared" si="38"/>
        <v>ACTIVOS BIOLÓGICOS_PLANTAS VIVAS Y FRUTOS EN CRECIMIENTO_A valor razonable menos los costos de venta_</v>
      </c>
    </row>
    <row r="158" spans="1:27">
      <c r="A158" s="53"/>
      <c r="B158" s="53"/>
      <c r="C158" s="53"/>
      <c r="D158" s="53"/>
      <c r="E158" s="239" t="s">
        <v>156</v>
      </c>
      <c r="F158" s="239"/>
      <c r="G158" s="239"/>
      <c r="H158" s="239"/>
      <c r="I158" s="239"/>
      <c r="J158" s="239"/>
      <c r="K158" s="239"/>
      <c r="L158" s="239"/>
      <c r="M158" s="239"/>
      <c r="N158" s="239"/>
      <c r="O158" s="239"/>
      <c r="S158" s="61">
        <f t="shared" si="31"/>
        <v>0</v>
      </c>
      <c r="T158" s="64" t="str">
        <f t="shared" si="39"/>
        <v>ESTADO DE SITUACIÓN FINANCIERA</v>
      </c>
      <c r="U158" s="64" t="str">
        <f t="shared" si="35"/>
        <v>ACTIVO</v>
      </c>
      <c r="V158" s="64" t="str">
        <f t="shared" si="36"/>
        <v>ACTIVOS  NO CORRIENTES</v>
      </c>
      <c r="W158" s="64" t="str">
        <f t="shared" si="37"/>
        <v>ACTIVOS BIOLÓGICOS</v>
      </c>
      <c r="X158" s="64" t="str">
        <f t="shared" si="32"/>
        <v>ANIMALES VIVOS</v>
      </c>
      <c r="Y158" s="64" t="str">
        <f t="shared" si="33"/>
        <v/>
      </c>
      <c r="Z158" s="64" t="str">
        <f t="shared" si="34"/>
        <v/>
      </c>
      <c r="AA158" s="64" t="str">
        <f t="shared" si="38"/>
        <v>ACTIVOS BIOLÓGICOS_ANIMALES VIVOS__</v>
      </c>
    </row>
    <row r="159" spans="1:27">
      <c r="A159" s="53"/>
      <c r="B159" s="53"/>
      <c r="C159" s="53"/>
      <c r="D159" s="53"/>
      <c r="E159" s="53"/>
      <c r="F159" s="235" t="s">
        <v>150</v>
      </c>
      <c r="G159" s="235"/>
      <c r="H159" s="235"/>
      <c r="I159" s="235"/>
      <c r="J159" s="235"/>
      <c r="K159" s="235"/>
      <c r="L159" s="235"/>
      <c r="M159" s="235"/>
      <c r="N159" s="9" t="s">
        <v>258</v>
      </c>
      <c r="O159" s="55" t="e">
        <f>VLOOKUP(N159,Casilleros!$A$4:$Q$830,17,FALSE)</f>
        <v>#REF!</v>
      </c>
      <c r="S159" s="61" t="str">
        <f t="shared" si="31"/>
        <v>404</v>
      </c>
      <c r="T159" s="64" t="str">
        <f t="shared" si="39"/>
        <v>ESTADO DE SITUACIÓN FINANCIERA</v>
      </c>
      <c r="U159" s="64" t="str">
        <f t="shared" si="35"/>
        <v>ACTIVO</v>
      </c>
      <c r="V159" s="64" t="str">
        <f t="shared" si="36"/>
        <v>ACTIVOS  NO CORRIENTES</v>
      </c>
      <c r="W159" s="64" t="str">
        <f t="shared" si="37"/>
        <v>ACTIVOS BIOLÓGICOS</v>
      </c>
      <c r="X159" s="64" t="str">
        <f t="shared" si="32"/>
        <v>ANIMALES VIVOS</v>
      </c>
      <c r="Y159" s="64" t="str">
        <f t="shared" si="33"/>
        <v>A costo</v>
      </c>
      <c r="Z159" s="64" t="str">
        <f t="shared" si="34"/>
        <v/>
      </c>
      <c r="AA159" s="64" t="str">
        <f t="shared" si="38"/>
        <v>ACTIVOS BIOLÓGICOS_ANIMALES VIVOS_A costo_</v>
      </c>
    </row>
    <row r="160" spans="1:27">
      <c r="A160" s="53"/>
      <c r="B160" s="53"/>
      <c r="C160" s="53"/>
      <c r="D160" s="53"/>
      <c r="E160" s="53"/>
      <c r="F160" s="235" t="s">
        <v>254</v>
      </c>
      <c r="G160" s="235"/>
      <c r="H160" s="235"/>
      <c r="I160" s="235"/>
      <c r="J160" s="235"/>
      <c r="K160" s="235"/>
      <c r="L160" s="235"/>
      <c r="M160" s="235"/>
      <c r="N160" s="9" t="s">
        <v>259</v>
      </c>
      <c r="O160" s="55" t="e">
        <f>VLOOKUP(N160,Casilleros!$A$4:$Q$830,17,FALSE)</f>
        <v>#REF!</v>
      </c>
      <c r="S160" s="61" t="str">
        <f t="shared" ref="S160:S223" si="40">+N160</f>
        <v>405</v>
      </c>
      <c r="T160" s="64" t="str">
        <f t="shared" si="39"/>
        <v>ESTADO DE SITUACIÓN FINANCIERA</v>
      </c>
      <c r="U160" s="64" t="str">
        <f t="shared" si="35"/>
        <v>ACTIVO</v>
      </c>
      <c r="V160" s="64" t="str">
        <f t="shared" si="36"/>
        <v>ACTIVOS  NO CORRIENTES</v>
      </c>
      <c r="W160" s="64" t="str">
        <f t="shared" si="37"/>
        <v>ACTIVOS BIOLÓGICOS</v>
      </c>
      <c r="X160" s="64" t="str">
        <f t="shared" si="32"/>
        <v>ANIMALES VIVOS</v>
      </c>
      <c r="Y160" s="64" t="str">
        <f t="shared" si="33"/>
        <v>(-) Depreciación acumulada de activos biológicos medidos a costo</v>
      </c>
      <c r="Z160" s="64" t="str">
        <f t="shared" si="34"/>
        <v/>
      </c>
      <c r="AA160" s="64" t="str">
        <f t="shared" si="38"/>
        <v>ACTIVOS BIOLÓGICOS_ANIMALES VIVOS_(-) Depreciación acumulada de activos biológicos medidos a costo_</v>
      </c>
    </row>
    <row r="161" spans="1:27">
      <c r="A161" s="53"/>
      <c r="B161" s="53"/>
      <c r="C161" s="53"/>
      <c r="D161" s="53"/>
      <c r="E161" s="53"/>
      <c r="F161" s="235" t="s">
        <v>152</v>
      </c>
      <c r="G161" s="235"/>
      <c r="H161" s="235"/>
      <c r="I161" s="235"/>
      <c r="J161" s="235"/>
      <c r="K161" s="235"/>
      <c r="L161" s="235"/>
      <c r="M161" s="235"/>
      <c r="N161" s="9" t="s">
        <v>260</v>
      </c>
      <c r="O161" s="55" t="e">
        <f>VLOOKUP(N161,Casilleros!$A$4:$Q$830,17,FALSE)</f>
        <v>#REF!</v>
      </c>
      <c r="S161" s="61" t="str">
        <f t="shared" si="40"/>
        <v>406</v>
      </c>
      <c r="T161" s="64" t="str">
        <f t="shared" si="39"/>
        <v>ESTADO DE SITUACIÓN FINANCIERA</v>
      </c>
      <c r="U161" s="64" t="str">
        <f t="shared" si="35"/>
        <v>ACTIVO</v>
      </c>
      <c r="V161" s="64" t="str">
        <f t="shared" si="36"/>
        <v>ACTIVOS  NO CORRIENTES</v>
      </c>
      <c r="W161" s="64" t="str">
        <f t="shared" si="37"/>
        <v>ACTIVOS BIOLÓGICOS</v>
      </c>
      <c r="X161" s="64" t="str">
        <f t="shared" si="32"/>
        <v>ANIMALES VIVOS</v>
      </c>
      <c r="Y161" s="64" t="str">
        <f t="shared" si="33"/>
        <v>(-) Deterioro acumulado del valor de activos biológicos medidos a costo</v>
      </c>
      <c r="Z161" s="64" t="str">
        <f t="shared" si="34"/>
        <v/>
      </c>
      <c r="AA161" s="64" t="str">
        <f t="shared" si="38"/>
        <v>ACTIVOS BIOLÓGICOS_ANIMALES VIVOS_(-) Deterioro acumulado del valor de activos biológicos medidos a costo_</v>
      </c>
    </row>
    <row r="162" spans="1:27">
      <c r="A162" s="53"/>
      <c r="B162" s="53"/>
      <c r="C162" s="53"/>
      <c r="D162" s="53"/>
      <c r="E162" s="53"/>
      <c r="F162" s="235" t="s">
        <v>154</v>
      </c>
      <c r="G162" s="235"/>
      <c r="H162" s="235"/>
      <c r="I162" s="235"/>
      <c r="J162" s="235"/>
      <c r="K162" s="235"/>
      <c r="L162" s="235"/>
      <c r="M162" s="235"/>
      <c r="N162" s="9" t="s">
        <v>261</v>
      </c>
      <c r="O162" s="55" t="e">
        <f>VLOOKUP(N162,Casilleros!$A$4:$Q$830,17,FALSE)</f>
        <v>#REF!</v>
      </c>
      <c r="S162" s="61" t="str">
        <f t="shared" si="40"/>
        <v>407</v>
      </c>
      <c r="T162" s="64" t="str">
        <f t="shared" si="39"/>
        <v>ESTADO DE SITUACIÓN FINANCIERA</v>
      </c>
      <c r="U162" s="64" t="str">
        <f t="shared" si="35"/>
        <v>ACTIVO</v>
      </c>
      <c r="V162" s="64" t="str">
        <f t="shared" si="36"/>
        <v>ACTIVOS  NO CORRIENTES</v>
      </c>
      <c r="W162" s="64" t="str">
        <f t="shared" si="37"/>
        <v>ACTIVOS BIOLÓGICOS</v>
      </c>
      <c r="X162" s="64" t="str">
        <f t="shared" si="32"/>
        <v>ANIMALES VIVOS</v>
      </c>
      <c r="Y162" s="64" t="str">
        <f t="shared" si="33"/>
        <v>A valor razonable menos los costos de venta</v>
      </c>
      <c r="Z162" s="64" t="str">
        <f t="shared" si="34"/>
        <v/>
      </c>
      <c r="AA162" s="64" t="str">
        <f t="shared" si="38"/>
        <v>ACTIVOS BIOLÓGICOS_ANIMALES VIVOS_A valor razonable menos los costos de venta_</v>
      </c>
    </row>
    <row r="163" spans="1:27">
      <c r="A163" s="53"/>
      <c r="B163" s="53"/>
      <c r="C163" s="53"/>
      <c r="D163" s="236" t="s">
        <v>262</v>
      </c>
      <c r="E163" s="236"/>
      <c r="F163" s="236"/>
      <c r="G163" s="236"/>
      <c r="H163" s="236"/>
      <c r="I163" s="236"/>
      <c r="J163" s="236"/>
      <c r="K163" s="236"/>
      <c r="L163" s="236"/>
      <c r="M163" s="236"/>
      <c r="N163" s="236"/>
      <c r="O163" s="236"/>
      <c r="S163" s="61">
        <f t="shared" si="40"/>
        <v>0</v>
      </c>
      <c r="T163" s="64" t="str">
        <f t="shared" si="39"/>
        <v>ESTADO DE SITUACIÓN FINANCIERA</v>
      </c>
      <c r="U163" s="64" t="str">
        <f t="shared" si="35"/>
        <v>ACTIVO</v>
      </c>
      <c r="V163" s="64" t="str">
        <f t="shared" si="36"/>
        <v>ACTIVOS  NO CORRIENTES</v>
      </c>
      <c r="W163" s="64" t="str">
        <f t="shared" si="37"/>
        <v>ACTIVOS PARA EXPLORACIÓN, EVALUACIÓN Y EXPLOTACIÓN DE RECURSOS MINERALES</v>
      </c>
      <c r="X163" s="64" t="str">
        <f t="shared" si="32"/>
        <v/>
      </c>
      <c r="Y163" s="64" t="str">
        <f t="shared" si="33"/>
        <v/>
      </c>
      <c r="Z163" s="64" t="str">
        <f t="shared" si="34"/>
        <v/>
      </c>
      <c r="AA163" s="64" t="str">
        <f t="shared" si="38"/>
        <v>ACTIVOS PARA EXPLORACIÓN, EVALUACIÓN Y EXPLOTACIÓN DE RECURSOS MINERALES</v>
      </c>
    </row>
    <row r="164" spans="1:27">
      <c r="A164" s="53"/>
      <c r="B164" s="53"/>
      <c r="C164" s="53"/>
      <c r="D164" s="53"/>
      <c r="E164" s="235" t="s">
        <v>263</v>
      </c>
      <c r="F164" s="235"/>
      <c r="G164" s="235"/>
      <c r="H164" s="235"/>
      <c r="I164" s="235"/>
      <c r="J164" s="235"/>
      <c r="K164" s="235"/>
      <c r="L164" s="235"/>
      <c r="M164" s="235"/>
      <c r="N164" s="9" t="s">
        <v>264</v>
      </c>
      <c r="O164" s="55" t="e">
        <f>VLOOKUP(N164,Casilleros!$A$4:$Q$830,17,FALSE)</f>
        <v>#REF!</v>
      </c>
      <c r="S164" s="61" t="str">
        <f t="shared" si="40"/>
        <v>408</v>
      </c>
      <c r="T164" s="64" t="str">
        <f t="shared" si="39"/>
        <v>ESTADO DE SITUACIÓN FINANCIERA</v>
      </c>
      <c r="U164" s="64" t="str">
        <f t="shared" si="35"/>
        <v>ACTIVO</v>
      </c>
      <c r="V164" s="64" t="str">
        <f t="shared" si="36"/>
        <v>ACTIVOS  NO CORRIENTES</v>
      </c>
      <c r="W164" s="64" t="str">
        <f t="shared" si="37"/>
        <v>ACTIVOS PARA EXPLORACIÓN, EVALUACIÓN Y EXPLOTACIÓN DE RECURSOS MINERALES</v>
      </c>
      <c r="X164" s="64" t="str">
        <f t="shared" si="32"/>
        <v>Tangibles</v>
      </c>
      <c r="Y164" s="64" t="str">
        <f t="shared" si="33"/>
        <v/>
      </c>
      <c r="Z164" s="64" t="str">
        <f t="shared" si="34"/>
        <v/>
      </c>
      <c r="AA164" s="64" t="str">
        <f t="shared" si="38"/>
        <v>ACTIVOS PARA EXPLORACIÓN, EVALUACIÓN Y EXPLOTACIÓN DE RECURSOS MINERALES_Tangibles__</v>
      </c>
    </row>
    <row r="165" spans="1:27">
      <c r="A165" s="53"/>
      <c r="B165" s="53"/>
      <c r="C165" s="53"/>
      <c r="D165" s="53"/>
      <c r="E165" s="235" t="s">
        <v>265</v>
      </c>
      <c r="F165" s="235"/>
      <c r="G165" s="235"/>
      <c r="H165" s="235"/>
      <c r="I165" s="235"/>
      <c r="J165" s="235"/>
      <c r="K165" s="235"/>
      <c r="L165" s="235"/>
      <c r="M165" s="235"/>
      <c r="N165" s="9" t="s">
        <v>266</v>
      </c>
      <c r="O165" s="55" t="e">
        <f>VLOOKUP(N165,Casilleros!$A$4:$Q$830,17,FALSE)</f>
        <v>#REF!</v>
      </c>
      <c r="S165" s="61" t="str">
        <f t="shared" si="40"/>
        <v>409</v>
      </c>
      <c r="T165" s="64" t="str">
        <f t="shared" si="39"/>
        <v>ESTADO DE SITUACIÓN FINANCIERA</v>
      </c>
      <c r="U165" s="64" t="str">
        <f t="shared" si="35"/>
        <v>ACTIVO</v>
      </c>
      <c r="V165" s="64" t="str">
        <f t="shared" si="36"/>
        <v>ACTIVOS  NO CORRIENTES</v>
      </c>
      <c r="W165" s="64" t="str">
        <f t="shared" si="37"/>
        <v>ACTIVOS PARA EXPLORACIÓN, EVALUACIÓN Y EXPLOTACIÓN DE RECURSOS MINERALES</v>
      </c>
      <c r="X165" s="64" t="str">
        <f t="shared" si="32"/>
        <v>Intangibles</v>
      </c>
      <c r="Y165" s="64" t="str">
        <f t="shared" si="33"/>
        <v/>
      </c>
      <c r="Z165" s="64" t="str">
        <f t="shared" si="34"/>
        <v/>
      </c>
      <c r="AA165" s="64" t="str">
        <f t="shared" si="38"/>
        <v>ACTIVOS PARA EXPLORACIÓN, EVALUACIÓN Y EXPLOTACIÓN DE RECURSOS MINERALES_Intangibles__</v>
      </c>
    </row>
    <row r="166" spans="1:27">
      <c r="A166" s="53"/>
      <c r="B166" s="53"/>
      <c r="C166" s="53"/>
      <c r="D166" s="53"/>
      <c r="E166" s="235" t="s">
        <v>267</v>
      </c>
      <c r="F166" s="235"/>
      <c r="G166" s="235"/>
      <c r="H166" s="235"/>
      <c r="I166" s="235"/>
      <c r="J166" s="235"/>
      <c r="K166" s="235"/>
      <c r="L166" s="235"/>
      <c r="M166" s="235"/>
      <c r="N166" s="9" t="s">
        <v>268</v>
      </c>
      <c r="O166" s="55" t="e">
        <f>VLOOKUP(N166,Casilleros!$A$4:$Q$830,17,FALSE)</f>
        <v>#REF!</v>
      </c>
      <c r="S166" s="61" t="str">
        <f t="shared" si="40"/>
        <v>410</v>
      </c>
      <c r="T166" s="64" t="str">
        <f t="shared" si="39"/>
        <v>ESTADO DE SITUACIÓN FINANCIERA</v>
      </c>
      <c r="U166" s="64" t="str">
        <f t="shared" si="35"/>
        <v>ACTIVO</v>
      </c>
      <c r="V166" s="64" t="str">
        <f t="shared" si="36"/>
        <v>ACTIVOS  NO CORRIENTES</v>
      </c>
      <c r="W166" s="64" t="str">
        <f t="shared" si="37"/>
        <v>ACTIVOS PARA EXPLORACIÓN, EVALUACIÓN Y EXPLOTACIÓN DE RECURSOS MINERALES</v>
      </c>
      <c r="X166" s="64" t="str">
        <f t="shared" si="32"/>
        <v xml:space="preserve">(-) Depreciación / amortización acumulada de activos para exploración, evaluación y explotación </v>
      </c>
      <c r="Y166" s="64" t="str">
        <f t="shared" si="33"/>
        <v/>
      </c>
      <c r="Z166" s="64" t="str">
        <f t="shared" si="34"/>
        <v/>
      </c>
      <c r="AA166" s="64" t="str">
        <f t="shared" si="38"/>
        <v>ACTIVOS PARA EXPLORACIÓN, EVALUACIÓN Y EXPLOTACIÓN DE RECURSOS MINERALES_(-) Depreciación / amortización acumulada de activos para exploración, evaluación y explotación __</v>
      </c>
    </row>
    <row r="167" spans="1:27">
      <c r="A167" s="53"/>
      <c r="B167" s="53"/>
      <c r="C167" s="53"/>
      <c r="D167" s="53"/>
      <c r="E167" s="235" t="s">
        <v>269</v>
      </c>
      <c r="F167" s="235"/>
      <c r="G167" s="235"/>
      <c r="H167" s="235"/>
      <c r="I167" s="235"/>
      <c r="J167" s="235"/>
      <c r="K167" s="235"/>
      <c r="L167" s="235"/>
      <c r="M167" s="235"/>
      <c r="N167" s="9" t="s">
        <v>270</v>
      </c>
      <c r="O167" s="55" t="e">
        <f>VLOOKUP(N167,Casilleros!$A$4:$Q$830,17,FALSE)</f>
        <v>#REF!</v>
      </c>
      <c r="S167" s="61" t="str">
        <f t="shared" si="40"/>
        <v>411</v>
      </c>
      <c r="T167" s="64" t="str">
        <f t="shared" si="39"/>
        <v>ESTADO DE SITUACIÓN FINANCIERA</v>
      </c>
      <c r="U167" s="64" t="str">
        <f t="shared" si="35"/>
        <v>ACTIVO</v>
      </c>
      <c r="V167" s="64" t="str">
        <f t="shared" si="36"/>
        <v>ACTIVOS  NO CORRIENTES</v>
      </c>
      <c r="W167" s="64" t="str">
        <f t="shared" si="37"/>
        <v>ACTIVOS PARA EXPLORACIÓN, EVALUACIÓN Y EXPLOTACIÓN DE RECURSOS MINERALES</v>
      </c>
      <c r="X167" s="64" t="str">
        <f t="shared" si="32"/>
        <v xml:space="preserve">(-) Deterioro acumulado del valor de activos para exploración, evaluación y explotación </v>
      </c>
      <c r="Y167" s="64" t="str">
        <f t="shared" si="33"/>
        <v/>
      </c>
      <c r="Z167" s="64" t="str">
        <f t="shared" si="34"/>
        <v/>
      </c>
      <c r="AA167" s="64" t="str">
        <f t="shared" si="38"/>
        <v>ACTIVOS PARA EXPLORACIÓN, EVALUACIÓN Y EXPLOTACIÓN DE RECURSOS MINERALES_(-) Deterioro acumulado del valor de activos para exploración, evaluación y explotación __</v>
      </c>
    </row>
    <row r="168" spans="1:27">
      <c r="A168" s="53"/>
      <c r="B168" s="53"/>
      <c r="C168" s="53"/>
      <c r="D168" s="236" t="s">
        <v>271</v>
      </c>
      <c r="E168" s="236"/>
      <c r="F168" s="236"/>
      <c r="G168" s="236"/>
      <c r="H168" s="236"/>
      <c r="I168" s="236"/>
      <c r="J168" s="236"/>
      <c r="K168" s="236"/>
      <c r="L168" s="236"/>
      <c r="M168" s="236"/>
      <c r="N168" s="236"/>
      <c r="O168" s="236"/>
      <c r="S168" s="61">
        <f t="shared" si="40"/>
        <v>0</v>
      </c>
      <c r="T168" s="64" t="str">
        <f t="shared" si="39"/>
        <v>ESTADO DE SITUACIÓN FINANCIERA</v>
      </c>
      <c r="U168" s="64" t="str">
        <f t="shared" si="35"/>
        <v>ACTIVO</v>
      </c>
      <c r="V168" s="64" t="str">
        <f t="shared" si="36"/>
        <v>ACTIVOS  NO CORRIENTES</v>
      </c>
      <c r="W168" s="64" t="str">
        <f t="shared" si="37"/>
        <v>INVERSIONES NO CORRIENTES</v>
      </c>
      <c r="X168" s="64" t="str">
        <f t="shared" si="32"/>
        <v/>
      </c>
      <c r="Y168" s="64" t="str">
        <f t="shared" si="33"/>
        <v/>
      </c>
      <c r="Z168" s="64" t="str">
        <f t="shared" si="34"/>
        <v/>
      </c>
      <c r="AA168" s="64" t="str">
        <f t="shared" si="38"/>
        <v>INVERSIONES NO CORRIENTES</v>
      </c>
    </row>
    <row r="169" spans="1:27">
      <c r="A169" s="53"/>
      <c r="B169" s="53"/>
      <c r="C169" s="53"/>
      <c r="D169" s="53"/>
      <c r="E169" s="239" t="s">
        <v>272</v>
      </c>
      <c r="F169" s="239"/>
      <c r="G169" s="239"/>
      <c r="H169" s="239"/>
      <c r="I169" s="239"/>
      <c r="J169" s="239"/>
      <c r="K169" s="239"/>
      <c r="L169" s="239"/>
      <c r="M169" s="239"/>
      <c r="N169" s="239"/>
      <c r="O169" s="239"/>
      <c r="S169" s="61">
        <f t="shared" si="40"/>
        <v>0</v>
      </c>
      <c r="T169" s="64" t="str">
        <f t="shared" si="39"/>
        <v>ESTADO DE SITUACIÓN FINANCIERA</v>
      </c>
      <c r="U169" s="64" t="str">
        <f t="shared" si="35"/>
        <v>ACTIVO</v>
      </c>
      <c r="V169" s="64" t="str">
        <f t="shared" si="36"/>
        <v>ACTIVOS  NO CORRIENTES</v>
      </c>
      <c r="W169" s="64" t="str">
        <f t="shared" si="37"/>
        <v>INVERSIONES NO CORRIENTES</v>
      </c>
      <c r="X169" s="64" t="str">
        <f t="shared" si="32"/>
        <v>EN SUBSIDIARIAS</v>
      </c>
      <c r="Y169" s="64" t="str">
        <f t="shared" si="33"/>
        <v/>
      </c>
      <c r="Z169" s="64" t="str">
        <f t="shared" si="34"/>
        <v/>
      </c>
      <c r="AA169" s="64" t="str">
        <f t="shared" si="38"/>
        <v>INVERSIONES NO CORRIENTES_EN SUBSIDIARIAS__</v>
      </c>
    </row>
    <row r="170" spans="1:27">
      <c r="A170" s="53"/>
      <c r="B170" s="53"/>
      <c r="C170" s="53"/>
      <c r="D170" s="53"/>
      <c r="E170" s="53"/>
      <c r="F170" s="235" t="s">
        <v>144</v>
      </c>
      <c r="G170" s="235"/>
      <c r="H170" s="235"/>
      <c r="I170" s="235"/>
      <c r="J170" s="235"/>
      <c r="K170" s="235"/>
      <c r="L170" s="235"/>
      <c r="M170" s="235"/>
      <c r="N170" s="9" t="s">
        <v>273</v>
      </c>
      <c r="O170" s="55" t="e">
        <f>VLOOKUP(N170,Casilleros!$A$4:$Q$830,17,FALSE)</f>
        <v>#REF!</v>
      </c>
      <c r="S170" s="61" t="str">
        <f t="shared" si="40"/>
        <v>412</v>
      </c>
      <c r="T170" s="64" t="str">
        <f t="shared" si="39"/>
        <v>ESTADO DE SITUACIÓN FINANCIERA</v>
      </c>
      <c r="U170" s="64" t="str">
        <f t="shared" si="35"/>
        <v>ACTIVO</v>
      </c>
      <c r="V170" s="64" t="str">
        <f t="shared" si="36"/>
        <v>ACTIVOS  NO CORRIENTES</v>
      </c>
      <c r="W170" s="64" t="str">
        <f t="shared" si="37"/>
        <v>INVERSIONES NO CORRIENTES</v>
      </c>
      <c r="X170" s="64" t="str">
        <f t="shared" si="32"/>
        <v>EN SUBSIDIARIAS</v>
      </c>
      <c r="Y170" s="64" t="str">
        <f t="shared" si="33"/>
        <v>Costo</v>
      </c>
      <c r="Z170" s="64" t="str">
        <f t="shared" si="34"/>
        <v/>
      </c>
      <c r="AA170" s="64" t="str">
        <f t="shared" si="38"/>
        <v>INVERSIONES NO CORRIENTES_EN SUBSIDIARIAS_Costo_</v>
      </c>
    </row>
    <row r="171" spans="1:27">
      <c r="A171" s="53"/>
      <c r="B171" s="53"/>
      <c r="C171" s="53"/>
      <c r="D171" s="53"/>
      <c r="E171" s="53"/>
      <c r="F171" s="235" t="s">
        <v>274</v>
      </c>
      <c r="G171" s="235"/>
      <c r="H171" s="235"/>
      <c r="I171" s="235"/>
      <c r="J171" s="235"/>
      <c r="K171" s="235"/>
      <c r="L171" s="235"/>
      <c r="M171" s="235"/>
      <c r="N171" s="9" t="s">
        <v>275</v>
      </c>
      <c r="O171" s="55" t="e">
        <f>VLOOKUP(N171,Casilleros!$A$4:$Q$830,17,FALSE)</f>
        <v>#REF!</v>
      </c>
      <c r="S171" s="61" t="str">
        <f t="shared" si="40"/>
        <v>413</v>
      </c>
      <c r="T171" s="64" t="str">
        <f t="shared" si="39"/>
        <v>ESTADO DE SITUACIÓN FINANCIERA</v>
      </c>
      <c r="U171" s="64" t="str">
        <f t="shared" si="35"/>
        <v>ACTIVO</v>
      </c>
      <c r="V171" s="64" t="str">
        <f t="shared" si="36"/>
        <v>ACTIVOS  NO CORRIENTES</v>
      </c>
      <c r="W171" s="64" t="str">
        <f t="shared" si="37"/>
        <v>INVERSIONES NO CORRIENTES</v>
      </c>
      <c r="X171" s="64" t="str">
        <f t="shared" si="32"/>
        <v>EN SUBSIDIARIAS</v>
      </c>
      <c r="Y171" s="64" t="str">
        <f t="shared" si="33"/>
        <v>Ajuste acumulado por aplicación del método de la participación (valor patrimonial proporcional)</v>
      </c>
      <c r="Z171" s="64" t="str">
        <f t="shared" si="34"/>
        <v/>
      </c>
      <c r="AA171" s="64" t="str">
        <f t="shared" si="38"/>
        <v>INVERSIONES NO CORRIENTES_EN SUBSIDIARIAS_Ajuste acumulado por aplicación del método de la participación (valor patrimonial proporcional)_</v>
      </c>
    </row>
    <row r="172" spans="1:27">
      <c r="A172" s="53"/>
      <c r="B172" s="53"/>
      <c r="C172" s="53"/>
      <c r="D172" s="53"/>
      <c r="E172" s="239" t="s">
        <v>276</v>
      </c>
      <c r="F172" s="239"/>
      <c r="G172" s="239"/>
      <c r="H172" s="239"/>
      <c r="I172" s="239"/>
      <c r="J172" s="239"/>
      <c r="K172" s="239"/>
      <c r="L172" s="239"/>
      <c r="M172" s="239"/>
      <c r="N172" s="239"/>
      <c r="O172" s="239"/>
      <c r="S172" s="61">
        <f t="shared" si="40"/>
        <v>0</v>
      </c>
      <c r="T172" s="64" t="str">
        <f t="shared" si="39"/>
        <v>ESTADO DE SITUACIÓN FINANCIERA</v>
      </c>
      <c r="U172" s="64" t="str">
        <f t="shared" si="35"/>
        <v>ACTIVO</v>
      </c>
      <c r="V172" s="64" t="str">
        <f t="shared" si="36"/>
        <v>ACTIVOS  NO CORRIENTES</v>
      </c>
      <c r="W172" s="64" t="str">
        <f t="shared" si="37"/>
        <v>INVERSIONES NO CORRIENTES</v>
      </c>
      <c r="X172" s="64" t="str">
        <f t="shared" si="32"/>
        <v>EN ASOCIADAS</v>
      </c>
      <c r="Y172" s="64" t="str">
        <f t="shared" si="33"/>
        <v/>
      </c>
      <c r="Z172" s="64" t="str">
        <f t="shared" si="34"/>
        <v/>
      </c>
      <c r="AA172" s="64" t="str">
        <f t="shared" si="38"/>
        <v>INVERSIONES NO CORRIENTES_EN ASOCIADAS__</v>
      </c>
    </row>
    <row r="173" spans="1:27">
      <c r="A173" s="53"/>
      <c r="B173" s="53"/>
      <c r="C173" s="53"/>
      <c r="D173" s="53"/>
      <c r="E173" s="53"/>
      <c r="F173" s="235" t="s">
        <v>144</v>
      </c>
      <c r="G173" s="235"/>
      <c r="H173" s="235"/>
      <c r="I173" s="235"/>
      <c r="J173" s="235"/>
      <c r="K173" s="235"/>
      <c r="L173" s="235"/>
      <c r="M173" s="235"/>
      <c r="N173" s="9" t="s">
        <v>277</v>
      </c>
      <c r="O173" s="55" t="e">
        <f>VLOOKUP(N173,Casilleros!$A$4:$Q$830,17,FALSE)</f>
        <v>#REF!</v>
      </c>
      <c r="S173" s="61" t="str">
        <f t="shared" si="40"/>
        <v>414</v>
      </c>
      <c r="T173" s="64" t="str">
        <f t="shared" si="39"/>
        <v>ESTADO DE SITUACIÓN FINANCIERA</v>
      </c>
      <c r="U173" s="64" t="str">
        <f t="shared" si="35"/>
        <v>ACTIVO</v>
      </c>
      <c r="V173" s="64" t="str">
        <f t="shared" si="36"/>
        <v>ACTIVOS  NO CORRIENTES</v>
      </c>
      <c r="W173" s="64" t="str">
        <f t="shared" si="37"/>
        <v>INVERSIONES NO CORRIENTES</v>
      </c>
      <c r="X173" s="64" t="str">
        <f t="shared" si="32"/>
        <v>EN ASOCIADAS</v>
      </c>
      <c r="Y173" s="64" t="str">
        <f t="shared" si="33"/>
        <v>Costo</v>
      </c>
      <c r="Z173" s="64" t="str">
        <f t="shared" si="34"/>
        <v/>
      </c>
      <c r="AA173" s="64" t="str">
        <f t="shared" si="38"/>
        <v>INVERSIONES NO CORRIENTES_EN ASOCIADAS_Costo_</v>
      </c>
    </row>
    <row r="174" spans="1:27">
      <c r="A174" s="53"/>
      <c r="B174" s="53"/>
      <c r="C174" s="53"/>
      <c r="D174" s="53"/>
      <c r="E174" s="53"/>
      <c r="F174" s="235" t="s">
        <v>274</v>
      </c>
      <c r="G174" s="235"/>
      <c r="H174" s="235"/>
      <c r="I174" s="235"/>
      <c r="J174" s="235"/>
      <c r="K174" s="235"/>
      <c r="L174" s="235"/>
      <c r="M174" s="235"/>
      <c r="N174" s="9" t="s">
        <v>278</v>
      </c>
      <c r="O174" s="55" t="e">
        <f>VLOOKUP(N174,Casilleros!$A$4:$Q$830,17,FALSE)</f>
        <v>#REF!</v>
      </c>
      <c r="S174" s="61" t="str">
        <f t="shared" si="40"/>
        <v>415</v>
      </c>
      <c r="T174" s="64" t="str">
        <f t="shared" si="39"/>
        <v>ESTADO DE SITUACIÓN FINANCIERA</v>
      </c>
      <c r="U174" s="64" t="str">
        <f t="shared" si="35"/>
        <v>ACTIVO</v>
      </c>
      <c r="V174" s="64" t="str">
        <f t="shared" si="36"/>
        <v>ACTIVOS  NO CORRIENTES</v>
      </c>
      <c r="W174" s="64" t="str">
        <f t="shared" si="37"/>
        <v>INVERSIONES NO CORRIENTES</v>
      </c>
      <c r="X174" s="64" t="str">
        <f t="shared" si="32"/>
        <v>EN ASOCIADAS</v>
      </c>
      <c r="Y174" s="64" t="str">
        <f t="shared" si="33"/>
        <v>Ajuste acumulado por aplicación del método de la participación (valor patrimonial proporcional)</v>
      </c>
      <c r="Z174" s="64" t="str">
        <f t="shared" si="34"/>
        <v/>
      </c>
      <c r="AA174" s="64" t="str">
        <f t="shared" si="38"/>
        <v>INVERSIONES NO CORRIENTES_EN ASOCIADAS_Ajuste acumulado por aplicación del método de la participación (valor patrimonial proporcional)_</v>
      </c>
    </row>
    <row r="175" spans="1:27">
      <c r="A175" s="53"/>
      <c r="B175" s="53"/>
      <c r="C175" s="53"/>
      <c r="D175" s="53"/>
      <c r="E175" s="239" t="s">
        <v>279</v>
      </c>
      <c r="F175" s="239"/>
      <c r="G175" s="239"/>
      <c r="H175" s="239"/>
      <c r="I175" s="239"/>
      <c r="J175" s="239"/>
      <c r="K175" s="239"/>
      <c r="L175" s="239"/>
      <c r="M175" s="239"/>
      <c r="N175" s="239"/>
      <c r="O175" s="239"/>
      <c r="S175" s="61">
        <f t="shared" si="40"/>
        <v>0</v>
      </c>
      <c r="T175" s="64" t="str">
        <f t="shared" si="39"/>
        <v>ESTADO DE SITUACIÓN FINANCIERA</v>
      </c>
      <c r="U175" s="64" t="str">
        <f t="shared" si="35"/>
        <v>ACTIVO</v>
      </c>
      <c r="V175" s="64" t="str">
        <f t="shared" si="36"/>
        <v>ACTIVOS  NO CORRIENTES</v>
      </c>
      <c r="W175" s="64" t="str">
        <f t="shared" si="37"/>
        <v>INVERSIONES NO CORRIENTES</v>
      </c>
      <c r="X175" s="64" t="str">
        <f t="shared" si="32"/>
        <v>EN NEGOCIOS CONJUNTOS</v>
      </c>
      <c r="Y175" s="64" t="str">
        <f t="shared" si="33"/>
        <v/>
      </c>
      <c r="Z175" s="64" t="str">
        <f t="shared" si="34"/>
        <v/>
      </c>
      <c r="AA175" s="64" t="str">
        <f t="shared" si="38"/>
        <v>INVERSIONES NO CORRIENTES_EN NEGOCIOS CONJUNTOS__</v>
      </c>
    </row>
    <row r="176" spans="1:27">
      <c r="A176" s="53"/>
      <c r="B176" s="53"/>
      <c r="C176" s="53"/>
      <c r="D176" s="53"/>
      <c r="E176" s="53"/>
      <c r="F176" s="235" t="s">
        <v>144</v>
      </c>
      <c r="G176" s="235"/>
      <c r="H176" s="235"/>
      <c r="I176" s="235"/>
      <c r="J176" s="235"/>
      <c r="K176" s="235"/>
      <c r="L176" s="235"/>
      <c r="M176" s="235"/>
      <c r="N176" s="9" t="s">
        <v>280</v>
      </c>
      <c r="O176" s="55" t="e">
        <f>VLOOKUP(N176,Casilleros!$A$4:$Q$830,17,FALSE)</f>
        <v>#REF!</v>
      </c>
      <c r="S176" s="61" t="str">
        <f t="shared" si="40"/>
        <v>416</v>
      </c>
      <c r="T176" s="64" t="str">
        <f t="shared" si="39"/>
        <v>ESTADO DE SITUACIÓN FINANCIERA</v>
      </c>
      <c r="U176" s="64" t="str">
        <f t="shared" si="35"/>
        <v>ACTIVO</v>
      </c>
      <c r="V176" s="64" t="str">
        <f t="shared" si="36"/>
        <v>ACTIVOS  NO CORRIENTES</v>
      </c>
      <c r="W176" s="64" t="str">
        <f t="shared" si="37"/>
        <v>INVERSIONES NO CORRIENTES</v>
      </c>
      <c r="X176" s="64" t="str">
        <f t="shared" ref="X176:X239" si="41">IF(W175&lt;&gt;W176,"",(IF(E176&lt;&gt;"",E176,X175)))</f>
        <v>EN NEGOCIOS CONJUNTOS</v>
      </c>
      <c r="Y176" s="64" t="str">
        <f t="shared" ref="Y176:Y239" si="42">IF(X175&lt;&gt;X176,"",(IF(F176&lt;&gt;"",F176,Y175)))</f>
        <v>Costo</v>
      </c>
      <c r="Z176" s="64" t="str">
        <f t="shared" ref="Z176:Z239" si="43">IF(Y175&lt;&gt;Y176,"",(IF(G176&lt;&gt;"",G176,Z175)))</f>
        <v/>
      </c>
      <c r="AA176" s="64" t="str">
        <f t="shared" si="38"/>
        <v>INVERSIONES NO CORRIENTES_EN NEGOCIOS CONJUNTOS_Costo_</v>
      </c>
    </row>
    <row r="177" spans="1:27">
      <c r="A177" s="53"/>
      <c r="B177" s="53"/>
      <c r="C177" s="53"/>
      <c r="D177" s="53"/>
      <c r="E177" s="53"/>
      <c r="F177" s="235" t="s">
        <v>274</v>
      </c>
      <c r="G177" s="235"/>
      <c r="H177" s="235"/>
      <c r="I177" s="235"/>
      <c r="J177" s="235"/>
      <c r="K177" s="235"/>
      <c r="L177" s="235"/>
      <c r="M177" s="235"/>
      <c r="N177" s="9" t="s">
        <v>281</v>
      </c>
      <c r="O177" s="55" t="e">
        <f>VLOOKUP(N177,Casilleros!$A$4:$Q$830,17,FALSE)</f>
        <v>#REF!</v>
      </c>
      <c r="S177" s="61" t="str">
        <f t="shared" si="40"/>
        <v>417</v>
      </c>
      <c r="T177" s="64" t="str">
        <f t="shared" si="39"/>
        <v>ESTADO DE SITUACIÓN FINANCIERA</v>
      </c>
      <c r="U177" s="64" t="str">
        <f t="shared" si="35"/>
        <v>ACTIVO</v>
      </c>
      <c r="V177" s="64" t="str">
        <f t="shared" si="36"/>
        <v>ACTIVOS  NO CORRIENTES</v>
      </c>
      <c r="W177" s="64" t="str">
        <f t="shared" si="37"/>
        <v>INVERSIONES NO CORRIENTES</v>
      </c>
      <c r="X177" s="64" t="str">
        <f t="shared" si="41"/>
        <v>EN NEGOCIOS CONJUNTOS</v>
      </c>
      <c r="Y177" s="64" t="str">
        <f t="shared" si="42"/>
        <v>Ajuste acumulado por aplicación del método de la participación (valor patrimonial proporcional)</v>
      </c>
      <c r="Z177" s="64" t="str">
        <f t="shared" si="43"/>
        <v/>
      </c>
      <c r="AA177" s="64" t="str">
        <f t="shared" si="38"/>
        <v>INVERSIONES NO CORRIENTES_EN NEGOCIOS CONJUNTOS_Ajuste acumulado por aplicación del método de la participación (valor patrimonial proporcional)_</v>
      </c>
    </row>
    <row r="178" spans="1:27">
      <c r="A178" s="53"/>
      <c r="B178" s="53"/>
      <c r="C178" s="53"/>
      <c r="D178" s="53"/>
      <c r="E178" s="243" t="s">
        <v>282</v>
      </c>
      <c r="F178" s="243"/>
      <c r="G178" s="243"/>
      <c r="H178" s="243"/>
      <c r="I178" s="243"/>
      <c r="J178" s="243"/>
      <c r="K178" s="243"/>
      <c r="L178" s="243"/>
      <c r="M178" s="243"/>
      <c r="N178" s="9" t="s">
        <v>283</v>
      </c>
      <c r="O178" s="55" t="e">
        <f>VLOOKUP(N178,Casilleros!$A$4:$Q$830,17,FALSE)</f>
        <v>#REF!</v>
      </c>
      <c r="S178" s="61" t="str">
        <f t="shared" si="40"/>
        <v>418</v>
      </c>
      <c r="T178" s="64" t="str">
        <f t="shared" si="39"/>
        <v>ESTADO DE SITUACIÓN FINANCIERA</v>
      </c>
      <c r="U178" s="64" t="str">
        <f t="shared" si="35"/>
        <v>ACTIVO</v>
      </c>
      <c r="V178" s="64" t="str">
        <f t="shared" si="36"/>
        <v>ACTIVOS  NO CORRIENTES</v>
      </c>
      <c r="W178" s="64" t="str">
        <f t="shared" si="37"/>
        <v>INVERSIONES NO CORRIENTES</v>
      </c>
      <c r="X178" s="64" t="str">
        <f t="shared" si="41"/>
        <v>Otros Derechos Representativos de Capital en Sociedades que no son Subsidiarias, ni Asociadas, ni Negocios Conjuntos</v>
      </c>
      <c r="Y178" s="64" t="str">
        <f t="shared" si="42"/>
        <v/>
      </c>
      <c r="Z178" s="64" t="str">
        <f t="shared" si="43"/>
        <v/>
      </c>
      <c r="AA178" s="64" t="str">
        <f t="shared" si="38"/>
        <v>INVERSIONES NO CORRIENTES_Otros Derechos Representativos de Capital en Sociedades que no son Subsidiarias, ni Asociadas, ni Negocios Conjuntos__</v>
      </c>
    </row>
    <row r="179" spans="1:27">
      <c r="A179" s="53"/>
      <c r="B179" s="53"/>
      <c r="C179" s="53"/>
      <c r="D179" s="53"/>
      <c r="E179" s="243" t="s">
        <v>284</v>
      </c>
      <c r="F179" s="243"/>
      <c r="G179" s="243"/>
      <c r="H179" s="243"/>
      <c r="I179" s="243"/>
      <c r="J179" s="243"/>
      <c r="K179" s="243"/>
      <c r="L179" s="243"/>
      <c r="M179" s="243"/>
      <c r="N179" s="9" t="s">
        <v>285</v>
      </c>
      <c r="O179" s="55" t="e">
        <f>VLOOKUP(N179,Casilleros!$A$4:$Q$830,17,FALSE)</f>
        <v>#REF!</v>
      </c>
      <c r="S179" s="61" t="str">
        <f t="shared" si="40"/>
        <v>419</v>
      </c>
      <c r="T179" s="64" t="str">
        <f t="shared" si="39"/>
        <v>ESTADO DE SITUACIÓN FINANCIERA</v>
      </c>
      <c r="U179" s="64" t="str">
        <f t="shared" si="35"/>
        <v>ACTIVO</v>
      </c>
      <c r="V179" s="64" t="str">
        <f t="shared" si="36"/>
        <v>ACTIVOS  NO CORRIENTES</v>
      </c>
      <c r="W179" s="64" t="str">
        <f t="shared" si="37"/>
        <v>INVERSIONES NO CORRIENTES</v>
      </c>
      <c r="X179" s="64" t="str">
        <f t="shared" si="41"/>
        <v>(-) Deterioro Acumulado del Valor de Inversiones no Corrientes</v>
      </c>
      <c r="Y179" s="64" t="str">
        <f t="shared" si="42"/>
        <v/>
      </c>
      <c r="Z179" s="64" t="str">
        <f t="shared" si="43"/>
        <v/>
      </c>
      <c r="AA179" s="64" t="str">
        <f t="shared" si="38"/>
        <v>INVERSIONES NO CORRIENTES_(-) Deterioro Acumulado del Valor de Inversiones no Corrientes__</v>
      </c>
    </row>
    <row r="180" spans="1:27">
      <c r="A180" s="53"/>
      <c r="B180" s="53"/>
      <c r="C180" s="53"/>
      <c r="D180" s="236" t="s">
        <v>286</v>
      </c>
      <c r="E180" s="236"/>
      <c r="F180" s="236"/>
      <c r="G180" s="236"/>
      <c r="H180" s="236"/>
      <c r="I180" s="236"/>
      <c r="J180" s="236"/>
      <c r="K180" s="236"/>
      <c r="L180" s="236"/>
      <c r="M180" s="236"/>
      <c r="N180" s="236"/>
      <c r="O180" s="236"/>
      <c r="S180" s="61">
        <f t="shared" si="40"/>
        <v>0</v>
      </c>
      <c r="T180" s="64" t="str">
        <f t="shared" si="39"/>
        <v>ESTADO DE SITUACIÓN FINANCIERA</v>
      </c>
      <c r="U180" s="64" t="str">
        <f t="shared" si="35"/>
        <v>ACTIVO</v>
      </c>
      <c r="V180" s="64" t="str">
        <f t="shared" si="36"/>
        <v>ACTIVOS  NO CORRIENTES</v>
      </c>
      <c r="W180" s="64" t="str">
        <f t="shared" si="37"/>
        <v>CUENTAS Y DOCUMENTOS POR COBRAR NO CORRIENTES</v>
      </c>
      <c r="X180" s="64" t="str">
        <f t="shared" si="41"/>
        <v/>
      </c>
      <c r="Y180" s="64" t="str">
        <f t="shared" si="42"/>
        <v/>
      </c>
      <c r="Z180" s="64" t="str">
        <f t="shared" si="43"/>
        <v/>
      </c>
      <c r="AA180" s="64" t="str">
        <f t="shared" si="38"/>
        <v>CUENTAS Y DOCUMENTOS POR COBRAR NO CORRIENTES</v>
      </c>
    </row>
    <row r="181" spans="1:27">
      <c r="A181" s="53"/>
      <c r="B181" s="53"/>
      <c r="C181" s="53"/>
      <c r="D181" s="53"/>
      <c r="E181" s="236" t="s">
        <v>287</v>
      </c>
      <c r="F181" s="236"/>
      <c r="G181" s="236"/>
      <c r="H181" s="236"/>
      <c r="I181" s="236"/>
      <c r="J181" s="236"/>
      <c r="K181" s="236"/>
      <c r="L181" s="236"/>
      <c r="M181" s="236"/>
      <c r="N181" s="236"/>
      <c r="O181" s="236"/>
      <c r="S181" s="61">
        <f t="shared" si="40"/>
        <v>0</v>
      </c>
      <c r="T181" s="64" t="str">
        <f t="shared" si="39"/>
        <v>ESTADO DE SITUACIÓN FINANCIERA</v>
      </c>
      <c r="U181" s="64" t="str">
        <f t="shared" si="35"/>
        <v>ACTIVO</v>
      </c>
      <c r="V181" s="64" t="str">
        <f t="shared" si="36"/>
        <v>ACTIVOS  NO CORRIENTES</v>
      </c>
      <c r="W181" s="64" t="str">
        <f t="shared" si="37"/>
        <v>CUENTAS Y DOCUMENTOS POR COBRAR NO CORRIENTES</v>
      </c>
      <c r="X181" s="64" t="str">
        <f t="shared" si="41"/>
        <v>CUENTAS Y DOCUMENTOS POR COBRAR COMERCIALES NO CORRIENTES</v>
      </c>
      <c r="Y181" s="64" t="str">
        <f t="shared" si="42"/>
        <v/>
      </c>
      <c r="Z181" s="64" t="str">
        <f t="shared" si="43"/>
        <v/>
      </c>
      <c r="AA181" s="64" t="str">
        <f t="shared" si="38"/>
        <v>CUENTAS Y DOCUMENTOS POR COBRAR NO CORRIENTES_CUENTAS Y DOCUMENTOS POR COBRAR COMERCIALES NO CORRIENTES__</v>
      </c>
    </row>
    <row r="182" spans="1:27">
      <c r="A182" s="53"/>
      <c r="B182" s="53"/>
      <c r="C182" s="53"/>
      <c r="D182" s="53"/>
      <c r="E182" s="53"/>
      <c r="F182" s="239" t="s">
        <v>72</v>
      </c>
      <c r="G182" s="239"/>
      <c r="H182" s="239"/>
      <c r="I182" s="239"/>
      <c r="J182" s="239"/>
      <c r="K182" s="239"/>
      <c r="L182" s="239"/>
      <c r="M182" s="239"/>
      <c r="N182" s="239"/>
      <c r="O182" s="239"/>
      <c r="S182" s="61">
        <f t="shared" si="40"/>
        <v>0</v>
      </c>
      <c r="T182" s="64" t="str">
        <f t="shared" si="39"/>
        <v>ESTADO DE SITUACIÓN FINANCIERA</v>
      </c>
      <c r="U182" s="64" t="str">
        <f t="shared" si="35"/>
        <v>ACTIVO</v>
      </c>
      <c r="V182" s="64" t="str">
        <f t="shared" si="36"/>
        <v>ACTIVOS  NO CORRIENTES</v>
      </c>
      <c r="W182" s="64" t="str">
        <f t="shared" si="37"/>
        <v>CUENTAS Y DOCUMENTOS POR COBRAR NO CORRIENTES</v>
      </c>
      <c r="X182" s="64" t="str">
        <f t="shared" si="41"/>
        <v>CUENTAS Y DOCUMENTOS POR COBRAR COMERCIALES NO CORRIENTES</v>
      </c>
      <c r="Y182" s="64" t="str">
        <f t="shared" si="42"/>
        <v>RELACIONADAS</v>
      </c>
      <c r="Z182" s="64" t="str">
        <f t="shared" si="43"/>
        <v/>
      </c>
      <c r="AA182" s="64" t="str">
        <f t="shared" si="38"/>
        <v>CUENTAS Y DOCUMENTOS POR COBRAR NO CORRIENTES_CUENTAS Y DOCUMENTOS POR COBRAR COMERCIALES NO CORRIENTES_RELACIONADAS_</v>
      </c>
    </row>
    <row r="183" spans="1:27">
      <c r="A183" s="53"/>
      <c r="B183" s="53"/>
      <c r="C183" s="53"/>
      <c r="D183" s="53"/>
      <c r="E183" s="53"/>
      <c r="F183" s="53"/>
      <c r="G183" s="235" t="s">
        <v>73</v>
      </c>
      <c r="H183" s="235"/>
      <c r="I183" s="235"/>
      <c r="J183" s="235"/>
      <c r="K183" s="235"/>
      <c r="L183" s="235"/>
      <c r="M183" s="235"/>
      <c r="N183" s="9" t="s">
        <v>288</v>
      </c>
      <c r="O183" s="55" t="e">
        <f>VLOOKUP(N183,Casilleros!$A$4:$Q$830,17,FALSE)</f>
        <v>#REF!</v>
      </c>
      <c r="S183" s="61" t="str">
        <f t="shared" si="40"/>
        <v>420</v>
      </c>
      <c r="T183" s="64" t="str">
        <f t="shared" si="39"/>
        <v>ESTADO DE SITUACIÓN FINANCIERA</v>
      </c>
      <c r="U183" s="64" t="str">
        <f t="shared" si="35"/>
        <v>ACTIVO</v>
      </c>
      <c r="V183" s="64" t="str">
        <f t="shared" si="36"/>
        <v>ACTIVOS  NO CORRIENTES</v>
      </c>
      <c r="W183" s="64" t="str">
        <f t="shared" si="37"/>
        <v>CUENTAS Y DOCUMENTOS POR COBRAR NO CORRIENTES</v>
      </c>
      <c r="X183" s="64" t="str">
        <f t="shared" si="41"/>
        <v>CUENTAS Y DOCUMENTOS POR COBRAR COMERCIALES NO CORRIENTES</v>
      </c>
      <c r="Y183" s="64" t="str">
        <f t="shared" si="42"/>
        <v>RELACIONADAS</v>
      </c>
      <c r="Z183" s="64" t="str">
        <f t="shared" si="43"/>
        <v>Locales</v>
      </c>
      <c r="AA183" s="64" t="str">
        <f t="shared" si="38"/>
        <v>CUENTAS Y DOCUMENTOS POR COBRAR NO CORRIENTES_CUENTAS Y DOCUMENTOS POR COBRAR COMERCIALES NO CORRIENTES_RELACIONADAS_Locales</v>
      </c>
    </row>
    <row r="184" spans="1:27">
      <c r="A184" s="53"/>
      <c r="B184" s="53"/>
      <c r="C184" s="53"/>
      <c r="D184" s="53"/>
      <c r="E184" s="53"/>
      <c r="F184" s="53"/>
      <c r="G184" s="235" t="s">
        <v>26</v>
      </c>
      <c r="H184" s="235"/>
      <c r="I184" s="235"/>
      <c r="J184" s="235"/>
      <c r="K184" s="235"/>
      <c r="L184" s="235"/>
      <c r="M184" s="235"/>
      <c r="N184" s="9" t="s">
        <v>289</v>
      </c>
      <c r="O184" s="55" t="e">
        <f>VLOOKUP(N184,Casilleros!$A$4:$Q$830,17,FALSE)</f>
        <v>#REF!</v>
      </c>
      <c r="S184" s="61" t="str">
        <f t="shared" si="40"/>
        <v>421</v>
      </c>
      <c r="T184" s="64" t="str">
        <f t="shared" si="39"/>
        <v>ESTADO DE SITUACIÓN FINANCIERA</v>
      </c>
      <c r="U184" s="64" t="str">
        <f t="shared" si="35"/>
        <v>ACTIVO</v>
      </c>
      <c r="V184" s="64" t="str">
        <f t="shared" si="36"/>
        <v>ACTIVOS  NO CORRIENTES</v>
      </c>
      <c r="W184" s="64" t="str">
        <f t="shared" si="37"/>
        <v>CUENTAS Y DOCUMENTOS POR COBRAR NO CORRIENTES</v>
      </c>
      <c r="X184" s="64" t="str">
        <f t="shared" si="41"/>
        <v>CUENTAS Y DOCUMENTOS POR COBRAR COMERCIALES NO CORRIENTES</v>
      </c>
      <c r="Y184" s="64" t="str">
        <f t="shared" si="42"/>
        <v>RELACIONADAS</v>
      </c>
      <c r="Z184" s="64" t="str">
        <f t="shared" si="43"/>
        <v>Del exterior</v>
      </c>
      <c r="AA184" s="64" t="str">
        <f t="shared" si="38"/>
        <v>CUENTAS Y DOCUMENTOS POR COBRAR NO CORRIENTES_CUENTAS Y DOCUMENTOS POR COBRAR COMERCIALES NO CORRIENTES_RELACIONADAS_Del exterior</v>
      </c>
    </row>
    <row r="185" spans="1:27">
      <c r="A185" s="53"/>
      <c r="B185" s="53"/>
      <c r="C185" s="53"/>
      <c r="D185" s="53"/>
      <c r="E185" s="53"/>
      <c r="F185" s="53"/>
      <c r="G185" s="235" t="s">
        <v>76</v>
      </c>
      <c r="H185" s="235"/>
      <c r="I185" s="235"/>
      <c r="J185" s="235"/>
      <c r="K185" s="235"/>
      <c r="L185" s="235"/>
      <c r="M185" s="235"/>
      <c r="N185" s="9" t="s">
        <v>290</v>
      </c>
      <c r="O185" s="55" t="e">
        <f>VLOOKUP(N185,Casilleros!$A$4:$Q$830,17,FALSE)</f>
        <v>#REF!</v>
      </c>
      <c r="S185" s="61" t="str">
        <f t="shared" si="40"/>
        <v>422</v>
      </c>
      <c r="T185" s="64" t="str">
        <f t="shared" si="39"/>
        <v>ESTADO DE SITUACIÓN FINANCIERA</v>
      </c>
      <c r="U185" s="64" t="str">
        <f t="shared" si="35"/>
        <v>ACTIVO</v>
      </c>
      <c r="V185" s="64" t="str">
        <f t="shared" si="36"/>
        <v>ACTIVOS  NO CORRIENTES</v>
      </c>
      <c r="W185" s="64" t="str">
        <f t="shared" si="37"/>
        <v>CUENTAS Y DOCUMENTOS POR COBRAR NO CORRIENTES</v>
      </c>
      <c r="X185" s="64" t="str">
        <f t="shared" si="41"/>
        <v>CUENTAS Y DOCUMENTOS POR COBRAR COMERCIALES NO CORRIENTES</v>
      </c>
      <c r="Y185" s="64" t="str">
        <f t="shared" si="42"/>
        <v>RELACIONADAS</v>
      </c>
      <c r="Z185" s="64" t="str">
        <f t="shared" si="43"/>
        <v>(-) Deterioro acumulado del valor de cuentas y documentos por cobrar comerciales por incobrabilidad (provisiones para créditos incobrables)</v>
      </c>
      <c r="AA185" s="64" t="str">
        <f t="shared" si="38"/>
        <v>CUENTAS Y DOCUMENTOS POR COBRAR NO CORRIENTES_CUENTAS Y DOCUMENTOS POR COBRAR COMERCIALES NO CORRIENTES_RELACIONADAS_(-) Deterioro acumulado del valor de cuentas y documentos por cobrar comerciales por incobrabilidad (provisiones para créditos incobrables)</v>
      </c>
    </row>
    <row r="186" spans="1:27">
      <c r="A186" s="53"/>
      <c r="B186" s="53"/>
      <c r="C186" s="53"/>
      <c r="D186" s="53"/>
      <c r="E186" s="53"/>
      <c r="F186" s="239" t="s">
        <v>78</v>
      </c>
      <c r="G186" s="239"/>
      <c r="H186" s="239"/>
      <c r="I186" s="239"/>
      <c r="J186" s="239"/>
      <c r="K186" s="239"/>
      <c r="L186" s="239"/>
      <c r="M186" s="239"/>
      <c r="N186" s="239"/>
      <c r="O186" s="239"/>
      <c r="S186" s="61">
        <f t="shared" si="40"/>
        <v>0</v>
      </c>
      <c r="T186" s="64" t="str">
        <f t="shared" si="39"/>
        <v>ESTADO DE SITUACIÓN FINANCIERA</v>
      </c>
      <c r="U186" s="64" t="str">
        <f t="shared" si="35"/>
        <v>ACTIVO</v>
      </c>
      <c r="V186" s="64" t="str">
        <f t="shared" si="36"/>
        <v>ACTIVOS  NO CORRIENTES</v>
      </c>
      <c r="W186" s="64" t="str">
        <f t="shared" si="37"/>
        <v>CUENTAS Y DOCUMENTOS POR COBRAR NO CORRIENTES</v>
      </c>
      <c r="X186" s="64" t="str">
        <f t="shared" si="41"/>
        <v>CUENTAS Y DOCUMENTOS POR COBRAR COMERCIALES NO CORRIENTES</v>
      </c>
      <c r="Y186" s="64" t="str">
        <f t="shared" si="42"/>
        <v>NO RELACIONADAS</v>
      </c>
      <c r="Z186" s="64" t="str">
        <f t="shared" si="43"/>
        <v/>
      </c>
      <c r="AA186" s="64" t="str">
        <f t="shared" si="38"/>
        <v>CUENTAS Y DOCUMENTOS POR COBRAR NO CORRIENTES_CUENTAS Y DOCUMENTOS POR COBRAR COMERCIALES NO CORRIENTES_NO RELACIONADAS_</v>
      </c>
    </row>
    <row r="187" spans="1:27">
      <c r="A187" s="53"/>
      <c r="B187" s="53"/>
      <c r="C187" s="53"/>
      <c r="D187" s="53"/>
      <c r="E187" s="53"/>
      <c r="F187" s="53"/>
      <c r="G187" s="235" t="s">
        <v>73</v>
      </c>
      <c r="H187" s="235"/>
      <c r="I187" s="235"/>
      <c r="J187" s="235"/>
      <c r="K187" s="235"/>
      <c r="L187" s="235"/>
      <c r="M187" s="235"/>
      <c r="N187" s="9" t="s">
        <v>291</v>
      </c>
      <c r="O187" s="55" t="e">
        <f>VLOOKUP(N187,Casilleros!$A$4:$Q$830,17,FALSE)</f>
        <v>#REF!</v>
      </c>
      <c r="S187" s="61" t="str">
        <f t="shared" si="40"/>
        <v>423</v>
      </c>
      <c r="T187" s="64" t="str">
        <f t="shared" si="39"/>
        <v>ESTADO DE SITUACIÓN FINANCIERA</v>
      </c>
      <c r="U187" s="64" t="str">
        <f t="shared" si="35"/>
        <v>ACTIVO</v>
      </c>
      <c r="V187" s="64" t="str">
        <f t="shared" si="36"/>
        <v>ACTIVOS  NO CORRIENTES</v>
      </c>
      <c r="W187" s="64" t="str">
        <f t="shared" si="37"/>
        <v>CUENTAS Y DOCUMENTOS POR COBRAR NO CORRIENTES</v>
      </c>
      <c r="X187" s="64" t="str">
        <f t="shared" si="41"/>
        <v>CUENTAS Y DOCUMENTOS POR COBRAR COMERCIALES NO CORRIENTES</v>
      </c>
      <c r="Y187" s="64" t="str">
        <f t="shared" si="42"/>
        <v>NO RELACIONADAS</v>
      </c>
      <c r="Z187" s="64" t="str">
        <f t="shared" si="43"/>
        <v>Locales</v>
      </c>
      <c r="AA187" s="64" t="str">
        <f t="shared" si="38"/>
        <v>CUENTAS Y DOCUMENTOS POR COBRAR NO CORRIENTES_CUENTAS Y DOCUMENTOS POR COBRAR COMERCIALES NO CORRIENTES_NO RELACIONADAS_Locales</v>
      </c>
    </row>
    <row r="188" spans="1:27">
      <c r="A188" s="53"/>
      <c r="B188" s="53"/>
      <c r="C188" s="53"/>
      <c r="D188" s="53"/>
      <c r="E188" s="53"/>
      <c r="F188" s="53"/>
      <c r="G188" s="235" t="s">
        <v>26</v>
      </c>
      <c r="H188" s="235"/>
      <c r="I188" s="235"/>
      <c r="J188" s="235"/>
      <c r="K188" s="235"/>
      <c r="L188" s="235"/>
      <c r="M188" s="235"/>
      <c r="N188" s="9" t="s">
        <v>292</v>
      </c>
      <c r="O188" s="55" t="e">
        <f>VLOOKUP(N188,Casilleros!$A$4:$Q$830,17,FALSE)</f>
        <v>#REF!</v>
      </c>
      <c r="S188" s="61" t="str">
        <f t="shared" si="40"/>
        <v>424</v>
      </c>
      <c r="T188" s="64" t="str">
        <f t="shared" si="39"/>
        <v>ESTADO DE SITUACIÓN FINANCIERA</v>
      </c>
      <c r="U188" s="64" t="str">
        <f t="shared" si="35"/>
        <v>ACTIVO</v>
      </c>
      <c r="V188" s="64" t="str">
        <f t="shared" si="36"/>
        <v>ACTIVOS  NO CORRIENTES</v>
      </c>
      <c r="W188" s="64" t="str">
        <f t="shared" si="37"/>
        <v>CUENTAS Y DOCUMENTOS POR COBRAR NO CORRIENTES</v>
      </c>
      <c r="X188" s="64" t="str">
        <f t="shared" si="41"/>
        <v>CUENTAS Y DOCUMENTOS POR COBRAR COMERCIALES NO CORRIENTES</v>
      </c>
      <c r="Y188" s="64" t="str">
        <f t="shared" si="42"/>
        <v>NO RELACIONADAS</v>
      </c>
      <c r="Z188" s="64" t="str">
        <f t="shared" si="43"/>
        <v>Del exterior</v>
      </c>
      <c r="AA188" s="64" t="str">
        <f t="shared" si="38"/>
        <v>CUENTAS Y DOCUMENTOS POR COBRAR NO CORRIENTES_CUENTAS Y DOCUMENTOS POR COBRAR COMERCIALES NO CORRIENTES_NO RELACIONADAS_Del exterior</v>
      </c>
    </row>
    <row r="189" spans="1:27">
      <c r="A189" s="53"/>
      <c r="B189" s="53"/>
      <c r="C189" s="53"/>
      <c r="D189" s="53"/>
      <c r="E189" s="53"/>
      <c r="F189" s="53"/>
      <c r="G189" s="235" t="s">
        <v>76</v>
      </c>
      <c r="H189" s="235"/>
      <c r="I189" s="235"/>
      <c r="J189" s="235"/>
      <c r="K189" s="235"/>
      <c r="L189" s="235"/>
      <c r="M189" s="235"/>
      <c r="N189" s="9" t="s">
        <v>293</v>
      </c>
      <c r="O189" s="55" t="e">
        <f>VLOOKUP(N189,Casilleros!$A$4:$Q$830,17,FALSE)</f>
        <v>#REF!</v>
      </c>
      <c r="S189" s="61" t="str">
        <f t="shared" si="40"/>
        <v>425</v>
      </c>
      <c r="T189" s="64" t="str">
        <f t="shared" si="39"/>
        <v>ESTADO DE SITUACIÓN FINANCIERA</v>
      </c>
      <c r="U189" s="64" t="str">
        <f t="shared" si="35"/>
        <v>ACTIVO</v>
      </c>
      <c r="V189" s="64" t="str">
        <f t="shared" si="36"/>
        <v>ACTIVOS  NO CORRIENTES</v>
      </c>
      <c r="W189" s="64" t="str">
        <f t="shared" si="37"/>
        <v>CUENTAS Y DOCUMENTOS POR COBRAR NO CORRIENTES</v>
      </c>
      <c r="X189" s="64" t="str">
        <f t="shared" si="41"/>
        <v>CUENTAS Y DOCUMENTOS POR COBRAR COMERCIALES NO CORRIENTES</v>
      </c>
      <c r="Y189" s="64" t="str">
        <f t="shared" si="42"/>
        <v>NO RELACIONADAS</v>
      </c>
      <c r="Z189" s="64" t="str">
        <f t="shared" si="43"/>
        <v>(-) Deterioro acumulado del valor de cuentas y documentos por cobrar comerciales por incobrabilidad (provisiones para créditos incobrables)</v>
      </c>
      <c r="AA189" s="64" t="str">
        <f t="shared" si="38"/>
        <v>CUENTAS Y DOCUMENTOS POR COBRAR NO CORRIENTES_CUENTAS Y DOCUMENTOS POR COBRAR COMERCIALES NO CORRIENTES_NO RELACIONADAS_(-) Deterioro acumulado del valor de cuentas y documentos por cobrar comerciales por incobrabilidad (provisiones para créditos incobrables)</v>
      </c>
    </row>
    <row r="190" spans="1:27">
      <c r="A190" s="53"/>
      <c r="B190" s="53"/>
      <c r="C190" s="53"/>
      <c r="D190" s="53"/>
      <c r="E190" s="236" t="s">
        <v>294</v>
      </c>
      <c r="F190" s="236"/>
      <c r="G190" s="236"/>
      <c r="H190" s="236"/>
      <c r="I190" s="236"/>
      <c r="J190" s="236"/>
      <c r="K190" s="236"/>
      <c r="L190" s="236"/>
      <c r="M190" s="236"/>
      <c r="N190" s="236"/>
      <c r="O190" s="236"/>
      <c r="S190" s="61">
        <f t="shared" si="40"/>
        <v>0</v>
      </c>
      <c r="T190" s="64" t="str">
        <f t="shared" si="39"/>
        <v>ESTADO DE SITUACIÓN FINANCIERA</v>
      </c>
      <c r="U190" s="64" t="str">
        <f t="shared" si="35"/>
        <v>ACTIVO</v>
      </c>
      <c r="V190" s="64" t="str">
        <f t="shared" si="36"/>
        <v>ACTIVOS  NO CORRIENTES</v>
      </c>
      <c r="W190" s="64" t="str">
        <f t="shared" si="37"/>
        <v>CUENTAS Y DOCUMENTOS POR COBRAR NO CORRIENTES</v>
      </c>
      <c r="X190" s="64" t="str">
        <f t="shared" si="41"/>
        <v>OTRAS CUENTAS Y DOCUMENTOS POR COBRAR NO CORRIENTES</v>
      </c>
      <c r="Y190" s="64" t="str">
        <f t="shared" si="42"/>
        <v/>
      </c>
      <c r="Z190" s="64" t="str">
        <f t="shared" si="43"/>
        <v/>
      </c>
      <c r="AA190" s="64" t="str">
        <f t="shared" si="38"/>
        <v>CUENTAS Y DOCUMENTOS POR COBRAR NO CORRIENTES_OTRAS CUENTAS Y DOCUMENTOS POR COBRAR NO CORRIENTES__</v>
      </c>
    </row>
    <row r="191" spans="1:27">
      <c r="A191" s="53"/>
      <c r="B191" s="53"/>
      <c r="C191" s="53"/>
      <c r="D191" s="53"/>
      <c r="E191" s="53"/>
      <c r="F191" s="239" t="s">
        <v>295</v>
      </c>
      <c r="G191" s="239"/>
      <c r="H191" s="239"/>
      <c r="I191" s="239"/>
      <c r="J191" s="239"/>
      <c r="K191" s="239"/>
      <c r="L191" s="239"/>
      <c r="M191" s="239"/>
      <c r="N191" s="239"/>
      <c r="O191" s="239"/>
      <c r="S191" s="61">
        <f t="shared" si="40"/>
        <v>0</v>
      </c>
      <c r="T191" s="64" t="str">
        <f t="shared" si="39"/>
        <v>ESTADO DE SITUACIÓN FINANCIERA</v>
      </c>
      <c r="U191" s="64" t="str">
        <f t="shared" si="35"/>
        <v>ACTIVO</v>
      </c>
      <c r="V191" s="64" t="str">
        <f t="shared" si="36"/>
        <v>ACTIVOS  NO CORRIENTES</v>
      </c>
      <c r="W191" s="64" t="str">
        <f t="shared" si="37"/>
        <v>CUENTAS Y DOCUMENTOS POR COBRAR NO CORRIENTES</v>
      </c>
      <c r="X191" s="64" t="str">
        <f t="shared" si="41"/>
        <v>OTRAS CUENTAS Y DOCUMENTOS POR COBRAR NO CORRIENTES</v>
      </c>
      <c r="Y191" s="64" t="str">
        <f t="shared" si="42"/>
        <v>A ACCIONISTAS. SOCIOS, PARTICIPES. BENEFICIARIOS U OTROS TITULARES DE DERECHOS REPRESENTATIVOS DE CAPITAL</v>
      </c>
      <c r="Z191" s="64" t="str">
        <f t="shared" si="43"/>
        <v/>
      </c>
      <c r="AA191" s="64" t="str">
        <f t="shared" si="38"/>
        <v>CUENTAS Y DOCUMENTOS POR COBRAR NO CORRIENTES_OTRAS CUENTAS Y DOCUMENTOS POR COBRAR NO CORRIENTES_A ACCIONISTAS. SOCIOS, PARTICIPES. BENEFICIARIOS U OTROS TITULARES DE DERECHOS REPRESENTATIVOS DE CAPITAL_</v>
      </c>
    </row>
    <row r="192" spans="1:27">
      <c r="A192" s="53"/>
      <c r="B192" s="53"/>
      <c r="C192" s="53"/>
      <c r="D192" s="53"/>
      <c r="E192" s="53"/>
      <c r="F192" s="53"/>
      <c r="G192" s="235" t="s">
        <v>73</v>
      </c>
      <c r="H192" s="235"/>
      <c r="I192" s="235"/>
      <c r="J192" s="235"/>
      <c r="K192" s="235"/>
      <c r="L192" s="235"/>
      <c r="M192" s="235"/>
      <c r="N192" s="9" t="s">
        <v>296</v>
      </c>
      <c r="O192" s="55" t="e">
        <f>VLOOKUP(N192,Casilleros!$A$4:$Q$830,17,FALSE)</f>
        <v>#REF!</v>
      </c>
      <c r="S192" s="61" t="str">
        <f t="shared" si="40"/>
        <v>426</v>
      </c>
      <c r="T192" s="64" t="str">
        <f t="shared" si="39"/>
        <v>ESTADO DE SITUACIÓN FINANCIERA</v>
      </c>
      <c r="U192" s="64" t="str">
        <f t="shared" si="35"/>
        <v>ACTIVO</v>
      </c>
      <c r="V192" s="64" t="str">
        <f t="shared" si="36"/>
        <v>ACTIVOS  NO CORRIENTES</v>
      </c>
      <c r="W192" s="64" t="str">
        <f t="shared" si="37"/>
        <v>CUENTAS Y DOCUMENTOS POR COBRAR NO CORRIENTES</v>
      </c>
      <c r="X192" s="64" t="str">
        <f t="shared" si="41"/>
        <v>OTRAS CUENTAS Y DOCUMENTOS POR COBRAR NO CORRIENTES</v>
      </c>
      <c r="Y192" s="64" t="str">
        <f t="shared" si="42"/>
        <v>A ACCIONISTAS. SOCIOS, PARTICIPES. BENEFICIARIOS U OTROS TITULARES DE DERECHOS REPRESENTATIVOS DE CAPITAL</v>
      </c>
      <c r="Z192" s="64" t="str">
        <f t="shared" si="43"/>
        <v>Locales</v>
      </c>
      <c r="AA192" s="64" t="str">
        <f t="shared" si="38"/>
        <v>CUENTAS Y DOCUMENTOS POR COBRAR NO CORRIENTES_OTRAS CUENTAS Y DOCUMENTOS POR COBRAR NO CORRIENTES_A ACCIONISTAS. SOCIOS, PARTICIPES. BENEFICIARIOS U OTROS TITULARES DE DERECHOS REPRESENTATIVOS DE CAPITAL_Locales</v>
      </c>
    </row>
    <row r="193" spans="1:27">
      <c r="A193" s="53"/>
      <c r="B193" s="53"/>
      <c r="C193" s="53"/>
      <c r="D193" s="53"/>
      <c r="E193" s="53"/>
      <c r="F193" s="53"/>
      <c r="G193" s="235" t="s">
        <v>26</v>
      </c>
      <c r="H193" s="235"/>
      <c r="I193" s="235"/>
      <c r="J193" s="235"/>
      <c r="K193" s="235"/>
      <c r="L193" s="235"/>
      <c r="M193" s="235"/>
      <c r="N193" s="9" t="s">
        <v>297</v>
      </c>
      <c r="O193" s="55" t="e">
        <f>VLOOKUP(N193,Casilleros!$A$4:$Q$830,17,FALSE)</f>
        <v>#REF!</v>
      </c>
      <c r="S193" s="61" t="str">
        <f t="shared" si="40"/>
        <v>427</v>
      </c>
      <c r="T193" s="64" t="str">
        <f t="shared" si="39"/>
        <v>ESTADO DE SITUACIÓN FINANCIERA</v>
      </c>
      <c r="U193" s="64" t="str">
        <f t="shared" si="35"/>
        <v>ACTIVO</v>
      </c>
      <c r="V193" s="64" t="str">
        <f t="shared" si="36"/>
        <v>ACTIVOS  NO CORRIENTES</v>
      </c>
      <c r="W193" s="64" t="str">
        <f t="shared" si="37"/>
        <v>CUENTAS Y DOCUMENTOS POR COBRAR NO CORRIENTES</v>
      </c>
      <c r="X193" s="64" t="str">
        <f t="shared" si="41"/>
        <v>OTRAS CUENTAS Y DOCUMENTOS POR COBRAR NO CORRIENTES</v>
      </c>
      <c r="Y193" s="64" t="str">
        <f t="shared" si="42"/>
        <v>A ACCIONISTAS. SOCIOS, PARTICIPES. BENEFICIARIOS U OTROS TITULARES DE DERECHOS REPRESENTATIVOS DE CAPITAL</v>
      </c>
      <c r="Z193" s="64" t="str">
        <f t="shared" si="43"/>
        <v>Del exterior</v>
      </c>
      <c r="AA193" s="64" t="str">
        <f t="shared" si="38"/>
        <v>CUENTAS Y DOCUMENTOS POR COBRAR NO CORRIENTES_OTRAS CUENTAS Y DOCUMENTOS POR COBRAR NO CORRIENTES_A ACCIONISTAS. SOCIOS, PARTICIPES. BENEFICIARIOS U OTROS TITULARES DE DERECHOS REPRESENTATIVOS DE CAPITAL_Del exterior</v>
      </c>
    </row>
    <row r="194" spans="1:27">
      <c r="A194" s="53"/>
      <c r="B194" s="53"/>
      <c r="C194" s="53"/>
      <c r="D194" s="53"/>
      <c r="E194" s="53"/>
      <c r="F194" s="53"/>
      <c r="G194" s="235" t="s">
        <v>298</v>
      </c>
      <c r="H194" s="235"/>
      <c r="I194" s="235"/>
      <c r="J194" s="235"/>
      <c r="K194" s="235"/>
      <c r="L194" s="235"/>
      <c r="M194" s="235"/>
      <c r="N194" s="9" t="s">
        <v>299</v>
      </c>
      <c r="O194" s="55" t="e">
        <f>VLOOKUP(N194,Casilleros!$A$4:$Q$830,17,FALSE)</f>
        <v>#REF!</v>
      </c>
      <c r="S194" s="61" t="str">
        <f t="shared" si="40"/>
        <v>428</v>
      </c>
      <c r="T194" s="64" t="str">
        <f t="shared" si="39"/>
        <v>ESTADO DE SITUACIÓN FINANCIERA</v>
      </c>
      <c r="U194" s="64" t="str">
        <f t="shared" si="35"/>
        <v>ACTIVO</v>
      </c>
      <c r="V194" s="64" t="str">
        <f t="shared" si="36"/>
        <v>ACTIVOS  NO CORRIENTES</v>
      </c>
      <c r="W194" s="64" t="str">
        <f t="shared" si="37"/>
        <v>CUENTAS Y DOCUMENTOS POR COBRAR NO CORRIENTES</v>
      </c>
      <c r="X194" s="64" t="str">
        <f t="shared" si="41"/>
        <v>OTRAS CUENTAS Y DOCUMENTOS POR COBRAR NO CORRIENTES</v>
      </c>
      <c r="Y194" s="64" t="str">
        <f t="shared" si="42"/>
        <v>A ACCIONISTAS. SOCIOS, PARTICIPES. BENEFICIARIOS U OTROS TITULARES DE DERECHOS REPRESENTATIVOS DE CAPITAL</v>
      </c>
      <c r="Z194" s="64" t="str">
        <f t="shared" si="43"/>
        <v>(-) Deterioro acumulado del valor de cuentas y documentos por cobrar por incobrabilidad (provisiones para créditos incobrables)</v>
      </c>
      <c r="AA194" s="64" t="str">
        <f t="shared" si="38"/>
        <v>CUENTAS Y DOCUMENTOS POR COBRAR NO CORRIENTES_OTRAS CUENTAS Y DOCUMENTOS POR COBRAR NO CORRIENTES_A ACCIONISTAS. SOCIOS, PARTICIPES. BENEFICIARIOS U OTROS TITULARES DE DERECHOS REPRESENTATIVOS DE CAPITAL_(-) Deterioro acumulado del valor de cuentas y documentos por cobrar por incobrabilidad (provisiones para créditos incobrables)</v>
      </c>
    </row>
    <row r="195" spans="1:27">
      <c r="A195" s="53"/>
      <c r="B195" s="53"/>
      <c r="C195" s="53"/>
      <c r="D195" s="53"/>
      <c r="E195" s="53"/>
      <c r="F195" s="239" t="s">
        <v>91</v>
      </c>
      <c r="G195" s="239"/>
      <c r="H195" s="239"/>
      <c r="I195" s="239"/>
      <c r="J195" s="239"/>
      <c r="K195" s="239"/>
      <c r="L195" s="239"/>
      <c r="M195" s="239"/>
      <c r="N195" s="239"/>
      <c r="O195" s="239"/>
      <c r="S195" s="61">
        <f t="shared" si="40"/>
        <v>0</v>
      </c>
      <c r="T195" s="64" t="str">
        <f t="shared" si="39"/>
        <v>ESTADO DE SITUACIÓN FINANCIERA</v>
      </c>
      <c r="U195" s="64" t="str">
        <f t="shared" si="35"/>
        <v>ACTIVO</v>
      </c>
      <c r="V195" s="64" t="str">
        <f t="shared" si="36"/>
        <v>ACTIVOS  NO CORRIENTES</v>
      </c>
      <c r="W195" s="64" t="str">
        <f t="shared" si="37"/>
        <v>CUENTAS Y DOCUMENTOS POR COBRAR NO CORRIENTES</v>
      </c>
      <c r="X195" s="64" t="str">
        <f t="shared" si="41"/>
        <v>OTRAS CUENTAS Y DOCUMENTOS POR COBRAR NO CORRIENTES</v>
      </c>
      <c r="Y195" s="64" t="str">
        <f t="shared" si="42"/>
        <v>OTRAS RELACIONADAS</v>
      </c>
      <c r="Z195" s="64" t="str">
        <f t="shared" si="43"/>
        <v/>
      </c>
      <c r="AA195" s="64" t="str">
        <f t="shared" si="38"/>
        <v>CUENTAS Y DOCUMENTOS POR COBRAR NO CORRIENTES_OTRAS CUENTAS Y DOCUMENTOS POR COBRAR NO CORRIENTES_OTRAS RELACIONADAS_</v>
      </c>
    </row>
    <row r="196" spans="1:27">
      <c r="A196" s="53"/>
      <c r="B196" s="53"/>
      <c r="C196" s="53"/>
      <c r="D196" s="53"/>
      <c r="E196" s="53"/>
      <c r="F196" s="53"/>
      <c r="G196" s="235" t="s">
        <v>73</v>
      </c>
      <c r="H196" s="235"/>
      <c r="I196" s="235"/>
      <c r="J196" s="235"/>
      <c r="K196" s="235"/>
      <c r="L196" s="235"/>
      <c r="M196" s="235"/>
      <c r="N196" s="9" t="s">
        <v>300</v>
      </c>
      <c r="O196" s="55" t="e">
        <f>VLOOKUP(N196,Casilleros!$A$4:$Q$830,17,FALSE)</f>
        <v>#REF!</v>
      </c>
      <c r="S196" s="61" t="str">
        <f t="shared" si="40"/>
        <v>429</v>
      </c>
      <c r="T196" s="64" t="str">
        <f t="shared" si="39"/>
        <v>ESTADO DE SITUACIÓN FINANCIERA</v>
      </c>
      <c r="U196" s="64" t="str">
        <f t="shared" si="35"/>
        <v>ACTIVO</v>
      </c>
      <c r="V196" s="64" t="str">
        <f t="shared" si="36"/>
        <v>ACTIVOS  NO CORRIENTES</v>
      </c>
      <c r="W196" s="64" t="str">
        <f t="shared" si="37"/>
        <v>CUENTAS Y DOCUMENTOS POR COBRAR NO CORRIENTES</v>
      </c>
      <c r="X196" s="64" t="str">
        <f t="shared" si="41"/>
        <v>OTRAS CUENTAS Y DOCUMENTOS POR COBRAR NO CORRIENTES</v>
      </c>
      <c r="Y196" s="64" t="str">
        <f t="shared" si="42"/>
        <v>OTRAS RELACIONADAS</v>
      </c>
      <c r="Z196" s="64" t="str">
        <f t="shared" si="43"/>
        <v>Locales</v>
      </c>
      <c r="AA196" s="64" t="str">
        <f t="shared" si="38"/>
        <v>CUENTAS Y DOCUMENTOS POR COBRAR NO CORRIENTES_OTRAS CUENTAS Y DOCUMENTOS POR COBRAR NO CORRIENTES_OTRAS RELACIONADAS_Locales</v>
      </c>
    </row>
    <row r="197" spans="1:27">
      <c r="A197" s="53"/>
      <c r="B197" s="53"/>
      <c r="C197" s="53"/>
      <c r="D197" s="53"/>
      <c r="E197" s="53"/>
      <c r="F197" s="53"/>
      <c r="G197" s="235" t="s">
        <v>26</v>
      </c>
      <c r="H197" s="235"/>
      <c r="I197" s="235"/>
      <c r="J197" s="235"/>
      <c r="K197" s="235"/>
      <c r="L197" s="235"/>
      <c r="M197" s="235"/>
      <c r="N197" s="9" t="s">
        <v>301</v>
      </c>
      <c r="O197" s="55" t="e">
        <f>VLOOKUP(N197,Casilleros!$A$4:$Q$830,17,FALSE)</f>
        <v>#REF!</v>
      </c>
      <c r="S197" s="61" t="str">
        <f t="shared" si="40"/>
        <v>430</v>
      </c>
      <c r="T197" s="64" t="str">
        <f t="shared" si="39"/>
        <v>ESTADO DE SITUACIÓN FINANCIERA</v>
      </c>
      <c r="U197" s="64" t="str">
        <f t="shared" si="35"/>
        <v>ACTIVO</v>
      </c>
      <c r="V197" s="64" t="str">
        <f t="shared" si="36"/>
        <v>ACTIVOS  NO CORRIENTES</v>
      </c>
      <c r="W197" s="64" t="str">
        <f t="shared" si="37"/>
        <v>CUENTAS Y DOCUMENTOS POR COBRAR NO CORRIENTES</v>
      </c>
      <c r="X197" s="64" t="str">
        <f t="shared" si="41"/>
        <v>OTRAS CUENTAS Y DOCUMENTOS POR COBRAR NO CORRIENTES</v>
      </c>
      <c r="Y197" s="64" t="str">
        <f t="shared" si="42"/>
        <v>OTRAS RELACIONADAS</v>
      </c>
      <c r="Z197" s="64" t="str">
        <f t="shared" si="43"/>
        <v>Del exterior</v>
      </c>
      <c r="AA197" s="64" t="str">
        <f t="shared" si="38"/>
        <v>CUENTAS Y DOCUMENTOS POR COBRAR NO CORRIENTES_OTRAS CUENTAS Y DOCUMENTOS POR COBRAR NO CORRIENTES_OTRAS RELACIONADAS_Del exterior</v>
      </c>
    </row>
    <row r="198" spans="1:27">
      <c r="A198" s="53"/>
      <c r="B198" s="53"/>
      <c r="C198" s="53"/>
      <c r="D198" s="53"/>
      <c r="E198" s="53"/>
      <c r="F198" s="53"/>
      <c r="G198" s="235" t="s">
        <v>298</v>
      </c>
      <c r="H198" s="235"/>
      <c r="I198" s="235"/>
      <c r="J198" s="235"/>
      <c r="K198" s="235"/>
      <c r="L198" s="235"/>
      <c r="M198" s="235"/>
      <c r="N198" s="9" t="s">
        <v>302</v>
      </c>
      <c r="O198" s="55" t="e">
        <f>VLOOKUP(N198,Casilleros!$A$4:$Q$830,17,FALSE)</f>
        <v>#REF!</v>
      </c>
      <c r="S198" s="61" t="str">
        <f t="shared" si="40"/>
        <v>431</v>
      </c>
      <c r="T198" s="64" t="str">
        <f t="shared" si="39"/>
        <v>ESTADO DE SITUACIÓN FINANCIERA</v>
      </c>
      <c r="U198" s="64" t="str">
        <f t="shared" si="35"/>
        <v>ACTIVO</v>
      </c>
      <c r="V198" s="64" t="str">
        <f t="shared" si="36"/>
        <v>ACTIVOS  NO CORRIENTES</v>
      </c>
      <c r="W198" s="64" t="str">
        <f t="shared" si="37"/>
        <v>CUENTAS Y DOCUMENTOS POR COBRAR NO CORRIENTES</v>
      </c>
      <c r="X198" s="64" t="str">
        <f t="shared" si="41"/>
        <v>OTRAS CUENTAS Y DOCUMENTOS POR COBRAR NO CORRIENTES</v>
      </c>
      <c r="Y198" s="64" t="str">
        <f t="shared" si="42"/>
        <v>OTRAS RELACIONADAS</v>
      </c>
      <c r="Z198" s="64" t="str">
        <f t="shared" si="43"/>
        <v>(-) Deterioro acumulado del valor de cuentas y documentos por cobrar por incobrabilidad (provisiones para créditos incobrables)</v>
      </c>
      <c r="AA198" s="64" t="str">
        <f t="shared" si="38"/>
        <v>CUENTAS Y DOCUMENTOS POR COBRAR NO CORRIENTES_OTRAS CUENTAS Y DOCUMENTOS POR COBRAR NO CORRIENTES_OTRAS RELACIONADAS_(-) Deterioro acumulado del valor de cuentas y documentos por cobrar por incobrabilidad (provisiones para créditos incobrables)</v>
      </c>
    </row>
    <row r="199" spans="1:27">
      <c r="A199" s="53"/>
      <c r="B199" s="53"/>
      <c r="C199" s="53"/>
      <c r="D199" s="53"/>
      <c r="E199" s="53"/>
      <c r="F199" s="239" t="s">
        <v>96</v>
      </c>
      <c r="G199" s="239"/>
      <c r="H199" s="239"/>
      <c r="I199" s="239"/>
      <c r="J199" s="239"/>
      <c r="K199" s="239"/>
      <c r="L199" s="239"/>
      <c r="M199" s="239"/>
      <c r="N199" s="239"/>
      <c r="O199" s="239"/>
      <c r="S199" s="61">
        <f t="shared" si="40"/>
        <v>0</v>
      </c>
      <c r="T199" s="64" t="str">
        <f t="shared" si="39"/>
        <v>ESTADO DE SITUACIÓN FINANCIERA</v>
      </c>
      <c r="U199" s="64" t="str">
        <f t="shared" si="35"/>
        <v>ACTIVO</v>
      </c>
      <c r="V199" s="64" t="str">
        <f t="shared" si="36"/>
        <v>ACTIVOS  NO CORRIENTES</v>
      </c>
      <c r="W199" s="64" t="str">
        <f t="shared" si="37"/>
        <v>CUENTAS Y DOCUMENTOS POR COBRAR NO CORRIENTES</v>
      </c>
      <c r="X199" s="64" t="str">
        <f t="shared" si="41"/>
        <v>OTRAS CUENTAS Y DOCUMENTOS POR COBRAR NO CORRIENTES</v>
      </c>
      <c r="Y199" s="64" t="str">
        <f t="shared" si="42"/>
        <v>OTRAS NO RELACIONADAS</v>
      </c>
      <c r="Z199" s="64" t="str">
        <f t="shared" si="43"/>
        <v/>
      </c>
      <c r="AA199" s="64" t="str">
        <f t="shared" si="38"/>
        <v>CUENTAS Y DOCUMENTOS POR COBRAR NO CORRIENTES_OTRAS CUENTAS Y DOCUMENTOS POR COBRAR NO CORRIENTES_OTRAS NO RELACIONADAS_</v>
      </c>
    </row>
    <row r="200" spans="1:27">
      <c r="A200" s="53"/>
      <c r="B200" s="53"/>
      <c r="C200" s="53"/>
      <c r="D200" s="53"/>
      <c r="E200" s="53"/>
      <c r="F200" s="53"/>
      <c r="G200" s="235" t="s">
        <v>73</v>
      </c>
      <c r="H200" s="235"/>
      <c r="I200" s="235"/>
      <c r="J200" s="235"/>
      <c r="K200" s="235"/>
      <c r="L200" s="235"/>
      <c r="M200" s="235"/>
      <c r="N200" s="9" t="s">
        <v>303</v>
      </c>
      <c r="O200" s="55" t="e">
        <f>VLOOKUP(N200,Casilleros!$A$4:$Q$830,17,FALSE)</f>
        <v>#REF!</v>
      </c>
      <c r="S200" s="61" t="str">
        <f t="shared" si="40"/>
        <v>432</v>
      </c>
      <c r="T200" s="64" t="str">
        <f t="shared" si="39"/>
        <v>ESTADO DE SITUACIÓN FINANCIERA</v>
      </c>
      <c r="U200" s="64" t="str">
        <f t="shared" si="35"/>
        <v>ACTIVO</v>
      </c>
      <c r="V200" s="64" t="str">
        <f t="shared" si="36"/>
        <v>ACTIVOS  NO CORRIENTES</v>
      </c>
      <c r="W200" s="64" t="str">
        <f t="shared" si="37"/>
        <v>CUENTAS Y DOCUMENTOS POR COBRAR NO CORRIENTES</v>
      </c>
      <c r="X200" s="64" t="str">
        <f t="shared" si="41"/>
        <v>OTRAS CUENTAS Y DOCUMENTOS POR COBRAR NO CORRIENTES</v>
      </c>
      <c r="Y200" s="64" t="str">
        <f t="shared" si="42"/>
        <v>OTRAS NO RELACIONADAS</v>
      </c>
      <c r="Z200" s="64" t="str">
        <f t="shared" si="43"/>
        <v>Locales</v>
      </c>
      <c r="AA200" s="64" t="str">
        <f t="shared" si="38"/>
        <v>CUENTAS Y DOCUMENTOS POR COBRAR NO CORRIENTES_OTRAS CUENTAS Y DOCUMENTOS POR COBRAR NO CORRIENTES_OTRAS NO RELACIONADAS_Locales</v>
      </c>
    </row>
    <row r="201" spans="1:27">
      <c r="A201" s="53"/>
      <c r="B201" s="53"/>
      <c r="C201" s="53"/>
      <c r="D201" s="53"/>
      <c r="E201" s="53"/>
      <c r="F201" s="53"/>
      <c r="G201" s="235" t="s">
        <v>26</v>
      </c>
      <c r="H201" s="235"/>
      <c r="I201" s="235"/>
      <c r="J201" s="235"/>
      <c r="K201" s="235"/>
      <c r="L201" s="235"/>
      <c r="M201" s="235"/>
      <c r="N201" s="9" t="s">
        <v>304</v>
      </c>
      <c r="O201" s="55" t="e">
        <f>VLOOKUP(N201,Casilleros!$A$4:$Q$830,17,FALSE)</f>
        <v>#REF!</v>
      </c>
      <c r="S201" s="61" t="str">
        <f t="shared" si="40"/>
        <v>433</v>
      </c>
      <c r="T201" s="64" t="str">
        <f t="shared" si="39"/>
        <v>ESTADO DE SITUACIÓN FINANCIERA</v>
      </c>
      <c r="U201" s="64" t="str">
        <f t="shared" si="35"/>
        <v>ACTIVO</v>
      </c>
      <c r="V201" s="64" t="str">
        <f t="shared" si="36"/>
        <v>ACTIVOS  NO CORRIENTES</v>
      </c>
      <c r="W201" s="64" t="str">
        <f t="shared" si="37"/>
        <v>CUENTAS Y DOCUMENTOS POR COBRAR NO CORRIENTES</v>
      </c>
      <c r="X201" s="64" t="str">
        <f t="shared" si="41"/>
        <v>OTRAS CUENTAS Y DOCUMENTOS POR COBRAR NO CORRIENTES</v>
      </c>
      <c r="Y201" s="64" t="str">
        <f t="shared" si="42"/>
        <v>OTRAS NO RELACIONADAS</v>
      </c>
      <c r="Z201" s="64" t="str">
        <f t="shared" si="43"/>
        <v>Del exterior</v>
      </c>
      <c r="AA201" s="64" t="str">
        <f t="shared" si="38"/>
        <v>CUENTAS Y DOCUMENTOS POR COBRAR NO CORRIENTES_OTRAS CUENTAS Y DOCUMENTOS POR COBRAR NO CORRIENTES_OTRAS NO RELACIONADAS_Del exterior</v>
      </c>
    </row>
    <row r="202" spans="1:27">
      <c r="A202" s="53"/>
      <c r="B202" s="53"/>
      <c r="C202" s="53"/>
      <c r="D202" s="53"/>
      <c r="E202" s="53"/>
      <c r="F202" s="53"/>
      <c r="G202" s="235" t="s">
        <v>94</v>
      </c>
      <c r="H202" s="235"/>
      <c r="I202" s="235"/>
      <c r="J202" s="235"/>
      <c r="K202" s="235"/>
      <c r="L202" s="235"/>
      <c r="M202" s="235"/>
      <c r="N202" s="9" t="s">
        <v>305</v>
      </c>
      <c r="O202" s="55" t="e">
        <f>VLOOKUP(N202,Casilleros!$A$4:$Q$830,17,FALSE)</f>
        <v>#REF!</v>
      </c>
      <c r="S202" s="61" t="str">
        <f t="shared" si="40"/>
        <v>434</v>
      </c>
      <c r="T202" s="64" t="str">
        <f t="shared" si="39"/>
        <v>ESTADO DE SITUACIÓN FINANCIERA</v>
      </c>
      <c r="U202" s="64" t="str">
        <f t="shared" si="35"/>
        <v>ACTIVO</v>
      </c>
      <c r="V202" s="64" t="str">
        <f t="shared" si="36"/>
        <v>ACTIVOS  NO CORRIENTES</v>
      </c>
      <c r="W202" s="64" t="str">
        <f t="shared" si="37"/>
        <v>CUENTAS Y DOCUMENTOS POR COBRAR NO CORRIENTES</v>
      </c>
      <c r="X202" s="64" t="str">
        <f t="shared" si="41"/>
        <v>OTRAS CUENTAS Y DOCUMENTOS POR COBRAR NO CORRIENTES</v>
      </c>
      <c r="Y202" s="64" t="str">
        <f t="shared" si="42"/>
        <v>OTRAS NO RELACIONADAS</v>
      </c>
      <c r="Z202" s="64" t="str">
        <f t="shared" si="43"/>
        <v>(-) Deterioro acumulado del valor de otras cuentas y documentos por cobrar por incobrabilidad (provisiones para créditos incobrables)</v>
      </c>
      <c r="AA202" s="64" t="str">
        <f t="shared" si="38"/>
        <v>CUENTAS Y DOCUMENTOS POR COBRAR NO CORRIENTES_OTRAS CUENTAS Y DOCUMENTOS POR COBRAR NO CORRIENTES_OTRAS NO RELACIONADAS_(-) Deterioro acumulado del valor de otras cuentas y documentos por cobrar por incobrabilidad (provisiones para créditos incobrables)</v>
      </c>
    </row>
    <row r="203" spans="1:27">
      <c r="A203" s="53"/>
      <c r="B203" s="53"/>
      <c r="C203" s="53"/>
      <c r="D203" s="236" t="s">
        <v>306</v>
      </c>
      <c r="E203" s="236"/>
      <c r="F203" s="236"/>
      <c r="G203" s="236"/>
      <c r="H203" s="236"/>
      <c r="I203" s="236"/>
      <c r="J203" s="236"/>
      <c r="K203" s="236"/>
      <c r="L203" s="236"/>
      <c r="M203" s="236"/>
      <c r="N203" s="236"/>
      <c r="O203" s="236"/>
      <c r="S203" s="61">
        <f t="shared" si="40"/>
        <v>0</v>
      </c>
      <c r="T203" s="64" t="str">
        <f t="shared" si="39"/>
        <v>ESTADO DE SITUACIÓN FINANCIERA</v>
      </c>
      <c r="U203" s="64" t="str">
        <f t="shared" si="35"/>
        <v>ACTIVO</v>
      </c>
      <c r="V203" s="64" t="str">
        <f t="shared" si="36"/>
        <v>ACTIVOS  NO CORRIENTES</v>
      </c>
      <c r="W203" s="64" t="str">
        <f t="shared" si="37"/>
        <v>OTROS ACTIVOS FINANCIEROS NO CORRIENTES</v>
      </c>
      <c r="X203" s="64" t="str">
        <f t="shared" si="41"/>
        <v/>
      </c>
      <c r="Y203" s="64" t="str">
        <f t="shared" si="42"/>
        <v/>
      </c>
      <c r="Z203" s="64" t="str">
        <f t="shared" si="43"/>
        <v/>
      </c>
      <c r="AA203" s="64" t="str">
        <f t="shared" si="38"/>
        <v>OTROS ACTIVOS FINANCIEROS NO CORRIENTES</v>
      </c>
    </row>
    <row r="204" spans="1:27">
      <c r="A204" s="53"/>
      <c r="B204" s="53"/>
      <c r="C204" s="53"/>
      <c r="D204" s="53"/>
      <c r="E204" s="235" t="s">
        <v>101</v>
      </c>
      <c r="F204" s="235"/>
      <c r="G204" s="235"/>
      <c r="H204" s="235"/>
      <c r="I204" s="235"/>
      <c r="J204" s="235"/>
      <c r="K204" s="235"/>
      <c r="L204" s="235"/>
      <c r="M204" s="235"/>
      <c r="N204" s="9" t="s">
        <v>307</v>
      </c>
      <c r="O204" s="55" t="e">
        <f>VLOOKUP(N204,Casilleros!$A$4:$Q$830,17,FALSE)</f>
        <v>#REF!</v>
      </c>
      <c r="S204" s="61" t="str">
        <f t="shared" si="40"/>
        <v>435</v>
      </c>
      <c r="T204" s="64" t="str">
        <f t="shared" si="39"/>
        <v>ESTADO DE SITUACIÓN FINANCIERA</v>
      </c>
      <c r="U204" s="64" t="str">
        <f t="shared" si="35"/>
        <v>ACTIVO</v>
      </c>
      <c r="V204" s="64" t="str">
        <f t="shared" si="36"/>
        <v>ACTIVOS  NO CORRIENTES</v>
      </c>
      <c r="W204" s="64" t="str">
        <f t="shared" si="37"/>
        <v>OTROS ACTIVOS FINANCIEROS NO CORRIENTES</v>
      </c>
      <c r="X204" s="64" t="str">
        <f t="shared" si="41"/>
        <v>A costo amortizado</v>
      </c>
      <c r="Y204" s="64" t="str">
        <f t="shared" si="42"/>
        <v/>
      </c>
      <c r="Z204" s="64" t="str">
        <f t="shared" si="43"/>
        <v/>
      </c>
      <c r="AA204" s="64" t="str">
        <f t="shared" si="38"/>
        <v>OTROS ACTIVOS FINANCIEROS NO CORRIENTES_A costo amortizado__</v>
      </c>
    </row>
    <row r="205" spans="1:27">
      <c r="A205" s="53"/>
      <c r="B205" s="53"/>
      <c r="C205" s="53"/>
      <c r="D205" s="53"/>
      <c r="E205" s="235" t="s">
        <v>308</v>
      </c>
      <c r="F205" s="235"/>
      <c r="G205" s="235"/>
      <c r="H205" s="235"/>
      <c r="I205" s="235"/>
      <c r="J205" s="235"/>
      <c r="K205" s="235"/>
      <c r="L205" s="235"/>
      <c r="M205" s="235"/>
      <c r="N205" s="9" t="s">
        <v>309</v>
      </c>
      <c r="O205" s="55" t="e">
        <f>VLOOKUP(N205,Casilleros!$A$4:$Q$830,17,FALSE)</f>
        <v>#REF!</v>
      </c>
      <c r="S205" s="61" t="str">
        <f t="shared" si="40"/>
        <v>436</v>
      </c>
      <c r="T205" s="64" t="str">
        <f t="shared" si="39"/>
        <v>ESTADO DE SITUACIÓN FINANCIERA</v>
      </c>
      <c r="U205" s="64" t="str">
        <f t="shared" si="35"/>
        <v>ACTIVO</v>
      </c>
      <c r="V205" s="64" t="str">
        <f t="shared" si="36"/>
        <v>ACTIVOS  NO CORRIENTES</v>
      </c>
      <c r="W205" s="64" t="str">
        <f t="shared" si="37"/>
        <v>OTROS ACTIVOS FINANCIEROS NO CORRIENTES</v>
      </c>
      <c r="X205" s="64" t="str">
        <f t="shared" si="41"/>
        <v>(-) Deterioro acumulado del valor  de otros activos financieros no corrientes medidos a costo amortizado (provisiones para créditos incobrables)</v>
      </c>
      <c r="Y205" s="64" t="str">
        <f t="shared" si="42"/>
        <v/>
      </c>
      <c r="Z205" s="64" t="str">
        <f t="shared" si="43"/>
        <v/>
      </c>
      <c r="AA205" s="64" t="str">
        <f t="shared" si="38"/>
        <v>OTROS ACTIVOS FINANCIEROS NO CORRIENTES_(-) Deterioro acumulado del valor  de otros activos financieros no corrientes medidos a costo amortizado (provisiones para créditos incobrables)__</v>
      </c>
    </row>
    <row r="206" spans="1:27">
      <c r="A206" s="53"/>
      <c r="B206" s="53"/>
      <c r="C206" s="53"/>
      <c r="D206" s="53"/>
      <c r="E206" s="235" t="s">
        <v>105</v>
      </c>
      <c r="F206" s="235"/>
      <c r="G206" s="235"/>
      <c r="H206" s="235"/>
      <c r="I206" s="235"/>
      <c r="J206" s="235"/>
      <c r="K206" s="235"/>
      <c r="L206" s="235"/>
      <c r="M206" s="235"/>
      <c r="N206" s="9" t="s">
        <v>310</v>
      </c>
      <c r="O206" s="55" t="e">
        <f>VLOOKUP(N206,Casilleros!$A$4:$Q$830,17,FALSE)</f>
        <v>#REF!</v>
      </c>
      <c r="S206" s="61" t="str">
        <f t="shared" si="40"/>
        <v>437</v>
      </c>
      <c r="T206" s="64" t="str">
        <f t="shared" si="39"/>
        <v>ESTADO DE SITUACIÓN FINANCIERA</v>
      </c>
      <c r="U206" s="64" t="str">
        <f t="shared" si="35"/>
        <v>ACTIVO</v>
      </c>
      <c r="V206" s="64" t="str">
        <f t="shared" si="36"/>
        <v>ACTIVOS  NO CORRIENTES</v>
      </c>
      <c r="W206" s="64" t="str">
        <f t="shared" si="37"/>
        <v>OTROS ACTIVOS FINANCIEROS NO CORRIENTES</v>
      </c>
      <c r="X206" s="64" t="str">
        <f t="shared" si="41"/>
        <v>A valor razonable</v>
      </c>
      <c r="Y206" s="64" t="str">
        <f t="shared" si="42"/>
        <v/>
      </c>
      <c r="Z206" s="64" t="str">
        <f t="shared" si="43"/>
        <v/>
      </c>
      <c r="AA206" s="64" t="str">
        <f t="shared" si="38"/>
        <v>OTROS ACTIVOS FINANCIEROS NO CORRIENTES_A valor razonable__</v>
      </c>
    </row>
    <row r="207" spans="1:27">
      <c r="A207" s="53"/>
      <c r="B207" s="53"/>
      <c r="C207" s="53"/>
      <c r="D207" s="236" t="s">
        <v>311</v>
      </c>
      <c r="E207" s="236"/>
      <c r="F207" s="236"/>
      <c r="G207" s="236"/>
      <c r="H207" s="236"/>
      <c r="I207" s="236"/>
      <c r="J207" s="236"/>
      <c r="K207" s="236"/>
      <c r="L207" s="236"/>
      <c r="M207" s="236"/>
      <c r="N207" s="236"/>
      <c r="O207" s="236"/>
      <c r="S207" s="61">
        <f t="shared" si="40"/>
        <v>0</v>
      </c>
      <c r="T207" s="64" t="str">
        <f t="shared" si="39"/>
        <v>ESTADO DE SITUACIÓN FINANCIERA</v>
      </c>
      <c r="U207" s="64" t="str">
        <f t="shared" si="35"/>
        <v>ACTIVO</v>
      </c>
      <c r="V207" s="64" t="str">
        <f t="shared" si="36"/>
        <v>ACTIVOS  NO CORRIENTES</v>
      </c>
      <c r="W207" s="64" t="str">
        <f t="shared" si="37"/>
        <v>PORCIÓN NO CORRIENTE DE ARRENDAMIENTOS FINANCIEROS POR COBRAR</v>
      </c>
      <c r="X207" s="64" t="str">
        <f t="shared" si="41"/>
        <v/>
      </c>
      <c r="Y207" s="64" t="str">
        <f t="shared" si="42"/>
        <v/>
      </c>
      <c r="Z207" s="64" t="str">
        <f t="shared" si="43"/>
        <v/>
      </c>
      <c r="AA207" s="64" t="str">
        <f t="shared" si="38"/>
        <v>PORCIÓN NO CORRIENTE DE ARRENDAMIENTOS FINANCIEROS POR COBRAR</v>
      </c>
    </row>
    <row r="208" spans="1:27">
      <c r="A208" s="53"/>
      <c r="B208" s="53"/>
      <c r="C208" s="53"/>
      <c r="D208" s="53"/>
      <c r="E208" s="235" t="s">
        <v>108</v>
      </c>
      <c r="F208" s="235"/>
      <c r="G208" s="235"/>
      <c r="H208" s="235"/>
      <c r="I208" s="235"/>
      <c r="J208" s="235"/>
      <c r="K208" s="235"/>
      <c r="L208" s="235"/>
      <c r="M208" s="235"/>
      <c r="N208" s="9" t="s">
        <v>312</v>
      </c>
      <c r="O208" s="55" t="e">
        <f>VLOOKUP(N208,Casilleros!$A$4:$Q$830,17,FALSE)</f>
        <v>#REF!</v>
      </c>
      <c r="S208" s="61" t="str">
        <f t="shared" si="40"/>
        <v>438</v>
      </c>
      <c r="T208" s="64" t="str">
        <f t="shared" si="39"/>
        <v>ESTADO DE SITUACIÓN FINANCIERA</v>
      </c>
      <c r="U208" s="64" t="str">
        <f t="shared" si="35"/>
        <v>ACTIVO</v>
      </c>
      <c r="V208" s="64" t="str">
        <f t="shared" si="36"/>
        <v>ACTIVOS  NO CORRIENTES</v>
      </c>
      <c r="W208" s="64" t="str">
        <f t="shared" si="37"/>
        <v>PORCIÓN NO CORRIENTE DE ARRENDAMIENTOS FINANCIEROS POR COBRAR</v>
      </c>
      <c r="X208" s="64" t="str">
        <f t="shared" si="41"/>
        <v>Relacionadas</v>
      </c>
      <c r="Y208" s="64" t="str">
        <f t="shared" si="42"/>
        <v/>
      </c>
      <c r="Z208" s="64" t="str">
        <f t="shared" si="43"/>
        <v/>
      </c>
      <c r="AA208" s="64" t="str">
        <f t="shared" si="38"/>
        <v>PORCIÓN NO CORRIENTE DE ARRENDAMIENTOS FINANCIEROS POR COBRAR_Relacionadas__</v>
      </c>
    </row>
    <row r="209" spans="1:27">
      <c r="A209" s="53"/>
      <c r="B209" s="53"/>
      <c r="C209" s="53"/>
      <c r="D209" s="53"/>
      <c r="E209" s="235" t="s">
        <v>313</v>
      </c>
      <c r="F209" s="235"/>
      <c r="G209" s="235"/>
      <c r="H209" s="235"/>
      <c r="I209" s="235"/>
      <c r="J209" s="235"/>
      <c r="K209" s="235"/>
      <c r="L209" s="235"/>
      <c r="M209" s="235"/>
      <c r="N209" s="9" t="s">
        <v>314</v>
      </c>
      <c r="O209" s="55" t="e">
        <f>VLOOKUP(N209,Casilleros!$A$4:$Q$830,17,FALSE)</f>
        <v>#REF!</v>
      </c>
      <c r="S209" s="61" t="str">
        <f t="shared" si="40"/>
        <v>439</v>
      </c>
      <c r="T209" s="64" t="str">
        <f t="shared" si="39"/>
        <v>ESTADO DE SITUACIÓN FINANCIERA</v>
      </c>
      <c r="U209" s="64" t="str">
        <f t="shared" si="35"/>
        <v>ACTIVO</v>
      </c>
      <c r="V209" s="64" t="str">
        <f t="shared" si="36"/>
        <v>ACTIVOS  NO CORRIENTES</v>
      </c>
      <c r="W209" s="64" t="str">
        <f t="shared" si="37"/>
        <v>PORCIÓN NO CORRIENTE DE ARRENDAMIENTOS FINANCIEROS POR COBRAR</v>
      </c>
      <c r="X209" s="64" t="str">
        <f t="shared" si="41"/>
        <v>No Relacionadas</v>
      </c>
      <c r="Y209" s="64" t="str">
        <f t="shared" si="42"/>
        <v/>
      </c>
      <c r="Z209" s="64" t="str">
        <f t="shared" si="43"/>
        <v/>
      </c>
      <c r="AA209" s="64" t="str">
        <f t="shared" si="38"/>
        <v>PORCIÓN NO CORRIENTE DE ARRENDAMIENTOS FINANCIEROS POR COBRAR_No Relacionadas__</v>
      </c>
    </row>
    <row r="210" spans="1:27">
      <c r="A210" s="53"/>
      <c r="B210" s="53"/>
      <c r="C210" s="53"/>
      <c r="D210" s="236" t="s">
        <v>315</v>
      </c>
      <c r="E210" s="236"/>
      <c r="F210" s="236"/>
      <c r="G210" s="236"/>
      <c r="H210" s="236"/>
      <c r="I210" s="236"/>
      <c r="J210" s="236"/>
      <c r="K210" s="236"/>
      <c r="L210" s="236"/>
      <c r="M210" s="236"/>
      <c r="N210" s="236"/>
      <c r="O210" s="236"/>
      <c r="S210" s="61">
        <f t="shared" si="40"/>
        <v>0</v>
      </c>
      <c r="T210" s="64" t="str">
        <f t="shared" si="39"/>
        <v>ESTADO DE SITUACIÓN FINANCIERA</v>
      </c>
      <c r="U210" s="64" t="str">
        <f t="shared" si="35"/>
        <v>ACTIVO</v>
      </c>
      <c r="V210" s="64" t="str">
        <f t="shared" si="36"/>
        <v>ACTIVOS  NO CORRIENTES</v>
      </c>
      <c r="W210" s="64" t="str">
        <f t="shared" si="37"/>
        <v>ACTIVOS POR IMPUESTOS DIFERIDOS</v>
      </c>
      <c r="X210" s="64" t="str">
        <f t="shared" si="41"/>
        <v/>
      </c>
      <c r="Y210" s="64" t="str">
        <f t="shared" si="42"/>
        <v/>
      </c>
      <c r="Z210" s="64" t="str">
        <f t="shared" si="43"/>
        <v/>
      </c>
      <c r="AA210" s="64" t="str">
        <f t="shared" si="38"/>
        <v>ACTIVOS POR IMPUESTOS DIFERIDOS</v>
      </c>
    </row>
    <row r="211" spans="1:27">
      <c r="A211" s="53"/>
      <c r="B211" s="53"/>
      <c r="C211" s="53"/>
      <c r="D211" s="53"/>
      <c r="E211" s="235" t="s">
        <v>316</v>
      </c>
      <c r="F211" s="235"/>
      <c r="G211" s="235"/>
      <c r="H211" s="235"/>
      <c r="I211" s="235"/>
      <c r="J211" s="235"/>
      <c r="K211" s="235"/>
      <c r="L211" s="235"/>
      <c r="M211" s="235"/>
      <c r="N211" s="9" t="s">
        <v>317</v>
      </c>
      <c r="O211" s="74" t="e">
        <f>VLOOKUP(N211,Casilleros!$A$4:$Q$830,17,FALSE)</f>
        <v>#REF!</v>
      </c>
      <c r="S211" s="61" t="str">
        <f t="shared" si="40"/>
        <v>440</v>
      </c>
      <c r="T211" s="64" t="str">
        <f t="shared" si="39"/>
        <v>ESTADO DE SITUACIÓN FINANCIERA</v>
      </c>
      <c r="U211" s="64" t="str">
        <f t="shared" si="35"/>
        <v>ACTIVO</v>
      </c>
      <c r="V211" s="64" t="str">
        <f t="shared" si="36"/>
        <v>ACTIVOS  NO CORRIENTES</v>
      </c>
      <c r="W211" s="64" t="str">
        <f t="shared" si="37"/>
        <v>ACTIVOS POR IMPUESTOS DIFERIDOS</v>
      </c>
      <c r="X211" s="64" t="str">
        <f t="shared" si="41"/>
        <v>Por diferencias temporarias</v>
      </c>
      <c r="Y211" s="64" t="str">
        <f t="shared" si="42"/>
        <v/>
      </c>
      <c r="Z211" s="64" t="str">
        <f t="shared" si="43"/>
        <v/>
      </c>
      <c r="AA211" s="64" t="str">
        <f t="shared" si="38"/>
        <v>ACTIVOS POR IMPUESTOS DIFERIDOS_Por diferencias temporarias__</v>
      </c>
    </row>
    <row r="212" spans="1:27">
      <c r="A212" s="53"/>
      <c r="B212" s="53"/>
      <c r="C212" s="53"/>
      <c r="D212" s="53"/>
      <c r="E212" s="235" t="s">
        <v>318</v>
      </c>
      <c r="F212" s="235"/>
      <c r="G212" s="235"/>
      <c r="H212" s="235"/>
      <c r="I212" s="235"/>
      <c r="J212" s="235"/>
      <c r="K212" s="235"/>
      <c r="L212" s="235"/>
      <c r="M212" s="235"/>
      <c r="N212" s="9" t="s">
        <v>319</v>
      </c>
      <c r="O212" s="74" t="e">
        <f>VLOOKUP(N212,Casilleros!$A$4:$Q$830,17,FALSE)</f>
        <v>#REF!</v>
      </c>
      <c r="S212" s="61" t="str">
        <f t="shared" si="40"/>
        <v>441</v>
      </c>
      <c r="T212" s="64" t="str">
        <f t="shared" si="39"/>
        <v>ESTADO DE SITUACIÓN FINANCIERA</v>
      </c>
      <c r="U212" s="64" t="str">
        <f t="shared" si="35"/>
        <v>ACTIVO</v>
      </c>
      <c r="V212" s="64" t="str">
        <f t="shared" si="36"/>
        <v>ACTIVOS  NO CORRIENTES</v>
      </c>
      <c r="W212" s="64" t="str">
        <f t="shared" si="37"/>
        <v>ACTIVOS POR IMPUESTOS DIFERIDOS</v>
      </c>
      <c r="X212" s="64" t="str">
        <f t="shared" si="41"/>
        <v>Por pérdidas tributarias sujetas a amortización en periodos siguientes</v>
      </c>
      <c r="Y212" s="64" t="str">
        <f t="shared" si="42"/>
        <v/>
      </c>
      <c r="Z212" s="64" t="str">
        <f t="shared" si="43"/>
        <v/>
      </c>
      <c r="AA212" s="64" t="str">
        <f t="shared" si="38"/>
        <v>ACTIVOS POR IMPUESTOS DIFERIDOS_Por pérdidas tributarias sujetas a amortización en periodos siguientes__</v>
      </c>
    </row>
    <row r="213" spans="1:27">
      <c r="A213" s="53"/>
      <c r="B213" s="53"/>
      <c r="C213" s="53"/>
      <c r="D213" s="53"/>
      <c r="E213" s="239" t="s">
        <v>320</v>
      </c>
      <c r="F213" s="239"/>
      <c r="G213" s="239"/>
      <c r="H213" s="239"/>
      <c r="I213" s="239"/>
      <c r="J213" s="239"/>
      <c r="K213" s="239"/>
      <c r="L213" s="239"/>
      <c r="M213" s="239"/>
      <c r="N213" s="239"/>
      <c r="O213" s="239"/>
      <c r="S213" s="61">
        <f t="shared" si="40"/>
        <v>0</v>
      </c>
      <c r="T213" s="64" t="str">
        <f t="shared" si="39"/>
        <v>ESTADO DE SITUACIÓN FINANCIERA</v>
      </c>
      <c r="U213" s="64" t="str">
        <f t="shared" si="35"/>
        <v>ACTIVO</v>
      </c>
      <c r="V213" s="64" t="str">
        <f t="shared" si="36"/>
        <v>ACTIVOS  NO CORRIENTES</v>
      </c>
      <c r="W213" s="64" t="str">
        <f t="shared" si="37"/>
        <v>ACTIVOS POR IMPUESTOS DIFERIDOS</v>
      </c>
      <c r="X213" s="64" t="str">
        <f t="shared" si="41"/>
        <v>POR CRÉDITOS FISCALES NO UTILIZADOS</v>
      </c>
      <c r="Y213" s="64" t="str">
        <f t="shared" si="42"/>
        <v/>
      </c>
      <c r="Z213" s="64" t="str">
        <f t="shared" si="43"/>
        <v/>
      </c>
      <c r="AA213" s="64" t="str">
        <f t="shared" si="38"/>
        <v>ACTIVOS POR IMPUESTOS DIFERIDOS_POR CRÉDITOS FISCALES NO UTILIZADOS__</v>
      </c>
    </row>
    <row r="214" spans="1:27">
      <c r="A214" s="53"/>
      <c r="B214" s="53"/>
      <c r="C214" s="53"/>
      <c r="D214" s="53"/>
      <c r="E214" s="53"/>
      <c r="F214" s="235" t="s">
        <v>116</v>
      </c>
      <c r="G214" s="235"/>
      <c r="H214" s="235"/>
      <c r="I214" s="235"/>
      <c r="J214" s="235"/>
      <c r="K214" s="235"/>
      <c r="L214" s="235"/>
      <c r="M214" s="235"/>
      <c r="N214" s="9" t="s">
        <v>321</v>
      </c>
      <c r="O214" s="55" t="e">
        <f>VLOOKUP(N214,Casilleros!$A$4:$Q$830,17,FALSE)</f>
        <v>#REF!</v>
      </c>
      <c r="S214" s="61" t="str">
        <f t="shared" si="40"/>
        <v>442</v>
      </c>
      <c r="T214" s="64" t="str">
        <f t="shared" si="39"/>
        <v>ESTADO DE SITUACIÓN FINANCIERA</v>
      </c>
      <c r="U214" s="64" t="str">
        <f t="shared" si="35"/>
        <v>ACTIVO</v>
      </c>
      <c r="V214" s="64" t="str">
        <f t="shared" si="36"/>
        <v>ACTIVOS  NO CORRIENTES</v>
      </c>
      <c r="W214" s="64" t="str">
        <f t="shared" si="37"/>
        <v>ACTIVOS POR IMPUESTOS DIFERIDOS</v>
      </c>
      <c r="X214" s="64" t="str">
        <f t="shared" si="41"/>
        <v>POR CRÉDITOS FISCALES NO UTILIZADOS</v>
      </c>
      <c r="Y214" s="64" t="str">
        <f t="shared" si="42"/>
        <v>Crédito tributario a favor del sujeto pasivo (ISD)</v>
      </c>
      <c r="Z214" s="64" t="str">
        <f t="shared" si="43"/>
        <v/>
      </c>
      <c r="AA214" s="64" t="str">
        <f t="shared" si="38"/>
        <v>ACTIVOS POR IMPUESTOS DIFERIDOS_POR CRÉDITOS FISCALES NO UTILIZADOS_Crédito tributario a favor del sujeto pasivo (ISD)_</v>
      </c>
    </row>
    <row r="215" spans="1:27">
      <c r="A215" s="53"/>
      <c r="B215" s="53"/>
      <c r="C215" s="53"/>
      <c r="D215" s="53"/>
      <c r="E215" s="53"/>
      <c r="F215" s="235" t="s">
        <v>120</v>
      </c>
      <c r="G215" s="235"/>
      <c r="H215" s="235"/>
      <c r="I215" s="235"/>
      <c r="J215" s="235"/>
      <c r="K215" s="235"/>
      <c r="L215" s="235"/>
      <c r="M215" s="235"/>
      <c r="N215" s="9" t="s">
        <v>322</v>
      </c>
      <c r="O215" s="74" t="e">
        <f>VLOOKUP(N215,Casilleros!$A$4:$Q$830,17,FALSE)</f>
        <v>#REF!</v>
      </c>
      <c r="S215" s="61" t="str">
        <f t="shared" si="40"/>
        <v>443</v>
      </c>
      <c r="T215" s="64" t="str">
        <f t="shared" si="39"/>
        <v>ESTADO DE SITUACIÓN FINANCIERA</v>
      </c>
      <c r="U215" s="64" t="str">
        <f t="shared" si="35"/>
        <v>ACTIVO</v>
      </c>
      <c r="V215" s="64" t="str">
        <f t="shared" si="36"/>
        <v>ACTIVOS  NO CORRIENTES</v>
      </c>
      <c r="W215" s="64" t="str">
        <f t="shared" si="37"/>
        <v>ACTIVOS POR IMPUESTOS DIFERIDOS</v>
      </c>
      <c r="X215" s="64" t="str">
        <f t="shared" si="41"/>
        <v>POR CRÉDITOS FISCALES NO UTILIZADOS</v>
      </c>
      <c r="Y215" s="64" t="str">
        <f t="shared" si="42"/>
        <v xml:space="preserve">Crédito tributario a favor del sujeto pasivo (Impuesto a la Renta) </v>
      </c>
      <c r="Z215" s="64" t="str">
        <f t="shared" si="43"/>
        <v/>
      </c>
      <c r="AA215" s="64" t="str">
        <f t="shared" si="38"/>
        <v>ACTIVOS POR IMPUESTOS DIFERIDOS_POR CRÉDITOS FISCALES NO UTILIZADOS_Crédito tributario a favor del sujeto pasivo (Impuesto a la Renta) _</v>
      </c>
    </row>
    <row r="216" spans="1:27">
      <c r="A216" s="53"/>
      <c r="B216" s="53"/>
      <c r="C216" s="53"/>
      <c r="D216" s="53"/>
      <c r="E216" s="53"/>
      <c r="F216" s="235" t="s">
        <v>122</v>
      </c>
      <c r="G216" s="235"/>
      <c r="H216" s="235"/>
      <c r="I216" s="235"/>
      <c r="J216" s="235"/>
      <c r="K216" s="235"/>
      <c r="L216" s="235"/>
      <c r="M216" s="235"/>
      <c r="N216" s="9" t="s">
        <v>323</v>
      </c>
      <c r="O216" s="55" t="e">
        <f>VLOOKUP(N216,Casilleros!$A$4:$Q$830,17,FALSE)</f>
        <v>#REF!</v>
      </c>
      <c r="S216" s="61" t="str">
        <f t="shared" si="40"/>
        <v>444</v>
      </c>
      <c r="T216" s="64" t="str">
        <f t="shared" si="39"/>
        <v>ESTADO DE SITUACIÓN FINANCIERA</v>
      </c>
      <c r="U216" s="64" t="str">
        <f t="shared" si="35"/>
        <v>ACTIVO</v>
      </c>
      <c r="V216" s="64" t="str">
        <f t="shared" si="36"/>
        <v>ACTIVOS  NO CORRIENTES</v>
      </c>
      <c r="W216" s="64" t="str">
        <f t="shared" si="37"/>
        <v>ACTIVOS POR IMPUESTOS DIFERIDOS</v>
      </c>
      <c r="X216" s="64" t="str">
        <f t="shared" si="41"/>
        <v>POR CRÉDITOS FISCALES NO UTILIZADOS</v>
      </c>
      <c r="Y216" s="64" t="str">
        <f t="shared" si="42"/>
        <v>Otros</v>
      </c>
      <c r="Z216" s="64" t="str">
        <f t="shared" si="43"/>
        <v/>
      </c>
      <c r="AA216" s="64" t="str">
        <f t="shared" si="38"/>
        <v>ACTIVOS POR IMPUESTOS DIFERIDOS_POR CRÉDITOS FISCALES NO UTILIZADOS_Otros_</v>
      </c>
    </row>
    <row r="217" spans="1:27">
      <c r="A217" s="53"/>
      <c r="B217" s="53"/>
      <c r="C217" s="53"/>
      <c r="D217" s="243" t="s">
        <v>324</v>
      </c>
      <c r="E217" s="243"/>
      <c r="F217" s="243"/>
      <c r="G217" s="243"/>
      <c r="H217" s="243"/>
      <c r="I217" s="243"/>
      <c r="J217" s="243"/>
      <c r="K217" s="243"/>
      <c r="L217" s="243"/>
      <c r="M217" s="243"/>
      <c r="N217" s="9" t="s">
        <v>325</v>
      </c>
      <c r="O217" s="74" t="e">
        <f>VLOOKUP(N217,Casilleros!$A$4:$Q$830,17,FALSE)</f>
        <v>#REF!</v>
      </c>
      <c r="S217" s="61" t="str">
        <f t="shared" si="40"/>
        <v>445</v>
      </c>
      <c r="T217" s="64" t="str">
        <f t="shared" si="39"/>
        <v>ESTADO DE SITUACIÓN FINANCIERA</v>
      </c>
      <c r="U217" s="64" t="str">
        <f t="shared" si="35"/>
        <v>ACTIVO</v>
      </c>
      <c r="V217" s="64" t="str">
        <f t="shared" si="36"/>
        <v>ACTIVOS  NO CORRIENTES</v>
      </c>
      <c r="W217" s="64" t="str">
        <f t="shared" si="37"/>
        <v>Otros Activos No Corrientes</v>
      </c>
      <c r="X217" s="64" t="str">
        <f t="shared" si="41"/>
        <v/>
      </c>
      <c r="Y217" s="64" t="str">
        <f t="shared" si="42"/>
        <v/>
      </c>
      <c r="Z217" s="64" t="str">
        <f t="shared" si="43"/>
        <v/>
      </c>
      <c r="AA217" s="64" t="str">
        <f t="shared" si="38"/>
        <v>Otros Activos No Corrientes</v>
      </c>
    </row>
    <row r="218" spans="1:27">
      <c r="A218" s="53"/>
      <c r="B218" s="53"/>
      <c r="C218" s="238" t="s">
        <v>326</v>
      </c>
      <c r="D218" s="238"/>
      <c r="E218" s="238"/>
      <c r="F218" s="238"/>
      <c r="G218" s="238"/>
      <c r="H218" s="238"/>
      <c r="I218" s="238"/>
      <c r="J218" s="238"/>
      <c r="K218" s="238"/>
      <c r="L218" s="238"/>
      <c r="M218" s="238"/>
      <c r="N218" s="71" t="s">
        <v>327</v>
      </c>
      <c r="O218" s="72" t="e">
        <f>SUM(O101:O217)</f>
        <v>#REF!</v>
      </c>
      <c r="S218" s="61" t="str">
        <f t="shared" si="40"/>
        <v>449</v>
      </c>
      <c r="T218" s="64" t="str">
        <f t="shared" si="39"/>
        <v>ESTADO DE SITUACIÓN FINANCIERA</v>
      </c>
      <c r="U218" s="64" t="str">
        <f t="shared" si="35"/>
        <v>ACTIVO</v>
      </c>
      <c r="V218" s="64" t="str">
        <f t="shared" si="36"/>
        <v>TOTAL ACTIVOS NO CORRIENTES</v>
      </c>
      <c r="W218" s="64" t="str">
        <f t="shared" si="37"/>
        <v/>
      </c>
      <c r="X218" s="64" t="str">
        <f t="shared" si="41"/>
        <v/>
      </c>
      <c r="Y218" s="64" t="str">
        <f t="shared" si="42"/>
        <v/>
      </c>
      <c r="Z218" s="64" t="str">
        <f t="shared" si="43"/>
        <v/>
      </c>
      <c r="AA218" s="69" t="str">
        <f>IF(X218&lt;&gt;"",CONCATENATE(W218,"_",X218,"_",Y218,"_",Z218,""),CONCATENATE(U218,"_",V218, "_",W218,""))</f>
        <v>ACTIVO_TOTAL ACTIVOS NO CORRIENTES_</v>
      </c>
    </row>
    <row r="219" spans="1:27">
      <c r="A219" s="53"/>
      <c r="B219" s="53"/>
      <c r="C219" s="239" t="s">
        <v>328</v>
      </c>
      <c r="D219" s="239"/>
      <c r="E219" s="239"/>
      <c r="F219" s="239"/>
      <c r="G219" s="239"/>
      <c r="H219" s="239"/>
      <c r="I219" s="239"/>
      <c r="J219" s="239"/>
      <c r="K219" s="239"/>
      <c r="L219" s="239"/>
      <c r="M219" s="239"/>
      <c r="N219" s="239"/>
      <c r="O219" s="239"/>
      <c r="S219" s="61">
        <f t="shared" si="40"/>
        <v>0</v>
      </c>
      <c r="T219" s="64" t="str">
        <f t="shared" si="39"/>
        <v>ESTADO DE SITUACIÓN FINANCIERA</v>
      </c>
      <c r="U219" s="64" t="str">
        <f t="shared" si="35"/>
        <v>ACTIVO</v>
      </c>
      <c r="V219" s="64" t="str">
        <f t="shared" si="36"/>
        <v>REVALUACIONES Y REEXPRESIONES DE ACTIVOS (INFORMATIVO)</v>
      </c>
      <c r="W219" s="64" t="str">
        <f t="shared" si="37"/>
        <v/>
      </c>
      <c r="X219" s="64" t="str">
        <f t="shared" si="41"/>
        <v/>
      </c>
      <c r="Y219" s="64" t="str">
        <f t="shared" si="42"/>
        <v/>
      </c>
      <c r="Z219" s="64" t="str">
        <f t="shared" si="43"/>
        <v/>
      </c>
      <c r="AA219" s="64" t="str">
        <f t="shared" si="38"/>
        <v/>
      </c>
    </row>
    <row r="220" spans="1:27">
      <c r="A220" s="53"/>
      <c r="B220" s="53"/>
      <c r="C220" s="53"/>
      <c r="D220" s="242" t="s">
        <v>329</v>
      </c>
      <c r="E220" s="242"/>
      <c r="F220" s="242"/>
      <c r="G220" s="242"/>
      <c r="H220" s="242"/>
      <c r="I220" s="242"/>
      <c r="J220" s="242"/>
      <c r="K220" s="242"/>
      <c r="L220" s="242"/>
      <c r="M220" s="242"/>
      <c r="N220" s="9" t="s">
        <v>330</v>
      </c>
      <c r="O220" s="55" t="e">
        <f>VLOOKUP(N220,Casilleros!$A$4:$Q$830,17,FALSE)</f>
        <v>#REF!</v>
      </c>
      <c r="S220" s="61" t="str">
        <f t="shared" si="40"/>
        <v>460</v>
      </c>
      <c r="T220" s="64" t="str">
        <f t="shared" si="39"/>
        <v>ESTADO DE SITUACIÓN FINANCIERA</v>
      </c>
      <c r="U220" s="64" t="str">
        <f t="shared" ref="U220:U283" si="44">IF(T219&lt;&gt;T220,"",(IF(B220&lt;&gt;"",B220,U219)))</f>
        <v>ACTIVO</v>
      </c>
      <c r="V220" s="64" t="str">
        <f t="shared" ref="V220:V283" si="45">IF(U219&lt;&gt;U220,"",(IF(C220&lt;&gt;"",C220,V219)))</f>
        <v>REVALUACIONES Y REEXPRESIONES DE ACTIVOS (INFORMATIVO)</v>
      </c>
      <c r="W220" s="64" t="str">
        <f t="shared" ref="W220:W283" si="46">IF(V219&lt;&gt;V220,"",(IF(D220&lt;&gt;"",D220,W219)))</f>
        <v>Ajustes acumulados por reexpresiones o revaluaciones de otras partidas de propiedades, planta y equipo (Informativo)</v>
      </c>
      <c r="X220" s="64" t="str">
        <f t="shared" si="41"/>
        <v/>
      </c>
      <c r="Y220" s="64" t="str">
        <f t="shared" si="42"/>
        <v/>
      </c>
      <c r="Z220" s="64" t="str">
        <f t="shared" si="43"/>
        <v/>
      </c>
      <c r="AA220" s="75" t="str">
        <f>IF(X220&lt;&gt;"",CONCATENATE(W220,"_",X220,"_",Y220,"_",Z220),CONCATENATE(V220," ",W220))</f>
        <v>REVALUACIONES Y REEXPRESIONES DE ACTIVOS (INFORMATIVO) Ajustes acumulados por reexpresiones o revaluaciones de otras partidas de propiedades, planta y equipo (Informativo)</v>
      </c>
    </row>
    <row r="221" spans="1:27">
      <c r="A221" s="53"/>
      <c r="B221" s="53"/>
      <c r="C221" s="53"/>
      <c r="D221" s="242" t="s">
        <v>331</v>
      </c>
      <c r="E221" s="242"/>
      <c r="F221" s="242"/>
      <c r="G221" s="242"/>
      <c r="H221" s="242"/>
      <c r="I221" s="242"/>
      <c r="J221" s="242"/>
      <c r="K221" s="242"/>
      <c r="L221" s="242"/>
      <c r="M221" s="242"/>
      <c r="N221" s="9" t="s">
        <v>332</v>
      </c>
      <c r="O221" s="55" t="e">
        <f>VLOOKUP(N221,Casilleros!$A$4:$Q$830,17,FALSE)</f>
        <v>#REF!</v>
      </c>
      <c r="S221" s="61" t="str">
        <f t="shared" si="40"/>
        <v>461</v>
      </c>
      <c r="T221" s="64" t="str">
        <f t="shared" ref="T221:T284" si="47">IF(A221&lt;&gt;"",A221,T220)</f>
        <v>ESTADO DE SITUACIÓN FINANCIERA</v>
      </c>
      <c r="U221" s="64" t="str">
        <f t="shared" si="44"/>
        <v>ACTIVO</v>
      </c>
      <c r="V221" s="64" t="str">
        <f t="shared" si="45"/>
        <v>REVALUACIONES Y REEXPRESIONES DE ACTIVOS (INFORMATIVO)</v>
      </c>
      <c r="W221" s="64" t="str">
        <f t="shared" si="46"/>
        <v>(-) Depreciación acumulada de los ajustes acumulados por reexpresiones o revaluaciones de otras partidas de propiedades, planta y equipo (Informativo)</v>
      </c>
      <c r="X221" s="64" t="str">
        <f t="shared" si="41"/>
        <v/>
      </c>
      <c r="Y221" s="64" t="str">
        <f t="shared" si="42"/>
        <v/>
      </c>
      <c r="Z221" s="64" t="str">
        <f t="shared" si="43"/>
        <v/>
      </c>
      <c r="AA221" s="75" t="str">
        <f t="shared" ref="AA221:AA237" si="48">IF(X221&lt;&gt;"",CONCATENATE(W221,"_",X221,"_",Y221,"_",Z221),CONCATENATE(V221," ",W221))</f>
        <v>REVALUACIONES Y REEXPRESIONES DE ACTIVOS (INFORMATIVO) (-) Depreciación acumulada de los ajustes acumulados por reexpresiones o revaluaciones de otras partidas de propiedades, planta y equipo (Informativo)</v>
      </c>
    </row>
    <row r="222" spans="1:27">
      <c r="A222" s="53"/>
      <c r="B222" s="53"/>
      <c r="C222" s="53"/>
      <c r="D222" s="242" t="s">
        <v>333</v>
      </c>
      <c r="E222" s="242"/>
      <c r="F222" s="242"/>
      <c r="G222" s="242"/>
      <c r="H222" s="242"/>
      <c r="I222" s="242"/>
      <c r="J222" s="242"/>
      <c r="K222" s="242"/>
      <c r="L222" s="242"/>
      <c r="M222" s="242"/>
      <c r="N222" s="9" t="s">
        <v>334</v>
      </c>
      <c r="O222" s="55" t="e">
        <f>VLOOKUP(N222,Casilleros!$A$4:$Q$830,17,FALSE)</f>
        <v>#REF!</v>
      </c>
      <c r="S222" s="61" t="str">
        <f t="shared" si="40"/>
        <v>462</v>
      </c>
      <c r="T222" s="64" t="str">
        <f t="shared" si="47"/>
        <v>ESTADO DE SITUACIÓN FINANCIERA</v>
      </c>
      <c r="U222" s="64" t="str">
        <f t="shared" si="44"/>
        <v>ACTIVO</v>
      </c>
      <c r="V222" s="64" t="str">
        <f t="shared" si="45"/>
        <v>REVALUACIONES Y REEXPRESIONES DE ACTIVOS (INFORMATIVO)</v>
      </c>
      <c r="W222" s="64" t="str">
        <f t="shared" si="46"/>
        <v>Ajustes acumulados por reexpresiones o revaluaciones de activos intangibles (Informativo)</v>
      </c>
      <c r="X222" s="64" t="str">
        <f t="shared" si="41"/>
        <v/>
      </c>
      <c r="Y222" s="64" t="str">
        <f t="shared" si="42"/>
        <v/>
      </c>
      <c r="Z222" s="64" t="str">
        <f t="shared" si="43"/>
        <v/>
      </c>
      <c r="AA222" s="75" t="str">
        <f t="shared" si="48"/>
        <v>REVALUACIONES Y REEXPRESIONES DE ACTIVOS (INFORMATIVO) Ajustes acumulados por reexpresiones o revaluaciones de activos intangibles (Informativo)</v>
      </c>
    </row>
    <row r="223" spans="1:27">
      <c r="A223" s="53"/>
      <c r="B223" s="53"/>
      <c r="C223" s="53"/>
      <c r="D223" s="242" t="s">
        <v>335</v>
      </c>
      <c r="E223" s="242"/>
      <c r="F223" s="242"/>
      <c r="G223" s="242"/>
      <c r="H223" s="242"/>
      <c r="I223" s="242"/>
      <c r="J223" s="242"/>
      <c r="K223" s="242"/>
      <c r="L223" s="242"/>
      <c r="M223" s="242"/>
      <c r="N223" s="9" t="s">
        <v>336</v>
      </c>
      <c r="O223" s="55" t="e">
        <f>VLOOKUP(N223,Casilleros!$A$4:$Q$830,17,FALSE)</f>
        <v>#REF!</v>
      </c>
      <c r="S223" s="61" t="str">
        <f t="shared" si="40"/>
        <v>463</v>
      </c>
      <c r="T223" s="64" t="str">
        <f t="shared" si="47"/>
        <v>ESTADO DE SITUACIÓN FINANCIERA</v>
      </c>
      <c r="U223" s="64" t="str">
        <f t="shared" si="44"/>
        <v>ACTIVO</v>
      </c>
      <c r="V223" s="64" t="str">
        <f t="shared" si="45"/>
        <v>REVALUACIONES Y REEXPRESIONES DE ACTIVOS (INFORMATIVO)</v>
      </c>
      <c r="W223" s="64" t="str">
        <f t="shared" si="46"/>
        <v>(-) Amortización acumulada de los ajustes acumulados por reexpresiones o revaluaciones de activos intangibles (Informativo)</v>
      </c>
      <c r="X223" s="64" t="str">
        <f t="shared" si="41"/>
        <v/>
      </c>
      <c r="Y223" s="64" t="str">
        <f t="shared" si="42"/>
        <v/>
      </c>
      <c r="Z223" s="64" t="str">
        <f t="shared" si="43"/>
        <v/>
      </c>
      <c r="AA223" s="75" t="str">
        <f t="shared" si="48"/>
        <v>REVALUACIONES Y REEXPRESIONES DE ACTIVOS (INFORMATIVO) (-) Amortización acumulada de los ajustes acumulados por reexpresiones o revaluaciones de activos intangibles (Informativo)</v>
      </c>
    </row>
    <row r="224" spans="1:27">
      <c r="A224" s="53"/>
      <c r="B224" s="53"/>
      <c r="C224" s="53"/>
      <c r="D224" s="242" t="s">
        <v>337</v>
      </c>
      <c r="E224" s="242"/>
      <c r="F224" s="242"/>
      <c r="G224" s="242"/>
      <c r="H224" s="242"/>
      <c r="I224" s="242"/>
      <c r="J224" s="242"/>
      <c r="K224" s="242"/>
      <c r="L224" s="242"/>
      <c r="M224" s="242"/>
      <c r="N224" s="9" t="s">
        <v>338</v>
      </c>
      <c r="O224" s="55" t="e">
        <f>VLOOKUP(N224,Casilleros!$A$4:$Q$830,17,FALSE)</f>
        <v>#REF!</v>
      </c>
      <c r="S224" s="61" t="str">
        <f t="shared" ref="S224:S287" si="49">+N224</f>
        <v>464</v>
      </c>
      <c r="T224" s="64" t="str">
        <f t="shared" si="47"/>
        <v>ESTADO DE SITUACIÓN FINANCIERA</v>
      </c>
      <c r="U224" s="64" t="str">
        <f t="shared" si="44"/>
        <v>ACTIVO</v>
      </c>
      <c r="V224" s="64" t="str">
        <f t="shared" si="45"/>
        <v>REVALUACIONES Y REEXPRESIONES DE ACTIVOS (INFORMATIVO)</v>
      </c>
      <c r="W224" s="64" t="str">
        <f t="shared" si="46"/>
        <v>Ajustes acumulados por reexpresiones o revaluaciones de propiedades de inversión (Informativo)</v>
      </c>
      <c r="X224" s="64" t="str">
        <f t="shared" si="41"/>
        <v/>
      </c>
      <c r="Y224" s="64" t="str">
        <f t="shared" si="42"/>
        <v/>
      </c>
      <c r="Z224" s="64" t="str">
        <f t="shared" si="43"/>
        <v/>
      </c>
      <c r="AA224" s="75" t="str">
        <f t="shared" si="48"/>
        <v>REVALUACIONES Y REEXPRESIONES DE ACTIVOS (INFORMATIVO) Ajustes acumulados por reexpresiones o revaluaciones de propiedades de inversión (Informativo)</v>
      </c>
    </row>
    <row r="225" spans="1:27">
      <c r="A225" s="53"/>
      <c r="B225" s="53"/>
      <c r="C225" s="53"/>
      <c r="D225" s="242" t="s">
        <v>339</v>
      </c>
      <c r="E225" s="242"/>
      <c r="F225" s="242"/>
      <c r="G225" s="242"/>
      <c r="H225" s="242"/>
      <c r="I225" s="242"/>
      <c r="J225" s="242"/>
      <c r="K225" s="242"/>
      <c r="L225" s="242"/>
      <c r="M225" s="242"/>
      <c r="N225" s="9" t="s">
        <v>340</v>
      </c>
      <c r="O225" s="55" t="e">
        <f>VLOOKUP(N225,Casilleros!$A$4:$Q$830,17,FALSE)</f>
        <v>#REF!</v>
      </c>
      <c r="S225" s="61" t="str">
        <f t="shared" si="49"/>
        <v>465</v>
      </c>
      <c r="T225" s="64" t="str">
        <f t="shared" si="47"/>
        <v>ESTADO DE SITUACIÓN FINANCIERA</v>
      </c>
      <c r="U225" s="64" t="str">
        <f t="shared" si="44"/>
        <v>ACTIVO</v>
      </c>
      <c r="V225" s="64" t="str">
        <f t="shared" si="45"/>
        <v>REVALUACIONES Y REEXPRESIONES DE ACTIVOS (INFORMATIVO)</v>
      </c>
      <c r="W225" s="64" t="str">
        <f t="shared" si="46"/>
        <v>(-) Depreciación acumulada de los ajustes acumulados por reexpresiones o revaluaciones de propiedades de inversión (Informativo)</v>
      </c>
      <c r="X225" s="64" t="str">
        <f t="shared" si="41"/>
        <v/>
      </c>
      <c r="Y225" s="64" t="str">
        <f t="shared" si="42"/>
        <v/>
      </c>
      <c r="Z225" s="64" t="str">
        <f t="shared" si="43"/>
        <v/>
      </c>
      <c r="AA225" s="75" t="str">
        <f t="shared" si="48"/>
        <v>REVALUACIONES Y REEXPRESIONES DE ACTIVOS (INFORMATIVO) (-) Depreciación acumulada de los ajustes acumulados por reexpresiones o revaluaciones de propiedades de inversión (Informativo)</v>
      </c>
    </row>
    <row r="226" spans="1:27">
      <c r="A226" s="53"/>
      <c r="B226" s="53"/>
      <c r="C226" s="53"/>
      <c r="D226" s="242" t="s">
        <v>341</v>
      </c>
      <c r="E226" s="242"/>
      <c r="F226" s="242"/>
      <c r="G226" s="242"/>
      <c r="H226" s="242"/>
      <c r="I226" s="242"/>
      <c r="J226" s="242"/>
      <c r="K226" s="242"/>
      <c r="L226" s="242"/>
      <c r="M226" s="242"/>
      <c r="N226" s="9" t="s">
        <v>342</v>
      </c>
      <c r="O226" s="55" t="e">
        <f>VLOOKUP(N226,Casilleros!$A$4:$Q$830,17,FALSE)</f>
        <v>#REF!</v>
      </c>
      <c r="S226" s="61" t="str">
        <f t="shared" si="49"/>
        <v>466</v>
      </c>
      <c r="T226" s="64" t="str">
        <f t="shared" si="47"/>
        <v>ESTADO DE SITUACIÓN FINANCIERA</v>
      </c>
      <c r="U226" s="64" t="str">
        <f t="shared" si="44"/>
        <v>ACTIVO</v>
      </c>
      <c r="V226" s="64" t="str">
        <f t="shared" si="45"/>
        <v>REVALUACIONES Y REEXPRESIONES DE ACTIVOS (INFORMATIVO)</v>
      </c>
      <c r="W226" s="64" t="str">
        <f t="shared" si="46"/>
        <v>Ajustes acumulados por reexpresiones o revaluaciones de activos para exploración, evaluación y explotación de recursos minerales (Informativo)</v>
      </c>
      <c r="X226" s="64" t="str">
        <f t="shared" si="41"/>
        <v/>
      </c>
      <c r="Y226" s="64" t="str">
        <f t="shared" si="42"/>
        <v/>
      </c>
      <c r="Z226" s="64" t="str">
        <f t="shared" si="43"/>
        <v/>
      </c>
      <c r="AA226" s="75" t="str">
        <f t="shared" si="48"/>
        <v>REVALUACIONES Y REEXPRESIONES DE ACTIVOS (INFORMATIVO) Ajustes acumulados por reexpresiones o revaluaciones de activos para exploración, evaluación y explotación de recursos minerales (Informativo)</v>
      </c>
    </row>
    <row r="227" spans="1:27">
      <c r="A227" s="53"/>
      <c r="B227" s="53"/>
      <c r="C227" s="53"/>
      <c r="D227" s="242" t="s">
        <v>343</v>
      </c>
      <c r="E227" s="242"/>
      <c r="F227" s="242"/>
      <c r="G227" s="242"/>
      <c r="H227" s="242"/>
      <c r="I227" s="242"/>
      <c r="J227" s="242"/>
      <c r="K227" s="242"/>
      <c r="L227" s="242"/>
      <c r="M227" s="242"/>
      <c r="N227" s="9" t="s">
        <v>344</v>
      </c>
      <c r="O227" s="55" t="e">
        <f>VLOOKUP(N227,Casilleros!$A$4:$Q$830,17,FALSE)</f>
        <v>#REF!</v>
      </c>
      <c r="S227" s="61" t="str">
        <f t="shared" si="49"/>
        <v>467</v>
      </c>
      <c r="T227" s="64" t="str">
        <f t="shared" si="47"/>
        <v>ESTADO DE SITUACIÓN FINANCIERA</v>
      </c>
      <c r="U227" s="64" t="str">
        <f t="shared" si="44"/>
        <v>ACTIVO</v>
      </c>
      <c r="V227" s="64" t="str">
        <f t="shared" si="45"/>
        <v>REVALUACIONES Y REEXPRESIONES DE ACTIVOS (INFORMATIVO)</v>
      </c>
      <c r="W227" s="64" t="str">
        <f t="shared" si="46"/>
        <v>(-) Depreciación/amortización acumulada del ajustes acumulado por reexpresiones o revaluaciones de activos para exploración, evaluación y explotación de recursos minerales (Informativo)</v>
      </c>
      <c r="X227" s="64" t="str">
        <f t="shared" si="41"/>
        <v/>
      </c>
      <c r="Y227" s="64" t="str">
        <f t="shared" si="42"/>
        <v/>
      </c>
      <c r="Z227" s="64" t="str">
        <f t="shared" si="43"/>
        <v/>
      </c>
      <c r="AA227" s="75" t="str">
        <f t="shared" si="48"/>
        <v>REVALUACIONES Y REEXPRESIONES DE ACTIVOS (INFORMATIVO) (-) Depreciación/amortización acumulada del ajustes acumulado por reexpresiones o revaluaciones de activos para exploración, evaluación y explotación de recursos minerales (Informativo)</v>
      </c>
    </row>
    <row r="228" spans="1:27">
      <c r="A228" s="53"/>
      <c r="B228" s="53"/>
      <c r="C228" s="53"/>
      <c r="D228" s="242" t="s">
        <v>345</v>
      </c>
      <c r="E228" s="242"/>
      <c r="F228" s="242"/>
      <c r="G228" s="242"/>
      <c r="H228" s="242"/>
      <c r="I228" s="242"/>
      <c r="J228" s="242"/>
      <c r="K228" s="242"/>
      <c r="L228" s="242"/>
      <c r="M228" s="242"/>
      <c r="N228" s="9" t="s">
        <v>346</v>
      </c>
      <c r="O228" s="55" t="e">
        <f>VLOOKUP(N228,Casilleros!$A$4:$Q$830,17,FALSE)</f>
        <v>#REF!</v>
      </c>
      <c r="S228" s="61" t="str">
        <f t="shared" si="49"/>
        <v>468</v>
      </c>
      <c r="T228" s="64" t="str">
        <f t="shared" si="47"/>
        <v>ESTADO DE SITUACIÓN FINANCIERA</v>
      </c>
      <c r="U228" s="64" t="str">
        <f t="shared" si="44"/>
        <v>ACTIVO</v>
      </c>
      <c r="V228" s="64" t="str">
        <f t="shared" si="45"/>
        <v>REVALUACIONES Y REEXPRESIONES DE ACTIVOS (INFORMATIVO)</v>
      </c>
      <c r="W228" s="64" t="str">
        <f t="shared" si="46"/>
        <v>Total de las  revaluaciones y otros ajustes positivos producto de valoraciones financieras excluidos del cálculo del anticipo,  para todos los activos (Informativo)</v>
      </c>
      <c r="X228" s="64" t="str">
        <f t="shared" si="41"/>
        <v/>
      </c>
      <c r="Y228" s="64" t="str">
        <f t="shared" si="42"/>
        <v/>
      </c>
      <c r="Z228" s="64" t="str">
        <f t="shared" si="43"/>
        <v/>
      </c>
      <c r="AA228" s="75" t="str">
        <f t="shared" si="48"/>
        <v>REVALUACIONES Y REEXPRESIONES DE ACTIVOS (INFORMATIVO) Total de las  revaluaciones y otros ajustes positivos producto de valoraciones financieras excluidos del cálculo del anticipo,  para todos los activos (Informativo)</v>
      </c>
    </row>
    <row r="229" spans="1:27">
      <c r="A229" s="53"/>
      <c r="B229" s="53"/>
      <c r="C229" s="53"/>
      <c r="D229" s="242" t="s">
        <v>347</v>
      </c>
      <c r="E229" s="242"/>
      <c r="F229" s="242"/>
      <c r="G229" s="242"/>
      <c r="H229" s="242"/>
      <c r="I229" s="242"/>
      <c r="J229" s="242"/>
      <c r="K229" s="242"/>
      <c r="L229" s="242"/>
      <c r="M229" s="242"/>
      <c r="N229" s="9" t="s">
        <v>348</v>
      </c>
      <c r="O229" s="55" t="e">
        <f>VLOOKUP(N229,Casilleros!$A$4:$Q$830,17,FALSE)</f>
        <v>#REF!</v>
      </c>
      <c r="S229" s="61" t="str">
        <f t="shared" si="49"/>
        <v>469</v>
      </c>
      <c r="T229" s="64" t="str">
        <f t="shared" si="47"/>
        <v>ESTADO DE SITUACIÓN FINANCIERA</v>
      </c>
      <c r="U229" s="64" t="str">
        <f t="shared" si="44"/>
        <v>ACTIVO</v>
      </c>
      <c r="V229" s="64" t="str">
        <f t="shared" si="45"/>
        <v>REVALUACIONES Y REEXPRESIONES DE ACTIVOS (INFORMATIVO)</v>
      </c>
      <c r="W229" s="64" t="str">
        <f t="shared" si="46"/>
        <v>(-) Total depreciación acumulada del ajuste acumulado por  revaluaciones y otros ajustes negativos producto de valoraciones financieras excluidos del cálculo del anticipo, para todos los activos (Informativo)</v>
      </c>
      <c r="X229" s="64" t="str">
        <f t="shared" si="41"/>
        <v/>
      </c>
      <c r="Y229" s="64" t="str">
        <f t="shared" si="42"/>
        <v/>
      </c>
      <c r="Z229" s="64" t="str">
        <f t="shared" si="43"/>
        <v/>
      </c>
      <c r="AA229" s="75" t="str">
        <f t="shared" si="48"/>
        <v>REVALUACIONES Y REEXPRESIONES DE ACTIVOS (INFORMATIVO) (-) Total depreciación acumulada del ajuste acumulado por  revaluaciones y otros ajustes negativos producto de valoraciones financieras excluidos del cálculo del anticipo, para todos los activos (Informativo)</v>
      </c>
    </row>
    <row r="230" spans="1:27">
      <c r="A230" s="53"/>
      <c r="B230" s="53"/>
      <c r="C230" s="239" t="s">
        <v>349</v>
      </c>
      <c r="D230" s="239"/>
      <c r="E230" s="239"/>
      <c r="F230" s="239"/>
      <c r="G230" s="239"/>
      <c r="H230" s="239"/>
      <c r="I230" s="239"/>
      <c r="J230" s="239"/>
      <c r="K230" s="239"/>
      <c r="L230" s="239"/>
      <c r="M230" s="239"/>
      <c r="N230" s="239"/>
      <c r="O230" s="239"/>
      <c r="S230" s="61">
        <f t="shared" si="49"/>
        <v>0</v>
      </c>
      <c r="T230" s="64" t="str">
        <f t="shared" si="47"/>
        <v>ESTADO DE SITUACIÓN FINANCIERA</v>
      </c>
      <c r="U230" s="64" t="str">
        <f t="shared" si="44"/>
        <v>ACTIVO</v>
      </c>
      <c r="V230" s="64" t="str">
        <f t="shared" si="45"/>
        <v>TERRENOS QUE SE EXCLUYEN DEL CÁLCULO DEL ANTICIPO</v>
      </c>
      <c r="W230" s="64" t="str">
        <f t="shared" si="46"/>
        <v/>
      </c>
      <c r="X230" s="64" t="str">
        <f t="shared" si="41"/>
        <v/>
      </c>
      <c r="Y230" s="64" t="str">
        <f t="shared" si="42"/>
        <v/>
      </c>
      <c r="Z230" s="64" t="str">
        <f t="shared" si="43"/>
        <v/>
      </c>
      <c r="AA230" s="75" t="str">
        <f t="shared" si="48"/>
        <v xml:space="preserve">TERRENOS QUE SE EXCLUYEN DEL CÁLCULO DEL ANTICIPO </v>
      </c>
    </row>
    <row r="231" spans="1:27">
      <c r="A231" s="53"/>
      <c r="B231" s="53"/>
      <c r="C231" s="53"/>
      <c r="D231" s="235" t="s">
        <v>350</v>
      </c>
      <c r="E231" s="235"/>
      <c r="F231" s="235"/>
      <c r="G231" s="235"/>
      <c r="H231" s="235"/>
      <c r="I231" s="235"/>
      <c r="J231" s="235"/>
      <c r="K231" s="235"/>
      <c r="L231" s="235"/>
      <c r="M231" s="235"/>
      <c r="N231" s="9" t="s">
        <v>351</v>
      </c>
      <c r="O231" s="55" t="e">
        <f>VLOOKUP(N231,Casilleros!$A$4:$Q$830,17,FALSE)</f>
        <v>#REF!</v>
      </c>
      <c r="S231" s="61" t="str">
        <f t="shared" si="49"/>
        <v>470</v>
      </c>
      <c r="T231" s="64" t="str">
        <f t="shared" si="47"/>
        <v>ESTADO DE SITUACIÓN FINANCIERA</v>
      </c>
      <c r="U231" s="64" t="str">
        <f t="shared" si="44"/>
        <v>ACTIVO</v>
      </c>
      <c r="V231" s="64" t="str">
        <f t="shared" si="45"/>
        <v>TERRENOS QUE SE EXCLUYEN DEL CÁLCULO DEL ANTICIPO</v>
      </c>
      <c r="W231" s="64" t="str">
        <f t="shared" si="46"/>
        <v>Total costo de terrenos en los que se desarrollan actividades agropecuarias (excluyendo sus revaluaciones o reexpresiones) (Informativo)</v>
      </c>
      <c r="X231" s="64" t="str">
        <f t="shared" si="41"/>
        <v/>
      </c>
      <c r="Y231" s="64" t="str">
        <f t="shared" si="42"/>
        <v/>
      </c>
      <c r="Z231" s="64" t="str">
        <f t="shared" si="43"/>
        <v/>
      </c>
      <c r="AA231" s="75" t="str">
        <f t="shared" si="48"/>
        <v>TERRENOS QUE SE EXCLUYEN DEL CÁLCULO DEL ANTICIPO Total costo de terrenos en los que se desarrollan actividades agropecuarias (excluyendo sus revaluaciones o reexpresiones) (Informativo)</v>
      </c>
    </row>
    <row r="232" spans="1:27">
      <c r="A232" s="53"/>
      <c r="B232" s="53"/>
      <c r="C232" s="53"/>
      <c r="D232" s="235" t="s">
        <v>352</v>
      </c>
      <c r="E232" s="235"/>
      <c r="F232" s="235"/>
      <c r="G232" s="235"/>
      <c r="H232" s="235"/>
      <c r="I232" s="235"/>
      <c r="J232" s="235"/>
      <c r="K232" s="235"/>
      <c r="L232" s="235"/>
      <c r="M232" s="235"/>
      <c r="N232" s="9" t="s">
        <v>353</v>
      </c>
      <c r="O232" s="55" t="e">
        <f>VLOOKUP(N232,Casilleros!$A$4:$Q$830,17,FALSE)</f>
        <v>#REF!</v>
      </c>
      <c r="S232" s="61" t="str">
        <f t="shared" si="49"/>
        <v>471</v>
      </c>
      <c r="T232" s="64" t="str">
        <f t="shared" si="47"/>
        <v>ESTADO DE SITUACIÓN FINANCIERA</v>
      </c>
      <c r="U232" s="64" t="str">
        <f t="shared" si="44"/>
        <v>ACTIVO</v>
      </c>
      <c r="V232" s="64" t="str">
        <f t="shared" si="45"/>
        <v>TERRENOS QUE SE EXCLUYEN DEL CÁLCULO DEL ANTICIPO</v>
      </c>
      <c r="W232" s="64" t="str">
        <f t="shared" si="46"/>
        <v>Total deterioro acumulado del costo de terrenos en los que se desarrollan actividades agropecuarias (Informativo)</v>
      </c>
      <c r="X232" s="64" t="str">
        <f t="shared" si="41"/>
        <v/>
      </c>
      <c r="Y232" s="64" t="str">
        <f t="shared" si="42"/>
        <v/>
      </c>
      <c r="Z232" s="64" t="str">
        <f t="shared" si="43"/>
        <v/>
      </c>
      <c r="AA232" s="75" t="str">
        <f t="shared" si="48"/>
        <v>TERRENOS QUE SE EXCLUYEN DEL CÁLCULO DEL ANTICIPO Total deterioro acumulado del costo de terrenos en los que se desarrollan actividades agropecuarias (Informativo)</v>
      </c>
    </row>
    <row r="233" spans="1:27">
      <c r="A233" s="53"/>
      <c r="B233" s="53"/>
      <c r="C233" s="53"/>
      <c r="D233" s="235" t="s">
        <v>354</v>
      </c>
      <c r="E233" s="235"/>
      <c r="F233" s="235"/>
      <c r="G233" s="235"/>
      <c r="H233" s="235"/>
      <c r="I233" s="235"/>
      <c r="J233" s="235"/>
      <c r="K233" s="235"/>
      <c r="L233" s="235"/>
      <c r="M233" s="235"/>
      <c r="N233" s="9" t="s">
        <v>355</v>
      </c>
      <c r="O233" s="55" t="e">
        <f>VLOOKUP(N233,Casilleros!$A$4:$Q$830,17,FALSE)</f>
        <v>#REF!</v>
      </c>
      <c r="S233" s="61" t="str">
        <f t="shared" si="49"/>
        <v>472</v>
      </c>
      <c r="T233" s="64" t="str">
        <f t="shared" si="47"/>
        <v>ESTADO DE SITUACIÓN FINANCIERA</v>
      </c>
      <c r="U233" s="64" t="str">
        <f t="shared" si="44"/>
        <v>ACTIVO</v>
      </c>
      <c r="V233" s="64" t="str">
        <f t="shared" si="45"/>
        <v>TERRENOS QUE SE EXCLUYEN DEL CÁLCULO DEL ANTICIPO</v>
      </c>
      <c r="W233" s="64" t="str">
        <f t="shared" si="46"/>
        <v>Total costo de terrenos en los que se desarrollan proyectos inmobiliarios para la vivienda de interés social (excluyendo sus revaluaciones o reexpresiones) (Informativo)</v>
      </c>
      <c r="X233" s="64" t="str">
        <f t="shared" si="41"/>
        <v/>
      </c>
      <c r="Y233" s="64" t="str">
        <f t="shared" si="42"/>
        <v/>
      </c>
      <c r="Z233" s="64" t="str">
        <f t="shared" si="43"/>
        <v/>
      </c>
      <c r="AA233" s="75" t="str">
        <f t="shared" si="48"/>
        <v>TERRENOS QUE SE EXCLUYEN DEL CÁLCULO DEL ANTICIPO Total costo de terrenos en los que se desarrollan proyectos inmobiliarios para la vivienda de interés social (excluyendo sus revaluaciones o reexpresiones) (Informativo)</v>
      </c>
    </row>
    <row r="234" spans="1:27">
      <c r="A234" s="53"/>
      <c r="B234" s="53"/>
      <c r="C234" s="53"/>
      <c r="D234" s="235" t="s">
        <v>356</v>
      </c>
      <c r="E234" s="235"/>
      <c r="F234" s="235"/>
      <c r="G234" s="235"/>
      <c r="H234" s="235"/>
      <c r="I234" s="235"/>
      <c r="J234" s="235"/>
      <c r="K234" s="235"/>
      <c r="L234" s="235"/>
      <c r="M234" s="235"/>
      <c r="N234" s="9" t="s">
        <v>357</v>
      </c>
      <c r="O234" s="55" t="e">
        <f>VLOOKUP(N234,Casilleros!$A$4:$Q$830,17,FALSE)</f>
        <v>#REF!</v>
      </c>
      <c r="S234" s="61" t="str">
        <f t="shared" si="49"/>
        <v>473</v>
      </c>
      <c r="T234" s="64" t="str">
        <f t="shared" si="47"/>
        <v>ESTADO DE SITUACIÓN FINANCIERA</v>
      </c>
      <c r="U234" s="64" t="str">
        <f t="shared" si="44"/>
        <v>ACTIVO</v>
      </c>
      <c r="V234" s="64" t="str">
        <f t="shared" si="45"/>
        <v>TERRENOS QUE SE EXCLUYEN DEL CÁLCULO DEL ANTICIPO</v>
      </c>
      <c r="W234" s="64" t="str">
        <f t="shared" si="46"/>
        <v>Total deterioro acumulado del costo de terrenos en los que se desarrollan proyectos inmobiliarios para la vivienda de interés  social (Informativo)</v>
      </c>
      <c r="X234" s="64" t="str">
        <f t="shared" si="41"/>
        <v/>
      </c>
      <c r="Y234" s="64" t="str">
        <f t="shared" si="42"/>
        <v/>
      </c>
      <c r="Z234" s="64" t="str">
        <f t="shared" si="43"/>
        <v/>
      </c>
      <c r="AA234" s="75" t="str">
        <f t="shared" si="48"/>
        <v>TERRENOS QUE SE EXCLUYEN DEL CÁLCULO DEL ANTICIPO Total deterioro acumulado del costo de terrenos en los que se desarrollan proyectos inmobiliarios para la vivienda de interés  social (Informativo)</v>
      </c>
    </row>
    <row r="235" spans="1:27">
      <c r="A235" s="53"/>
      <c r="B235" s="53"/>
      <c r="C235" s="242" t="s">
        <v>358</v>
      </c>
      <c r="D235" s="242"/>
      <c r="E235" s="242"/>
      <c r="F235" s="242"/>
      <c r="G235" s="242"/>
      <c r="H235" s="242"/>
      <c r="I235" s="242"/>
      <c r="J235" s="242"/>
      <c r="K235" s="242"/>
      <c r="L235" s="242"/>
      <c r="M235" s="242"/>
      <c r="N235" s="9" t="s">
        <v>359</v>
      </c>
      <c r="O235" s="55" t="e">
        <f>VLOOKUP(N235,Casilleros!$A$4:$Q$830,17,FALSE)</f>
        <v>#REF!</v>
      </c>
      <c r="S235" s="61" t="str">
        <f t="shared" si="49"/>
        <v>474</v>
      </c>
      <c r="T235" s="64" t="str">
        <f t="shared" si="47"/>
        <v>ESTADO DE SITUACIÓN FINANCIERA</v>
      </c>
      <c r="U235" s="64" t="str">
        <f t="shared" si="44"/>
        <v>ACTIVO</v>
      </c>
      <c r="V235" s="64" t="str">
        <f t="shared" si="45"/>
        <v>Total de intereses implícitos no devengados (futuros ingresos financieros en el estado de resultados) por acuerdos que constituyen efectivamente una transacción financiera o cobro diferido (Informativo)</v>
      </c>
      <c r="W235" s="64" t="str">
        <f t="shared" si="46"/>
        <v/>
      </c>
      <c r="X235" s="64" t="str">
        <f t="shared" si="41"/>
        <v/>
      </c>
      <c r="Y235" s="64" t="str">
        <f t="shared" si="42"/>
        <v/>
      </c>
      <c r="Z235" s="64" t="str">
        <f t="shared" si="43"/>
        <v/>
      </c>
      <c r="AA235" s="75" t="str">
        <f t="shared" si="48"/>
        <v xml:space="preserve">Total de intereses implícitos no devengados (futuros ingresos financieros en el estado de resultados) por acuerdos que constituyen efectivamente una transacción financiera o cobro diferido (Informativo) </v>
      </c>
    </row>
    <row r="236" spans="1:27">
      <c r="A236" s="53"/>
      <c r="B236" s="53"/>
      <c r="C236" s="242" t="s">
        <v>360</v>
      </c>
      <c r="D236" s="242"/>
      <c r="E236" s="242"/>
      <c r="F236" s="242"/>
      <c r="G236" s="242"/>
      <c r="H236" s="242"/>
      <c r="I236" s="242"/>
      <c r="J236" s="242"/>
      <c r="K236" s="242"/>
      <c r="L236" s="242"/>
      <c r="M236" s="242"/>
      <c r="N236" s="9" t="s">
        <v>361</v>
      </c>
      <c r="O236" s="55" t="e">
        <f>VLOOKUP(N236,Casilleros!$A$4:$Q$830,17,FALSE)</f>
        <v>#REF!</v>
      </c>
      <c r="S236" s="61" t="str">
        <f t="shared" si="49"/>
        <v>475</v>
      </c>
      <c r="T236" s="64" t="str">
        <f t="shared" si="47"/>
        <v>ESTADO DE SITUACIÓN FINANCIERA</v>
      </c>
      <c r="U236" s="64" t="str">
        <f t="shared" si="44"/>
        <v>ACTIVO</v>
      </c>
      <c r="V236" s="64" t="str">
        <f t="shared" si="45"/>
        <v>Activos (fideicomitidos y generados) en fideicomisos mercantiles o encargos fiduciarios donde el contribuyente es constituyente  o aportante (Informativo)</v>
      </c>
      <c r="W236" s="64" t="str">
        <f t="shared" si="46"/>
        <v/>
      </c>
      <c r="X236" s="64" t="str">
        <f t="shared" si="41"/>
        <v/>
      </c>
      <c r="Y236" s="64" t="str">
        <f t="shared" si="42"/>
        <v/>
      </c>
      <c r="Z236" s="64" t="str">
        <f t="shared" si="43"/>
        <v/>
      </c>
      <c r="AA236" s="75" t="str">
        <f t="shared" si="48"/>
        <v xml:space="preserve">Activos (fideicomitidos y generados) en fideicomisos mercantiles o encargos fiduciarios donde el contribuyente es constituyente  o aportante (Informativo) </v>
      </c>
    </row>
    <row r="237" spans="1:27">
      <c r="A237" s="53"/>
      <c r="B237" s="53"/>
      <c r="C237" s="242" t="s">
        <v>362</v>
      </c>
      <c r="D237" s="242"/>
      <c r="E237" s="242"/>
      <c r="F237" s="242"/>
      <c r="G237" s="242"/>
      <c r="H237" s="242"/>
      <c r="I237" s="242"/>
      <c r="J237" s="242"/>
      <c r="K237" s="242"/>
      <c r="L237" s="242"/>
      <c r="M237" s="242"/>
      <c r="N237" s="9" t="s">
        <v>363</v>
      </c>
      <c r="O237" s="55" t="e">
        <f>VLOOKUP(N237,Casilleros!$A$4:$Q$830,17,FALSE)</f>
        <v>#REF!</v>
      </c>
      <c r="S237" s="61" t="str">
        <f t="shared" si="49"/>
        <v>476</v>
      </c>
      <c r="T237" s="64" t="str">
        <f t="shared" si="47"/>
        <v>ESTADO DE SITUACIÓN FINANCIERA</v>
      </c>
      <c r="U237" s="64" t="str">
        <f t="shared" si="44"/>
        <v>ACTIVO</v>
      </c>
      <c r="V237" s="64" t="str">
        <f t="shared" si="45"/>
        <v>Activos adquiridos por el valor de las utilidades reinvertidas generadas en el período anterior al declarado (Informativo)</v>
      </c>
      <c r="W237" s="64" t="str">
        <f t="shared" si="46"/>
        <v/>
      </c>
      <c r="X237" s="64" t="str">
        <f t="shared" si="41"/>
        <v/>
      </c>
      <c r="Y237" s="64" t="str">
        <f t="shared" si="42"/>
        <v/>
      </c>
      <c r="Z237" s="64" t="str">
        <f t="shared" si="43"/>
        <v/>
      </c>
      <c r="AA237" s="75" t="str">
        <f t="shared" si="48"/>
        <v xml:space="preserve">Activos adquiridos por el valor de las utilidades reinvertidas generadas en el período anterior al declarado (Informativo) </v>
      </c>
    </row>
    <row r="238" spans="1:27">
      <c r="A238" s="53"/>
      <c r="B238" s="238" t="s">
        <v>364</v>
      </c>
      <c r="C238" s="238"/>
      <c r="D238" s="238"/>
      <c r="E238" s="238"/>
      <c r="F238" s="238"/>
      <c r="G238" s="238"/>
      <c r="H238" s="238"/>
      <c r="I238" s="238"/>
      <c r="J238" s="238"/>
      <c r="K238" s="238"/>
      <c r="L238" s="238"/>
      <c r="M238" s="238"/>
      <c r="N238" s="71" t="s">
        <v>365</v>
      </c>
      <c r="O238" s="72" t="e">
        <f>+O218+O100</f>
        <v>#REF!</v>
      </c>
      <c r="S238" s="61" t="str">
        <f t="shared" si="49"/>
        <v>499</v>
      </c>
      <c r="T238" s="64" t="str">
        <f t="shared" si="47"/>
        <v>ESTADO DE SITUACIÓN FINANCIERA</v>
      </c>
      <c r="U238" s="64" t="str">
        <f t="shared" si="44"/>
        <v>TOTAL DEL ACTIVO</v>
      </c>
      <c r="V238" s="64" t="str">
        <f t="shared" si="45"/>
        <v/>
      </c>
      <c r="W238" s="64" t="str">
        <f t="shared" si="46"/>
        <v/>
      </c>
      <c r="X238" s="64" t="str">
        <f t="shared" si="41"/>
        <v/>
      </c>
      <c r="Y238" s="64" t="str">
        <f t="shared" si="42"/>
        <v/>
      </c>
      <c r="Z238" s="64" t="str">
        <f t="shared" si="43"/>
        <v/>
      </c>
      <c r="AA238" s="69" t="str">
        <f>IF(X238&lt;&gt;"",CONCATENATE(W238,"_",X238,"_",Y238,"_",Z238,""),CONCATENATE(U238,"_",V238, "_",W238,""))</f>
        <v>TOTAL DEL ACTIVO__</v>
      </c>
    </row>
    <row r="239" spans="1:27">
      <c r="A239" s="53"/>
      <c r="B239" s="239" t="s">
        <v>366</v>
      </c>
      <c r="C239" s="239"/>
      <c r="D239" s="239"/>
      <c r="E239" s="239"/>
      <c r="F239" s="239"/>
      <c r="G239" s="239"/>
      <c r="H239" s="239"/>
      <c r="I239" s="239"/>
      <c r="J239" s="239"/>
      <c r="K239" s="239"/>
      <c r="L239" s="239"/>
      <c r="M239" s="239"/>
      <c r="N239" s="239"/>
      <c r="O239" s="239"/>
      <c r="S239" s="61">
        <f t="shared" si="49"/>
        <v>0</v>
      </c>
      <c r="T239" s="64" t="str">
        <f t="shared" si="47"/>
        <v>ESTADO DE SITUACIÓN FINANCIERA</v>
      </c>
      <c r="U239" s="64" t="str">
        <f t="shared" si="44"/>
        <v>PASIVO</v>
      </c>
      <c r="V239" s="64" t="str">
        <f t="shared" si="45"/>
        <v/>
      </c>
      <c r="W239" s="64" t="str">
        <f t="shared" si="46"/>
        <v/>
      </c>
      <c r="X239" s="64" t="str">
        <f t="shared" si="41"/>
        <v/>
      </c>
      <c r="Y239" s="64" t="str">
        <f t="shared" si="42"/>
        <v/>
      </c>
      <c r="Z239" s="64" t="str">
        <f t="shared" si="43"/>
        <v/>
      </c>
      <c r="AA239" s="64" t="str">
        <f t="shared" ref="AA239:AA283" si="50">IF(X239&lt;&gt;"",CONCATENATE(W239,"_",X239,"_",Y239,"_",Z239),W239)</f>
        <v/>
      </c>
    </row>
    <row r="240" spans="1:27">
      <c r="A240" s="53"/>
      <c r="B240" s="53"/>
      <c r="C240" s="236" t="s">
        <v>367</v>
      </c>
      <c r="D240" s="236"/>
      <c r="E240" s="236"/>
      <c r="F240" s="236"/>
      <c r="G240" s="236"/>
      <c r="H240" s="236"/>
      <c r="I240" s="236"/>
      <c r="J240" s="236"/>
      <c r="K240" s="236"/>
      <c r="L240" s="236"/>
      <c r="M240" s="236"/>
      <c r="N240" s="236"/>
      <c r="O240" s="236"/>
      <c r="S240" s="61">
        <f t="shared" si="49"/>
        <v>0</v>
      </c>
      <c r="T240" s="64" t="str">
        <f t="shared" si="47"/>
        <v>ESTADO DE SITUACIÓN FINANCIERA</v>
      </c>
      <c r="U240" s="64" t="str">
        <f t="shared" si="44"/>
        <v>PASIVO</v>
      </c>
      <c r="V240" s="64" t="str">
        <f t="shared" si="45"/>
        <v>PASIVOS CORRIENTES</v>
      </c>
      <c r="W240" s="64" t="str">
        <f t="shared" si="46"/>
        <v/>
      </c>
      <c r="X240" s="64" t="str">
        <f t="shared" ref="X240:X303" si="51">IF(W239&lt;&gt;W240,"",(IF(E240&lt;&gt;"",E240,X239)))</f>
        <v/>
      </c>
      <c r="Y240" s="64" t="str">
        <f t="shared" ref="Y240:Y303" si="52">IF(X239&lt;&gt;X240,"",(IF(F240&lt;&gt;"",F240,Y239)))</f>
        <v/>
      </c>
      <c r="Z240" s="64" t="str">
        <f t="shared" ref="Z240:Z303" si="53">IF(Y239&lt;&gt;Y240,"",(IF(G240&lt;&gt;"",G240,Z239)))</f>
        <v/>
      </c>
      <c r="AA240" s="64" t="str">
        <f t="shared" si="50"/>
        <v/>
      </c>
    </row>
    <row r="241" spans="1:27">
      <c r="A241" s="53"/>
      <c r="B241" s="53"/>
      <c r="C241" s="53"/>
      <c r="D241" s="236" t="s">
        <v>368</v>
      </c>
      <c r="E241" s="236"/>
      <c r="F241" s="236"/>
      <c r="G241" s="236"/>
      <c r="H241" s="236"/>
      <c r="I241" s="236"/>
      <c r="J241" s="236"/>
      <c r="K241" s="236"/>
      <c r="L241" s="236"/>
      <c r="M241" s="236"/>
      <c r="N241" s="236"/>
      <c r="O241" s="236"/>
      <c r="S241" s="61">
        <f t="shared" si="49"/>
        <v>0</v>
      </c>
      <c r="T241" s="64" t="str">
        <f t="shared" si="47"/>
        <v>ESTADO DE SITUACIÓN FINANCIERA</v>
      </c>
      <c r="U241" s="64" t="str">
        <f t="shared" si="44"/>
        <v>PASIVO</v>
      </c>
      <c r="V241" s="64" t="str">
        <f t="shared" si="45"/>
        <v>PASIVOS CORRIENTES</v>
      </c>
      <c r="W241" s="64" t="str">
        <f t="shared" si="46"/>
        <v>CUENTAS Y DOCUMENTOS POR PAGAR CORRIENTES</v>
      </c>
      <c r="X241" s="64" t="str">
        <f t="shared" si="51"/>
        <v/>
      </c>
      <c r="Y241" s="64" t="str">
        <f t="shared" si="52"/>
        <v/>
      </c>
      <c r="Z241" s="64" t="str">
        <f t="shared" si="53"/>
        <v/>
      </c>
      <c r="AA241" s="64" t="str">
        <f t="shared" si="50"/>
        <v>CUENTAS Y DOCUMENTOS POR PAGAR CORRIENTES</v>
      </c>
    </row>
    <row r="242" spans="1:27">
      <c r="A242" s="53"/>
      <c r="B242" s="53"/>
      <c r="C242" s="53"/>
      <c r="D242" s="53"/>
      <c r="E242" s="236" t="s">
        <v>369</v>
      </c>
      <c r="F242" s="236"/>
      <c r="G242" s="236"/>
      <c r="H242" s="236"/>
      <c r="I242" s="236"/>
      <c r="J242" s="236"/>
      <c r="K242" s="236"/>
      <c r="L242" s="236"/>
      <c r="M242" s="236"/>
      <c r="N242" s="236"/>
      <c r="O242" s="236"/>
      <c r="S242" s="61">
        <f t="shared" si="49"/>
        <v>0</v>
      </c>
      <c r="T242" s="64" t="str">
        <f t="shared" si="47"/>
        <v>ESTADO DE SITUACIÓN FINANCIERA</v>
      </c>
      <c r="U242" s="64" t="str">
        <f t="shared" si="44"/>
        <v>PASIVO</v>
      </c>
      <c r="V242" s="64" t="str">
        <f t="shared" si="45"/>
        <v>PASIVOS CORRIENTES</v>
      </c>
      <c r="W242" s="64" t="str">
        <f t="shared" si="46"/>
        <v>CUENTAS Y DOCUMENTOS POR PAGAR CORRIENTES</v>
      </c>
      <c r="X242" s="64" t="str">
        <f t="shared" si="51"/>
        <v>CUENTAS Y DOCUMENTOS POR PAGAR COMERCIALES CORRIENTES</v>
      </c>
      <c r="Y242" s="64" t="str">
        <f t="shared" si="52"/>
        <v/>
      </c>
      <c r="Z242" s="64" t="str">
        <f t="shared" si="53"/>
        <v/>
      </c>
      <c r="AA242" s="64" t="str">
        <f t="shared" si="50"/>
        <v>CUENTAS Y DOCUMENTOS POR PAGAR CORRIENTES_CUENTAS Y DOCUMENTOS POR PAGAR COMERCIALES CORRIENTES__</v>
      </c>
    </row>
    <row r="243" spans="1:27">
      <c r="A243" s="53"/>
      <c r="B243" s="53"/>
      <c r="C243" s="53"/>
      <c r="D243" s="53"/>
      <c r="E243" s="53"/>
      <c r="F243" s="239" t="s">
        <v>72</v>
      </c>
      <c r="G243" s="239"/>
      <c r="H243" s="239"/>
      <c r="I243" s="239"/>
      <c r="J243" s="239"/>
      <c r="K243" s="239"/>
      <c r="L243" s="239"/>
      <c r="M243" s="239"/>
      <c r="N243" s="239"/>
      <c r="O243" s="239"/>
      <c r="S243" s="61">
        <f t="shared" si="49"/>
        <v>0</v>
      </c>
      <c r="T243" s="64" t="str">
        <f t="shared" si="47"/>
        <v>ESTADO DE SITUACIÓN FINANCIERA</v>
      </c>
      <c r="U243" s="64" t="str">
        <f t="shared" si="44"/>
        <v>PASIVO</v>
      </c>
      <c r="V243" s="64" t="str">
        <f t="shared" si="45"/>
        <v>PASIVOS CORRIENTES</v>
      </c>
      <c r="W243" s="64" t="str">
        <f t="shared" si="46"/>
        <v>CUENTAS Y DOCUMENTOS POR PAGAR CORRIENTES</v>
      </c>
      <c r="X243" s="64" t="str">
        <f t="shared" si="51"/>
        <v>CUENTAS Y DOCUMENTOS POR PAGAR COMERCIALES CORRIENTES</v>
      </c>
      <c r="Y243" s="64" t="str">
        <f t="shared" si="52"/>
        <v>RELACIONADAS</v>
      </c>
      <c r="Z243" s="64" t="str">
        <f t="shared" si="53"/>
        <v/>
      </c>
      <c r="AA243" s="64" t="str">
        <f t="shared" si="50"/>
        <v>CUENTAS Y DOCUMENTOS POR PAGAR CORRIENTES_CUENTAS Y DOCUMENTOS POR PAGAR COMERCIALES CORRIENTES_RELACIONADAS_</v>
      </c>
    </row>
    <row r="244" spans="1:27">
      <c r="A244" s="53"/>
      <c r="B244" s="53"/>
      <c r="C244" s="53"/>
      <c r="D244" s="53"/>
      <c r="E244" s="53"/>
      <c r="F244" s="53"/>
      <c r="G244" s="235" t="s">
        <v>73</v>
      </c>
      <c r="H244" s="235"/>
      <c r="I244" s="235"/>
      <c r="J244" s="235"/>
      <c r="K244" s="235"/>
      <c r="L244" s="235"/>
      <c r="M244" s="235"/>
      <c r="N244" s="9" t="s">
        <v>370</v>
      </c>
      <c r="O244" s="55" t="e">
        <f>VLOOKUP(N244,Casilleros!$A$4:$Q$830,17,FALSE)</f>
        <v>#REF!</v>
      </c>
      <c r="S244" s="61" t="str">
        <f t="shared" si="49"/>
        <v>511</v>
      </c>
      <c r="T244" s="64" t="str">
        <f t="shared" si="47"/>
        <v>ESTADO DE SITUACIÓN FINANCIERA</v>
      </c>
      <c r="U244" s="64" t="str">
        <f t="shared" si="44"/>
        <v>PASIVO</v>
      </c>
      <c r="V244" s="64" t="str">
        <f t="shared" si="45"/>
        <v>PASIVOS CORRIENTES</v>
      </c>
      <c r="W244" s="64" t="str">
        <f t="shared" si="46"/>
        <v>CUENTAS Y DOCUMENTOS POR PAGAR CORRIENTES</v>
      </c>
      <c r="X244" s="64" t="str">
        <f t="shared" si="51"/>
        <v>CUENTAS Y DOCUMENTOS POR PAGAR COMERCIALES CORRIENTES</v>
      </c>
      <c r="Y244" s="64" t="str">
        <f t="shared" si="52"/>
        <v>RELACIONADAS</v>
      </c>
      <c r="Z244" s="64" t="str">
        <f t="shared" si="53"/>
        <v>Locales</v>
      </c>
      <c r="AA244" s="64" t="str">
        <f t="shared" si="50"/>
        <v>CUENTAS Y DOCUMENTOS POR PAGAR CORRIENTES_CUENTAS Y DOCUMENTOS POR PAGAR COMERCIALES CORRIENTES_RELACIONADAS_Locales</v>
      </c>
    </row>
    <row r="245" spans="1:27">
      <c r="A245" s="53"/>
      <c r="B245" s="53"/>
      <c r="C245" s="53"/>
      <c r="D245" s="53"/>
      <c r="E245" s="53"/>
      <c r="F245" s="53"/>
      <c r="G245" s="235" t="s">
        <v>26</v>
      </c>
      <c r="H245" s="235"/>
      <c r="I245" s="235"/>
      <c r="J245" s="235"/>
      <c r="K245" s="235"/>
      <c r="L245" s="235"/>
      <c r="M245" s="235"/>
      <c r="N245" s="9" t="s">
        <v>371</v>
      </c>
      <c r="O245" s="74" t="e">
        <f>VLOOKUP(N245,Casilleros!$A$4:$Q$830,17,FALSE)</f>
        <v>#REF!</v>
      </c>
      <c r="S245" s="61" t="str">
        <f t="shared" si="49"/>
        <v>512</v>
      </c>
      <c r="T245" s="64" t="str">
        <f t="shared" si="47"/>
        <v>ESTADO DE SITUACIÓN FINANCIERA</v>
      </c>
      <c r="U245" s="64" t="str">
        <f t="shared" si="44"/>
        <v>PASIVO</v>
      </c>
      <c r="V245" s="64" t="str">
        <f t="shared" si="45"/>
        <v>PASIVOS CORRIENTES</v>
      </c>
      <c r="W245" s="64" t="str">
        <f t="shared" si="46"/>
        <v>CUENTAS Y DOCUMENTOS POR PAGAR CORRIENTES</v>
      </c>
      <c r="X245" s="64" t="str">
        <f t="shared" si="51"/>
        <v>CUENTAS Y DOCUMENTOS POR PAGAR COMERCIALES CORRIENTES</v>
      </c>
      <c r="Y245" s="64" t="str">
        <f t="shared" si="52"/>
        <v>RELACIONADAS</v>
      </c>
      <c r="Z245" s="64" t="str">
        <f t="shared" si="53"/>
        <v>Del exterior</v>
      </c>
      <c r="AA245" s="64" t="str">
        <f t="shared" si="50"/>
        <v>CUENTAS Y DOCUMENTOS POR PAGAR CORRIENTES_CUENTAS Y DOCUMENTOS POR PAGAR COMERCIALES CORRIENTES_RELACIONADAS_Del exterior</v>
      </c>
    </row>
    <row r="246" spans="1:27">
      <c r="A246" s="53"/>
      <c r="B246" s="53"/>
      <c r="C246" s="53"/>
      <c r="D246" s="53"/>
      <c r="E246" s="53"/>
      <c r="F246" s="239" t="s">
        <v>78</v>
      </c>
      <c r="G246" s="239"/>
      <c r="H246" s="239"/>
      <c r="I246" s="239"/>
      <c r="J246" s="239"/>
      <c r="K246" s="239"/>
      <c r="L246" s="239"/>
      <c r="M246" s="239"/>
      <c r="N246" s="239"/>
      <c r="O246" s="239"/>
      <c r="S246" s="61">
        <f t="shared" si="49"/>
        <v>0</v>
      </c>
      <c r="T246" s="64" t="str">
        <f t="shared" si="47"/>
        <v>ESTADO DE SITUACIÓN FINANCIERA</v>
      </c>
      <c r="U246" s="64" t="str">
        <f t="shared" si="44"/>
        <v>PASIVO</v>
      </c>
      <c r="V246" s="64" t="str">
        <f t="shared" si="45"/>
        <v>PASIVOS CORRIENTES</v>
      </c>
      <c r="W246" s="64" t="str">
        <f t="shared" si="46"/>
        <v>CUENTAS Y DOCUMENTOS POR PAGAR CORRIENTES</v>
      </c>
      <c r="X246" s="64" t="str">
        <f t="shared" si="51"/>
        <v>CUENTAS Y DOCUMENTOS POR PAGAR COMERCIALES CORRIENTES</v>
      </c>
      <c r="Y246" s="64" t="str">
        <f t="shared" si="52"/>
        <v>NO RELACIONADAS</v>
      </c>
      <c r="Z246" s="64" t="str">
        <f t="shared" si="53"/>
        <v/>
      </c>
      <c r="AA246" s="64" t="str">
        <f t="shared" si="50"/>
        <v>CUENTAS Y DOCUMENTOS POR PAGAR CORRIENTES_CUENTAS Y DOCUMENTOS POR PAGAR COMERCIALES CORRIENTES_NO RELACIONADAS_</v>
      </c>
    </row>
    <row r="247" spans="1:27">
      <c r="A247" s="53"/>
      <c r="B247" s="53"/>
      <c r="C247" s="53"/>
      <c r="D247" s="53"/>
      <c r="E247" s="53"/>
      <c r="F247" s="53"/>
      <c r="G247" s="235" t="s">
        <v>73</v>
      </c>
      <c r="H247" s="235"/>
      <c r="I247" s="235"/>
      <c r="J247" s="235"/>
      <c r="K247" s="235"/>
      <c r="L247" s="235"/>
      <c r="M247" s="235"/>
      <c r="N247" s="9" t="s">
        <v>372</v>
      </c>
      <c r="O247" s="74" t="e">
        <f>VLOOKUP(N247,Casilleros!$A$4:$Q$830,17,FALSE)</f>
        <v>#REF!</v>
      </c>
      <c r="S247" s="61" t="str">
        <f t="shared" si="49"/>
        <v>513</v>
      </c>
      <c r="T247" s="64" t="str">
        <f t="shared" si="47"/>
        <v>ESTADO DE SITUACIÓN FINANCIERA</v>
      </c>
      <c r="U247" s="64" t="str">
        <f t="shared" si="44"/>
        <v>PASIVO</v>
      </c>
      <c r="V247" s="64" t="str">
        <f t="shared" si="45"/>
        <v>PASIVOS CORRIENTES</v>
      </c>
      <c r="W247" s="64" t="str">
        <f t="shared" si="46"/>
        <v>CUENTAS Y DOCUMENTOS POR PAGAR CORRIENTES</v>
      </c>
      <c r="X247" s="64" t="str">
        <f t="shared" si="51"/>
        <v>CUENTAS Y DOCUMENTOS POR PAGAR COMERCIALES CORRIENTES</v>
      </c>
      <c r="Y247" s="64" t="str">
        <f t="shared" si="52"/>
        <v>NO RELACIONADAS</v>
      </c>
      <c r="Z247" s="64" t="str">
        <f t="shared" si="53"/>
        <v>Locales</v>
      </c>
      <c r="AA247" s="64" t="str">
        <f t="shared" si="50"/>
        <v>CUENTAS Y DOCUMENTOS POR PAGAR CORRIENTES_CUENTAS Y DOCUMENTOS POR PAGAR COMERCIALES CORRIENTES_NO RELACIONADAS_Locales</v>
      </c>
    </row>
    <row r="248" spans="1:27">
      <c r="A248" s="53"/>
      <c r="B248" s="53"/>
      <c r="C248" s="53"/>
      <c r="D248" s="53"/>
      <c r="E248" s="53"/>
      <c r="F248" s="53"/>
      <c r="G248" s="235" t="s">
        <v>26</v>
      </c>
      <c r="H248" s="235"/>
      <c r="I248" s="235"/>
      <c r="J248" s="235"/>
      <c r="K248" s="235"/>
      <c r="L248" s="235"/>
      <c r="M248" s="235"/>
      <c r="N248" s="9" t="s">
        <v>373</v>
      </c>
      <c r="O248" s="55" t="e">
        <f>VLOOKUP(N248,Casilleros!$A$4:$Q$830,17,FALSE)</f>
        <v>#REF!</v>
      </c>
      <c r="S248" s="61" t="str">
        <f t="shared" si="49"/>
        <v>514</v>
      </c>
      <c r="T248" s="64" t="str">
        <f t="shared" si="47"/>
        <v>ESTADO DE SITUACIÓN FINANCIERA</v>
      </c>
      <c r="U248" s="64" t="str">
        <f t="shared" si="44"/>
        <v>PASIVO</v>
      </c>
      <c r="V248" s="64" t="str">
        <f t="shared" si="45"/>
        <v>PASIVOS CORRIENTES</v>
      </c>
      <c r="W248" s="64" t="str">
        <f t="shared" si="46"/>
        <v>CUENTAS Y DOCUMENTOS POR PAGAR CORRIENTES</v>
      </c>
      <c r="X248" s="64" t="str">
        <f t="shared" si="51"/>
        <v>CUENTAS Y DOCUMENTOS POR PAGAR COMERCIALES CORRIENTES</v>
      </c>
      <c r="Y248" s="64" t="str">
        <f t="shared" si="52"/>
        <v>NO RELACIONADAS</v>
      </c>
      <c r="Z248" s="64" t="str">
        <f t="shared" si="53"/>
        <v>Del exterior</v>
      </c>
      <c r="AA248" s="64" t="str">
        <f t="shared" si="50"/>
        <v>CUENTAS Y DOCUMENTOS POR PAGAR CORRIENTES_CUENTAS Y DOCUMENTOS POR PAGAR COMERCIALES CORRIENTES_NO RELACIONADAS_Del exterior</v>
      </c>
    </row>
    <row r="249" spans="1:27">
      <c r="A249" s="53"/>
      <c r="B249" s="53"/>
      <c r="C249" s="53"/>
      <c r="D249" s="53"/>
      <c r="E249" s="236" t="s">
        <v>374</v>
      </c>
      <c r="F249" s="236"/>
      <c r="G249" s="236"/>
      <c r="H249" s="236"/>
      <c r="I249" s="236"/>
      <c r="J249" s="236"/>
      <c r="K249" s="236"/>
      <c r="L249" s="236"/>
      <c r="M249" s="236"/>
      <c r="N249" s="236"/>
      <c r="O249" s="236"/>
      <c r="S249" s="61">
        <f t="shared" si="49"/>
        <v>0</v>
      </c>
      <c r="T249" s="64" t="str">
        <f t="shared" si="47"/>
        <v>ESTADO DE SITUACIÓN FINANCIERA</v>
      </c>
      <c r="U249" s="64" t="str">
        <f t="shared" si="44"/>
        <v>PASIVO</v>
      </c>
      <c r="V249" s="64" t="str">
        <f t="shared" si="45"/>
        <v>PASIVOS CORRIENTES</v>
      </c>
      <c r="W249" s="64" t="str">
        <f t="shared" si="46"/>
        <v>CUENTAS Y DOCUMENTOS POR PAGAR CORRIENTES</v>
      </c>
      <c r="X249" s="64" t="str">
        <f t="shared" si="51"/>
        <v>OTRAS CUENTAS Y DOCUMENTOS POR PAGAR CORRIENTES</v>
      </c>
      <c r="Y249" s="64" t="str">
        <f t="shared" si="52"/>
        <v/>
      </c>
      <c r="Z249" s="64" t="str">
        <f t="shared" si="53"/>
        <v/>
      </c>
      <c r="AA249" s="64" t="str">
        <f t="shared" si="50"/>
        <v>CUENTAS Y DOCUMENTOS POR PAGAR CORRIENTES_OTRAS CUENTAS Y DOCUMENTOS POR PAGAR CORRIENTES__</v>
      </c>
    </row>
    <row r="250" spans="1:27">
      <c r="A250" s="53"/>
      <c r="B250" s="53"/>
      <c r="C250" s="53"/>
      <c r="D250" s="53"/>
      <c r="E250" s="53"/>
      <c r="F250" s="239" t="s">
        <v>375</v>
      </c>
      <c r="G250" s="239"/>
      <c r="H250" s="239"/>
      <c r="I250" s="239"/>
      <c r="J250" s="239"/>
      <c r="K250" s="239"/>
      <c r="L250" s="239"/>
      <c r="M250" s="239"/>
      <c r="N250" s="239"/>
      <c r="O250" s="239"/>
      <c r="S250" s="61">
        <f t="shared" si="49"/>
        <v>0</v>
      </c>
      <c r="T250" s="64" t="str">
        <f t="shared" si="47"/>
        <v>ESTADO DE SITUACIÓN FINANCIERA</v>
      </c>
      <c r="U250" s="64" t="str">
        <f t="shared" si="44"/>
        <v>PASIVO</v>
      </c>
      <c r="V250" s="64" t="str">
        <f t="shared" si="45"/>
        <v>PASIVOS CORRIENTES</v>
      </c>
      <c r="W250" s="64" t="str">
        <f t="shared" si="46"/>
        <v>CUENTAS Y DOCUMENTOS POR PAGAR CORRIENTES</v>
      </c>
      <c r="X250" s="64" t="str">
        <f t="shared" si="51"/>
        <v>OTRAS CUENTAS Y DOCUMENTOS POR PAGAR CORRIENTES</v>
      </c>
      <c r="Y250" s="64" t="str">
        <f t="shared" si="52"/>
        <v>A ACCIONISTAS. SOCIOS, PARTÍCIPES. BENEFICIARIOS U OTROS TITULARES DE DERECHOS REPRESENTATIVOS DE CAPITAL</v>
      </c>
      <c r="Z250" s="64" t="str">
        <f t="shared" si="53"/>
        <v/>
      </c>
      <c r="AA250" s="64" t="str">
        <f t="shared" si="50"/>
        <v>CUENTAS Y DOCUMENTOS POR PAGAR CORRIENTES_OTRAS CUENTAS Y DOCUMENTOS POR PAGAR CORRIENTES_A ACCIONISTAS. SOCIOS, PARTÍCIPES. BENEFICIARIOS U OTROS TITULARES DE DERECHOS REPRESENTATIVOS DE CAPITAL_</v>
      </c>
    </row>
    <row r="251" spans="1:27">
      <c r="A251" s="53"/>
      <c r="B251" s="53"/>
      <c r="C251" s="53"/>
      <c r="D251" s="53"/>
      <c r="E251" s="53"/>
      <c r="F251" s="53"/>
      <c r="G251" s="235" t="s">
        <v>73</v>
      </c>
      <c r="H251" s="235"/>
      <c r="I251" s="235"/>
      <c r="J251" s="235"/>
      <c r="K251" s="235"/>
      <c r="L251" s="235"/>
      <c r="M251" s="235"/>
      <c r="N251" s="9" t="s">
        <v>376</v>
      </c>
      <c r="O251" s="55" t="e">
        <f>VLOOKUP(N251,Casilleros!$A$4:$Q$830,17,FALSE)</f>
        <v>#REF!</v>
      </c>
      <c r="S251" s="61" t="str">
        <f t="shared" si="49"/>
        <v>515</v>
      </c>
      <c r="T251" s="64" t="str">
        <f t="shared" si="47"/>
        <v>ESTADO DE SITUACIÓN FINANCIERA</v>
      </c>
      <c r="U251" s="64" t="str">
        <f t="shared" si="44"/>
        <v>PASIVO</v>
      </c>
      <c r="V251" s="64" t="str">
        <f t="shared" si="45"/>
        <v>PASIVOS CORRIENTES</v>
      </c>
      <c r="W251" s="64" t="str">
        <f t="shared" si="46"/>
        <v>CUENTAS Y DOCUMENTOS POR PAGAR CORRIENTES</v>
      </c>
      <c r="X251" s="64" t="str">
        <f t="shared" si="51"/>
        <v>OTRAS CUENTAS Y DOCUMENTOS POR PAGAR CORRIENTES</v>
      </c>
      <c r="Y251" s="64" t="str">
        <f t="shared" si="52"/>
        <v>A ACCIONISTAS. SOCIOS, PARTÍCIPES. BENEFICIARIOS U OTROS TITULARES DE DERECHOS REPRESENTATIVOS DE CAPITAL</v>
      </c>
      <c r="Z251" s="64" t="str">
        <f t="shared" si="53"/>
        <v>Locales</v>
      </c>
      <c r="AA251" s="64" t="str">
        <f t="shared" si="50"/>
        <v>CUENTAS Y DOCUMENTOS POR PAGAR CORRIENTES_OTRAS CUENTAS Y DOCUMENTOS POR PAGAR CORRIENTES_A ACCIONISTAS. SOCIOS, PARTÍCIPES. BENEFICIARIOS U OTROS TITULARES DE DERECHOS REPRESENTATIVOS DE CAPITAL_Locales</v>
      </c>
    </row>
    <row r="252" spans="1:27">
      <c r="A252" s="53"/>
      <c r="B252" s="53"/>
      <c r="C252" s="53"/>
      <c r="D252" s="53"/>
      <c r="E252" s="53"/>
      <c r="F252" s="53"/>
      <c r="G252" s="235" t="s">
        <v>26</v>
      </c>
      <c r="H252" s="235"/>
      <c r="I252" s="235"/>
      <c r="J252" s="235"/>
      <c r="K252" s="235"/>
      <c r="L252" s="235"/>
      <c r="M252" s="235"/>
      <c r="N252" s="9" t="s">
        <v>377</v>
      </c>
      <c r="O252" s="55" t="e">
        <f>VLOOKUP(N252,Casilleros!$A$4:$Q$830,17,FALSE)</f>
        <v>#REF!</v>
      </c>
      <c r="S252" s="61" t="str">
        <f t="shared" si="49"/>
        <v>516</v>
      </c>
      <c r="T252" s="64" t="str">
        <f t="shared" si="47"/>
        <v>ESTADO DE SITUACIÓN FINANCIERA</v>
      </c>
      <c r="U252" s="64" t="str">
        <f t="shared" si="44"/>
        <v>PASIVO</v>
      </c>
      <c r="V252" s="64" t="str">
        <f t="shared" si="45"/>
        <v>PASIVOS CORRIENTES</v>
      </c>
      <c r="W252" s="64" t="str">
        <f t="shared" si="46"/>
        <v>CUENTAS Y DOCUMENTOS POR PAGAR CORRIENTES</v>
      </c>
      <c r="X252" s="64" t="str">
        <f t="shared" si="51"/>
        <v>OTRAS CUENTAS Y DOCUMENTOS POR PAGAR CORRIENTES</v>
      </c>
      <c r="Y252" s="64" t="str">
        <f t="shared" si="52"/>
        <v>A ACCIONISTAS. SOCIOS, PARTÍCIPES. BENEFICIARIOS U OTROS TITULARES DE DERECHOS REPRESENTATIVOS DE CAPITAL</v>
      </c>
      <c r="Z252" s="64" t="str">
        <f t="shared" si="53"/>
        <v>Del exterior</v>
      </c>
      <c r="AA252" s="64" t="str">
        <f t="shared" si="50"/>
        <v>CUENTAS Y DOCUMENTOS POR PAGAR CORRIENTES_OTRAS CUENTAS Y DOCUMENTOS POR PAGAR CORRIENTES_A ACCIONISTAS. SOCIOS, PARTÍCIPES. BENEFICIARIOS U OTROS TITULARES DE DERECHOS REPRESENTATIVOS DE CAPITAL_Del exterior</v>
      </c>
    </row>
    <row r="253" spans="1:27">
      <c r="A253" s="53"/>
      <c r="B253" s="53"/>
      <c r="C253" s="53"/>
      <c r="D253" s="53"/>
      <c r="E253" s="53"/>
      <c r="F253" s="239" t="s">
        <v>378</v>
      </c>
      <c r="G253" s="239"/>
      <c r="H253" s="239"/>
      <c r="I253" s="239"/>
      <c r="J253" s="239"/>
      <c r="K253" s="239"/>
      <c r="L253" s="239"/>
      <c r="M253" s="239"/>
      <c r="N253" s="239"/>
      <c r="O253" s="239"/>
      <c r="S253" s="61">
        <f t="shared" si="49"/>
        <v>0</v>
      </c>
      <c r="T253" s="64" t="str">
        <f t="shared" si="47"/>
        <v>ESTADO DE SITUACIÓN FINANCIERA</v>
      </c>
      <c r="U253" s="64" t="str">
        <f t="shared" si="44"/>
        <v>PASIVO</v>
      </c>
      <c r="V253" s="64" t="str">
        <f t="shared" si="45"/>
        <v>PASIVOS CORRIENTES</v>
      </c>
      <c r="W253" s="64" t="str">
        <f t="shared" si="46"/>
        <v>CUENTAS Y DOCUMENTOS POR PAGAR CORRIENTES</v>
      </c>
      <c r="X253" s="64" t="str">
        <f t="shared" si="51"/>
        <v>OTRAS CUENTAS Y DOCUMENTOS POR PAGAR CORRIENTES</v>
      </c>
      <c r="Y253" s="64" t="str">
        <f t="shared" si="52"/>
        <v>DIVIDENDOS POR PAGAR</v>
      </c>
      <c r="Z253" s="64" t="str">
        <f t="shared" si="53"/>
        <v/>
      </c>
      <c r="AA253" s="64" t="str">
        <f t="shared" si="50"/>
        <v>CUENTAS Y DOCUMENTOS POR PAGAR CORRIENTES_OTRAS CUENTAS Y DOCUMENTOS POR PAGAR CORRIENTES_DIVIDENDOS POR PAGAR_</v>
      </c>
    </row>
    <row r="254" spans="1:27">
      <c r="A254" s="53"/>
      <c r="B254" s="53"/>
      <c r="C254" s="53"/>
      <c r="D254" s="53"/>
      <c r="E254" s="53"/>
      <c r="F254" s="53"/>
      <c r="G254" s="235" t="s">
        <v>87</v>
      </c>
      <c r="H254" s="235"/>
      <c r="I254" s="235"/>
      <c r="J254" s="235"/>
      <c r="K254" s="235"/>
      <c r="L254" s="235"/>
      <c r="M254" s="235"/>
      <c r="N254" s="9" t="s">
        <v>379</v>
      </c>
      <c r="O254" s="55" t="e">
        <f>VLOOKUP(N254,Casilleros!$A$4:$Q$830,17,FALSE)</f>
        <v>#REF!</v>
      </c>
      <c r="S254" s="61" t="str">
        <f t="shared" si="49"/>
        <v>517</v>
      </c>
      <c r="T254" s="64" t="str">
        <f t="shared" si="47"/>
        <v>ESTADO DE SITUACIÓN FINANCIERA</v>
      </c>
      <c r="U254" s="64" t="str">
        <f t="shared" si="44"/>
        <v>PASIVO</v>
      </c>
      <c r="V254" s="64" t="str">
        <f t="shared" si="45"/>
        <v>PASIVOS CORRIENTES</v>
      </c>
      <c r="W254" s="64" t="str">
        <f t="shared" si="46"/>
        <v>CUENTAS Y DOCUMENTOS POR PAGAR CORRIENTES</v>
      </c>
      <c r="X254" s="64" t="str">
        <f t="shared" si="51"/>
        <v>OTRAS CUENTAS Y DOCUMENTOS POR PAGAR CORRIENTES</v>
      </c>
      <c r="Y254" s="64" t="str">
        <f t="shared" si="52"/>
        <v>DIVIDENDOS POR PAGAR</v>
      </c>
      <c r="Z254" s="64" t="str">
        <f t="shared" si="53"/>
        <v>En efectivo</v>
      </c>
      <c r="AA254" s="64" t="str">
        <f t="shared" si="50"/>
        <v>CUENTAS Y DOCUMENTOS POR PAGAR CORRIENTES_OTRAS CUENTAS Y DOCUMENTOS POR PAGAR CORRIENTES_DIVIDENDOS POR PAGAR_En efectivo</v>
      </c>
    </row>
    <row r="255" spans="1:27">
      <c r="A255" s="53"/>
      <c r="B255" s="53"/>
      <c r="C255" s="53"/>
      <c r="D255" s="53"/>
      <c r="E255" s="53"/>
      <c r="F255" s="53"/>
      <c r="G255" s="235" t="s">
        <v>89</v>
      </c>
      <c r="H255" s="235"/>
      <c r="I255" s="235"/>
      <c r="J255" s="235"/>
      <c r="K255" s="235"/>
      <c r="L255" s="235"/>
      <c r="M255" s="235"/>
      <c r="N255" s="9" t="s">
        <v>380</v>
      </c>
      <c r="O255" s="55" t="e">
        <f>VLOOKUP(N255,Casilleros!$A$4:$Q$830,17,FALSE)</f>
        <v>#REF!</v>
      </c>
      <c r="S255" s="61" t="str">
        <f t="shared" si="49"/>
        <v>518</v>
      </c>
      <c r="T255" s="64" t="str">
        <f t="shared" si="47"/>
        <v>ESTADO DE SITUACIÓN FINANCIERA</v>
      </c>
      <c r="U255" s="64" t="str">
        <f t="shared" si="44"/>
        <v>PASIVO</v>
      </c>
      <c r="V255" s="64" t="str">
        <f t="shared" si="45"/>
        <v>PASIVOS CORRIENTES</v>
      </c>
      <c r="W255" s="64" t="str">
        <f t="shared" si="46"/>
        <v>CUENTAS Y DOCUMENTOS POR PAGAR CORRIENTES</v>
      </c>
      <c r="X255" s="64" t="str">
        <f t="shared" si="51"/>
        <v>OTRAS CUENTAS Y DOCUMENTOS POR PAGAR CORRIENTES</v>
      </c>
      <c r="Y255" s="64" t="str">
        <f t="shared" si="52"/>
        <v>DIVIDENDOS POR PAGAR</v>
      </c>
      <c r="Z255" s="64" t="str">
        <f t="shared" si="53"/>
        <v>En activos diferentes del efectivo</v>
      </c>
      <c r="AA255" s="64" t="str">
        <f t="shared" si="50"/>
        <v>CUENTAS Y DOCUMENTOS POR PAGAR CORRIENTES_OTRAS CUENTAS Y DOCUMENTOS POR PAGAR CORRIENTES_DIVIDENDOS POR PAGAR_En activos diferentes del efectivo</v>
      </c>
    </row>
    <row r="256" spans="1:27">
      <c r="A256" s="53"/>
      <c r="B256" s="53"/>
      <c r="C256" s="53"/>
      <c r="D256" s="53"/>
      <c r="E256" s="53"/>
      <c r="F256" s="239" t="s">
        <v>91</v>
      </c>
      <c r="G256" s="239"/>
      <c r="H256" s="239"/>
      <c r="I256" s="239"/>
      <c r="J256" s="239"/>
      <c r="K256" s="239"/>
      <c r="L256" s="239"/>
      <c r="M256" s="239"/>
      <c r="N256" s="239"/>
      <c r="O256" s="239"/>
      <c r="S256" s="61">
        <f t="shared" si="49"/>
        <v>0</v>
      </c>
      <c r="T256" s="64" t="str">
        <f t="shared" si="47"/>
        <v>ESTADO DE SITUACIÓN FINANCIERA</v>
      </c>
      <c r="U256" s="64" t="str">
        <f t="shared" si="44"/>
        <v>PASIVO</v>
      </c>
      <c r="V256" s="64" t="str">
        <f t="shared" si="45"/>
        <v>PASIVOS CORRIENTES</v>
      </c>
      <c r="W256" s="64" t="str">
        <f t="shared" si="46"/>
        <v>CUENTAS Y DOCUMENTOS POR PAGAR CORRIENTES</v>
      </c>
      <c r="X256" s="64" t="str">
        <f t="shared" si="51"/>
        <v>OTRAS CUENTAS Y DOCUMENTOS POR PAGAR CORRIENTES</v>
      </c>
      <c r="Y256" s="64" t="str">
        <f t="shared" si="52"/>
        <v>OTRAS RELACIONADAS</v>
      </c>
      <c r="Z256" s="64" t="str">
        <f t="shared" si="53"/>
        <v/>
      </c>
      <c r="AA256" s="64" t="str">
        <f t="shared" si="50"/>
        <v>CUENTAS Y DOCUMENTOS POR PAGAR CORRIENTES_OTRAS CUENTAS Y DOCUMENTOS POR PAGAR CORRIENTES_OTRAS RELACIONADAS_</v>
      </c>
    </row>
    <row r="257" spans="1:27">
      <c r="A257" s="53"/>
      <c r="B257" s="53"/>
      <c r="C257" s="53"/>
      <c r="D257" s="53"/>
      <c r="E257" s="53"/>
      <c r="F257" s="53"/>
      <c r="G257" s="235" t="s">
        <v>73</v>
      </c>
      <c r="H257" s="235"/>
      <c r="I257" s="235"/>
      <c r="J257" s="235"/>
      <c r="K257" s="235"/>
      <c r="L257" s="235"/>
      <c r="M257" s="235"/>
      <c r="N257" s="9" t="s">
        <v>381</v>
      </c>
      <c r="O257" s="55" t="e">
        <f>VLOOKUP(N257,Casilleros!$A$4:$Q$830,17,FALSE)</f>
        <v>#REF!</v>
      </c>
      <c r="S257" s="61" t="str">
        <f t="shared" si="49"/>
        <v>519</v>
      </c>
      <c r="T257" s="64" t="str">
        <f t="shared" si="47"/>
        <v>ESTADO DE SITUACIÓN FINANCIERA</v>
      </c>
      <c r="U257" s="64" t="str">
        <f t="shared" si="44"/>
        <v>PASIVO</v>
      </c>
      <c r="V257" s="64" t="str">
        <f t="shared" si="45"/>
        <v>PASIVOS CORRIENTES</v>
      </c>
      <c r="W257" s="64" t="str">
        <f t="shared" si="46"/>
        <v>CUENTAS Y DOCUMENTOS POR PAGAR CORRIENTES</v>
      </c>
      <c r="X257" s="64" t="str">
        <f t="shared" si="51"/>
        <v>OTRAS CUENTAS Y DOCUMENTOS POR PAGAR CORRIENTES</v>
      </c>
      <c r="Y257" s="64" t="str">
        <f t="shared" si="52"/>
        <v>OTRAS RELACIONADAS</v>
      </c>
      <c r="Z257" s="64" t="str">
        <f t="shared" si="53"/>
        <v>Locales</v>
      </c>
      <c r="AA257" s="64" t="str">
        <f t="shared" si="50"/>
        <v>CUENTAS Y DOCUMENTOS POR PAGAR CORRIENTES_OTRAS CUENTAS Y DOCUMENTOS POR PAGAR CORRIENTES_OTRAS RELACIONADAS_Locales</v>
      </c>
    </row>
    <row r="258" spans="1:27">
      <c r="A258" s="53"/>
      <c r="B258" s="53"/>
      <c r="C258" s="53"/>
      <c r="D258" s="53"/>
      <c r="E258" s="53"/>
      <c r="F258" s="53"/>
      <c r="G258" s="235" t="s">
        <v>26</v>
      </c>
      <c r="H258" s="235"/>
      <c r="I258" s="235"/>
      <c r="J258" s="235"/>
      <c r="K258" s="235"/>
      <c r="L258" s="235"/>
      <c r="M258" s="235"/>
      <c r="N258" s="9" t="s">
        <v>382</v>
      </c>
      <c r="O258" s="55" t="e">
        <f>VLOOKUP(N258,Casilleros!$A$4:$Q$830,17,FALSE)</f>
        <v>#REF!</v>
      </c>
      <c r="S258" s="61" t="str">
        <f t="shared" si="49"/>
        <v>520</v>
      </c>
      <c r="T258" s="64" t="str">
        <f t="shared" si="47"/>
        <v>ESTADO DE SITUACIÓN FINANCIERA</v>
      </c>
      <c r="U258" s="64" t="str">
        <f t="shared" si="44"/>
        <v>PASIVO</v>
      </c>
      <c r="V258" s="64" t="str">
        <f t="shared" si="45"/>
        <v>PASIVOS CORRIENTES</v>
      </c>
      <c r="W258" s="64" t="str">
        <f t="shared" si="46"/>
        <v>CUENTAS Y DOCUMENTOS POR PAGAR CORRIENTES</v>
      </c>
      <c r="X258" s="64" t="str">
        <f t="shared" si="51"/>
        <v>OTRAS CUENTAS Y DOCUMENTOS POR PAGAR CORRIENTES</v>
      </c>
      <c r="Y258" s="64" t="str">
        <f t="shared" si="52"/>
        <v>OTRAS RELACIONADAS</v>
      </c>
      <c r="Z258" s="64" t="str">
        <f t="shared" si="53"/>
        <v>Del exterior</v>
      </c>
      <c r="AA258" s="64" t="str">
        <f t="shared" si="50"/>
        <v>CUENTAS Y DOCUMENTOS POR PAGAR CORRIENTES_OTRAS CUENTAS Y DOCUMENTOS POR PAGAR CORRIENTES_OTRAS RELACIONADAS_Del exterior</v>
      </c>
    </row>
    <row r="259" spans="1:27">
      <c r="A259" s="53"/>
      <c r="B259" s="53"/>
      <c r="C259" s="53"/>
      <c r="D259" s="53"/>
      <c r="E259" s="53"/>
      <c r="F259" s="239" t="s">
        <v>96</v>
      </c>
      <c r="G259" s="239"/>
      <c r="H259" s="239"/>
      <c r="I259" s="239"/>
      <c r="J259" s="239"/>
      <c r="K259" s="239"/>
      <c r="L259" s="239"/>
      <c r="M259" s="239"/>
      <c r="N259" s="239"/>
      <c r="O259" s="239"/>
      <c r="S259" s="61">
        <f t="shared" si="49"/>
        <v>0</v>
      </c>
      <c r="T259" s="64" t="str">
        <f t="shared" si="47"/>
        <v>ESTADO DE SITUACIÓN FINANCIERA</v>
      </c>
      <c r="U259" s="64" t="str">
        <f t="shared" si="44"/>
        <v>PASIVO</v>
      </c>
      <c r="V259" s="64" t="str">
        <f t="shared" si="45"/>
        <v>PASIVOS CORRIENTES</v>
      </c>
      <c r="W259" s="64" t="str">
        <f t="shared" si="46"/>
        <v>CUENTAS Y DOCUMENTOS POR PAGAR CORRIENTES</v>
      </c>
      <c r="X259" s="64" t="str">
        <f t="shared" si="51"/>
        <v>OTRAS CUENTAS Y DOCUMENTOS POR PAGAR CORRIENTES</v>
      </c>
      <c r="Y259" s="64" t="str">
        <f t="shared" si="52"/>
        <v>OTRAS NO RELACIONADAS</v>
      </c>
      <c r="Z259" s="64" t="str">
        <f t="shared" si="53"/>
        <v/>
      </c>
      <c r="AA259" s="64" t="str">
        <f t="shared" si="50"/>
        <v>CUENTAS Y DOCUMENTOS POR PAGAR CORRIENTES_OTRAS CUENTAS Y DOCUMENTOS POR PAGAR CORRIENTES_OTRAS NO RELACIONADAS_</v>
      </c>
    </row>
    <row r="260" spans="1:27">
      <c r="A260" s="53"/>
      <c r="B260" s="53"/>
      <c r="C260" s="53"/>
      <c r="D260" s="53"/>
      <c r="E260" s="53"/>
      <c r="F260" s="53"/>
      <c r="G260" s="235" t="s">
        <v>73</v>
      </c>
      <c r="H260" s="235"/>
      <c r="I260" s="235"/>
      <c r="J260" s="235"/>
      <c r="K260" s="235"/>
      <c r="L260" s="235"/>
      <c r="M260" s="235"/>
      <c r="N260" s="9" t="s">
        <v>383</v>
      </c>
      <c r="O260" s="74" t="e">
        <f>VLOOKUP(N260,Casilleros!$A$4:$Q$830,17,FALSE)</f>
        <v>#REF!</v>
      </c>
      <c r="S260" s="61" t="str">
        <f t="shared" si="49"/>
        <v>521</v>
      </c>
      <c r="T260" s="64" t="str">
        <f t="shared" si="47"/>
        <v>ESTADO DE SITUACIÓN FINANCIERA</v>
      </c>
      <c r="U260" s="64" t="str">
        <f t="shared" si="44"/>
        <v>PASIVO</v>
      </c>
      <c r="V260" s="64" t="str">
        <f t="shared" si="45"/>
        <v>PASIVOS CORRIENTES</v>
      </c>
      <c r="W260" s="64" t="str">
        <f t="shared" si="46"/>
        <v>CUENTAS Y DOCUMENTOS POR PAGAR CORRIENTES</v>
      </c>
      <c r="X260" s="64" t="str">
        <f t="shared" si="51"/>
        <v>OTRAS CUENTAS Y DOCUMENTOS POR PAGAR CORRIENTES</v>
      </c>
      <c r="Y260" s="64" t="str">
        <f t="shared" si="52"/>
        <v>OTRAS NO RELACIONADAS</v>
      </c>
      <c r="Z260" s="64" t="str">
        <f t="shared" si="53"/>
        <v>Locales</v>
      </c>
      <c r="AA260" s="64" t="str">
        <f t="shared" si="50"/>
        <v>CUENTAS Y DOCUMENTOS POR PAGAR CORRIENTES_OTRAS CUENTAS Y DOCUMENTOS POR PAGAR CORRIENTES_OTRAS NO RELACIONADAS_Locales</v>
      </c>
    </row>
    <row r="261" spans="1:27">
      <c r="A261" s="53"/>
      <c r="B261" s="53"/>
      <c r="C261" s="53"/>
      <c r="D261" s="53"/>
      <c r="E261" s="53"/>
      <c r="F261" s="53"/>
      <c r="G261" s="235" t="s">
        <v>26</v>
      </c>
      <c r="H261" s="235"/>
      <c r="I261" s="235"/>
      <c r="J261" s="235"/>
      <c r="K261" s="235"/>
      <c r="L261" s="235"/>
      <c r="M261" s="235"/>
      <c r="N261" s="9" t="s">
        <v>384</v>
      </c>
      <c r="O261" s="55" t="e">
        <f>VLOOKUP(N261,Casilleros!$A$4:$Q$830,17,FALSE)</f>
        <v>#REF!</v>
      </c>
      <c r="S261" s="61" t="str">
        <f t="shared" si="49"/>
        <v>522</v>
      </c>
      <c r="T261" s="64" t="str">
        <f t="shared" si="47"/>
        <v>ESTADO DE SITUACIÓN FINANCIERA</v>
      </c>
      <c r="U261" s="64" t="str">
        <f t="shared" si="44"/>
        <v>PASIVO</v>
      </c>
      <c r="V261" s="64" t="str">
        <f t="shared" si="45"/>
        <v>PASIVOS CORRIENTES</v>
      </c>
      <c r="W261" s="64" t="str">
        <f t="shared" si="46"/>
        <v>CUENTAS Y DOCUMENTOS POR PAGAR CORRIENTES</v>
      </c>
      <c r="X261" s="64" t="str">
        <f t="shared" si="51"/>
        <v>OTRAS CUENTAS Y DOCUMENTOS POR PAGAR CORRIENTES</v>
      </c>
      <c r="Y261" s="64" t="str">
        <f t="shared" si="52"/>
        <v>OTRAS NO RELACIONADAS</v>
      </c>
      <c r="Z261" s="64" t="str">
        <f t="shared" si="53"/>
        <v>Del exterior</v>
      </c>
      <c r="AA261" s="64" t="str">
        <f t="shared" si="50"/>
        <v>CUENTAS Y DOCUMENTOS POR PAGAR CORRIENTES_OTRAS CUENTAS Y DOCUMENTOS POR PAGAR CORRIENTES_OTRAS NO RELACIONADAS_Del exterior</v>
      </c>
    </row>
    <row r="262" spans="1:27">
      <c r="A262" s="53"/>
      <c r="B262" s="53"/>
      <c r="C262" s="53"/>
      <c r="D262" s="236" t="s">
        <v>385</v>
      </c>
      <c r="E262" s="236"/>
      <c r="F262" s="236"/>
      <c r="G262" s="236"/>
      <c r="H262" s="236"/>
      <c r="I262" s="236"/>
      <c r="J262" s="236"/>
      <c r="K262" s="236"/>
      <c r="L262" s="236"/>
      <c r="M262" s="236"/>
      <c r="N262" s="236"/>
      <c r="O262" s="236"/>
      <c r="S262" s="61">
        <f t="shared" si="49"/>
        <v>0</v>
      </c>
      <c r="T262" s="64" t="str">
        <f t="shared" si="47"/>
        <v>ESTADO DE SITUACIÓN FINANCIERA</v>
      </c>
      <c r="U262" s="64" t="str">
        <f t="shared" si="44"/>
        <v>PASIVO</v>
      </c>
      <c r="V262" s="64" t="str">
        <f t="shared" si="45"/>
        <v>PASIVOS CORRIENTES</v>
      </c>
      <c r="W262" s="64" t="str">
        <f t="shared" si="46"/>
        <v>OBLIGACIONES CON INSTITUCIONES FINANCIERAS - CORRIENTES</v>
      </c>
      <c r="X262" s="64" t="str">
        <f t="shared" si="51"/>
        <v/>
      </c>
      <c r="Y262" s="64" t="str">
        <f t="shared" si="52"/>
        <v/>
      </c>
      <c r="Z262" s="64" t="str">
        <f t="shared" si="53"/>
        <v/>
      </c>
      <c r="AA262" s="64" t="str">
        <f t="shared" si="50"/>
        <v>OBLIGACIONES CON INSTITUCIONES FINANCIERAS - CORRIENTES</v>
      </c>
    </row>
    <row r="263" spans="1:27">
      <c r="A263" s="53"/>
      <c r="B263" s="53"/>
      <c r="C263" s="53"/>
      <c r="D263" s="53"/>
      <c r="E263" s="239" t="s">
        <v>72</v>
      </c>
      <c r="F263" s="239"/>
      <c r="G263" s="239"/>
      <c r="H263" s="239"/>
      <c r="I263" s="239"/>
      <c r="J263" s="239"/>
      <c r="K263" s="239"/>
      <c r="L263" s="239"/>
      <c r="M263" s="239"/>
      <c r="N263" s="239"/>
      <c r="O263" s="239"/>
      <c r="S263" s="61">
        <f t="shared" si="49"/>
        <v>0</v>
      </c>
      <c r="T263" s="64" t="str">
        <f t="shared" si="47"/>
        <v>ESTADO DE SITUACIÓN FINANCIERA</v>
      </c>
      <c r="U263" s="64" t="str">
        <f t="shared" si="44"/>
        <v>PASIVO</v>
      </c>
      <c r="V263" s="64" t="str">
        <f t="shared" si="45"/>
        <v>PASIVOS CORRIENTES</v>
      </c>
      <c r="W263" s="64" t="str">
        <f t="shared" si="46"/>
        <v>OBLIGACIONES CON INSTITUCIONES FINANCIERAS - CORRIENTES</v>
      </c>
      <c r="X263" s="64" t="str">
        <f t="shared" si="51"/>
        <v>RELACIONADAS</v>
      </c>
      <c r="Y263" s="64" t="str">
        <f t="shared" si="52"/>
        <v/>
      </c>
      <c r="Z263" s="64" t="str">
        <f t="shared" si="53"/>
        <v/>
      </c>
      <c r="AA263" s="64" t="str">
        <f t="shared" si="50"/>
        <v>OBLIGACIONES CON INSTITUCIONES FINANCIERAS - CORRIENTES_RELACIONADAS__</v>
      </c>
    </row>
    <row r="264" spans="1:27">
      <c r="A264" s="53"/>
      <c r="B264" s="53"/>
      <c r="C264" s="53"/>
      <c r="D264" s="53"/>
      <c r="E264" s="53"/>
      <c r="F264" s="242" t="s">
        <v>73</v>
      </c>
      <c r="G264" s="242"/>
      <c r="H264" s="242"/>
      <c r="I264" s="242"/>
      <c r="J264" s="242"/>
      <c r="K264" s="242"/>
      <c r="L264" s="242"/>
      <c r="M264" s="242"/>
      <c r="N264" s="9" t="s">
        <v>386</v>
      </c>
      <c r="O264" s="55" t="e">
        <f>VLOOKUP(N264,Casilleros!$A$4:$Q$830,17,FALSE)</f>
        <v>#REF!</v>
      </c>
      <c r="S264" s="61" t="str">
        <f t="shared" si="49"/>
        <v>523</v>
      </c>
      <c r="T264" s="64" t="str">
        <f t="shared" si="47"/>
        <v>ESTADO DE SITUACIÓN FINANCIERA</v>
      </c>
      <c r="U264" s="64" t="str">
        <f t="shared" si="44"/>
        <v>PASIVO</v>
      </c>
      <c r="V264" s="64" t="str">
        <f t="shared" si="45"/>
        <v>PASIVOS CORRIENTES</v>
      </c>
      <c r="W264" s="64" t="str">
        <f t="shared" si="46"/>
        <v>OBLIGACIONES CON INSTITUCIONES FINANCIERAS - CORRIENTES</v>
      </c>
      <c r="X264" s="64" t="str">
        <f t="shared" si="51"/>
        <v>RELACIONADAS</v>
      </c>
      <c r="Y264" s="64" t="str">
        <f t="shared" si="52"/>
        <v>Locales</v>
      </c>
      <c r="Z264" s="64" t="str">
        <f t="shared" si="53"/>
        <v/>
      </c>
      <c r="AA264" s="64" t="str">
        <f t="shared" si="50"/>
        <v>OBLIGACIONES CON INSTITUCIONES FINANCIERAS - CORRIENTES_RELACIONADAS_Locales_</v>
      </c>
    </row>
    <row r="265" spans="1:27">
      <c r="A265" s="53"/>
      <c r="B265" s="53"/>
      <c r="C265" s="53"/>
      <c r="D265" s="53"/>
      <c r="E265" s="53"/>
      <c r="F265" s="242" t="s">
        <v>26</v>
      </c>
      <c r="G265" s="242"/>
      <c r="H265" s="242"/>
      <c r="I265" s="242"/>
      <c r="J265" s="242"/>
      <c r="K265" s="242"/>
      <c r="L265" s="242"/>
      <c r="M265" s="242"/>
      <c r="N265" s="9" t="s">
        <v>387</v>
      </c>
      <c r="O265" s="55" t="e">
        <f>VLOOKUP(N265,Casilleros!$A$4:$Q$830,17,FALSE)</f>
        <v>#REF!</v>
      </c>
      <c r="S265" s="61" t="str">
        <f t="shared" si="49"/>
        <v>524</v>
      </c>
      <c r="T265" s="64" t="str">
        <f t="shared" si="47"/>
        <v>ESTADO DE SITUACIÓN FINANCIERA</v>
      </c>
      <c r="U265" s="64" t="str">
        <f t="shared" si="44"/>
        <v>PASIVO</v>
      </c>
      <c r="V265" s="64" t="str">
        <f t="shared" si="45"/>
        <v>PASIVOS CORRIENTES</v>
      </c>
      <c r="W265" s="64" t="str">
        <f t="shared" si="46"/>
        <v>OBLIGACIONES CON INSTITUCIONES FINANCIERAS - CORRIENTES</v>
      </c>
      <c r="X265" s="64" t="str">
        <f t="shared" si="51"/>
        <v>RELACIONADAS</v>
      </c>
      <c r="Y265" s="64" t="str">
        <f t="shared" si="52"/>
        <v>Del exterior</v>
      </c>
      <c r="Z265" s="64" t="str">
        <f t="shared" si="53"/>
        <v/>
      </c>
      <c r="AA265" s="64" t="str">
        <f t="shared" si="50"/>
        <v>OBLIGACIONES CON INSTITUCIONES FINANCIERAS - CORRIENTES_RELACIONADAS_Del exterior_</v>
      </c>
    </row>
    <row r="266" spans="1:27">
      <c r="A266" s="53"/>
      <c r="B266" s="53"/>
      <c r="C266" s="53"/>
      <c r="D266" s="53"/>
      <c r="E266" s="239" t="s">
        <v>78</v>
      </c>
      <c r="F266" s="239"/>
      <c r="G266" s="239"/>
      <c r="H266" s="239"/>
      <c r="I266" s="239"/>
      <c r="J266" s="239"/>
      <c r="K266" s="239"/>
      <c r="L266" s="239"/>
      <c r="M266" s="239"/>
      <c r="N266" s="239"/>
      <c r="O266" s="239"/>
      <c r="S266" s="61">
        <f t="shared" si="49"/>
        <v>0</v>
      </c>
      <c r="T266" s="64" t="str">
        <f t="shared" si="47"/>
        <v>ESTADO DE SITUACIÓN FINANCIERA</v>
      </c>
      <c r="U266" s="64" t="str">
        <f t="shared" si="44"/>
        <v>PASIVO</v>
      </c>
      <c r="V266" s="64" t="str">
        <f t="shared" si="45"/>
        <v>PASIVOS CORRIENTES</v>
      </c>
      <c r="W266" s="64" t="str">
        <f t="shared" si="46"/>
        <v>OBLIGACIONES CON INSTITUCIONES FINANCIERAS - CORRIENTES</v>
      </c>
      <c r="X266" s="64" t="str">
        <f t="shared" si="51"/>
        <v>NO RELACIONADAS</v>
      </c>
      <c r="Y266" s="64" t="str">
        <f t="shared" si="52"/>
        <v/>
      </c>
      <c r="Z266" s="64" t="str">
        <f t="shared" si="53"/>
        <v/>
      </c>
      <c r="AA266" s="64" t="str">
        <f t="shared" si="50"/>
        <v>OBLIGACIONES CON INSTITUCIONES FINANCIERAS - CORRIENTES_NO RELACIONADAS__</v>
      </c>
    </row>
    <row r="267" spans="1:27">
      <c r="A267" s="53"/>
      <c r="B267" s="53"/>
      <c r="C267" s="53"/>
      <c r="D267" s="53"/>
      <c r="E267" s="53"/>
      <c r="F267" s="242" t="s">
        <v>73</v>
      </c>
      <c r="G267" s="242"/>
      <c r="H267" s="242"/>
      <c r="I267" s="242"/>
      <c r="J267" s="242"/>
      <c r="K267" s="242"/>
      <c r="L267" s="242"/>
      <c r="M267" s="242"/>
      <c r="N267" s="9" t="s">
        <v>388</v>
      </c>
      <c r="O267" s="55" t="e">
        <f>VLOOKUP(N267,Casilleros!$A$4:$Q$830,17,FALSE)</f>
        <v>#REF!</v>
      </c>
      <c r="S267" s="61" t="str">
        <f t="shared" si="49"/>
        <v>525</v>
      </c>
      <c r="T267" s="64" t="str">
        <f t="shared" si="47"/>
        <v>ESTADO DE SITUACIÓN FINANCIERA</v>
      </c>
      <c r="U267" s="64" t="str">
        <f t="shared" si="44"/>
        <v>PASIVO</v>
      </c>
      <c r="V267" s="64" t="str">
        <f t="shared" si="45"/>
        <v>PASIVOS CORRIENTES</v>
      </c>
      <c r="W267" s="64" t="str">
        <f t="shared" si="46"/>
        <v>OBLIGACIONES CON INSTITUCIONES FINANCIERAS - CORRIENTES</v>
      </c>
      <c r="X267" s="64" t="str">
        <f t="shared" si="51"/>
        <v>NO RELACIONADAS</v>
      </c>
      <c r="Y267" s="64" t="str">
        <f t="shared" si="52"/>
        <v>Locales</v>
      </c>
      <c r="Z267" s="64" t="str">
        <f t="shared" si="53"/>
        <v/>
      </c>
      <c r="AA267" s="64" t="str">
        <f t="shared" si="50"/>
        <v>OBLIGACIONES CON INSTITUCIONES FINANCIERAS - CORRIENTES_NO RELACIONADAS_Locales_</v>
      </c>
    </row>
    <row r="268" spans="1:27">
      <c r="A268" s="53"/>
      <c r="B268" s="53"/>
      <c r="C268" s="53"/>
      <c r="D268" s="53"/>
      <c r="E268" s="53"/>
      <c r="F268" s="242" t="s">
        <v>26</v>
      </c>
      <c r="G268" s="242"/>
      <c r="H268" s="242"/>
      <c r="I268" s="242"/>
      <c r="J268" s="242"/>
      <c r="K268" s="242"/>
      <c r="L268" s="242"/>
      <c r="M268" s="242"/>
      <c r="N268" s="9" t="s">
        <v>389</v>
      </c>
      <c r="O268" s="55" t="e">
        <f>VLOOKUP(N268,Casilleros!$A$4:$Q$830,17,FALSE)</f>
        <v>#REF!</v>
      </c>
      <c r="S268" s="61" t="str">
        <f t="shared" si="49"/>
        <v>526</v>
      </c>
      <c r="T268" s="64" t="str">
        <f t="shared" si="47"/>
        <v>ESTADO DE SITUACIÓN FINANCIERA</v>
      </c>
      <c r="U268" s="64" t="str">
        <f t="shared" si="44"/>
        <v>PASIVO</v>
      </c>
      <c r="V268" s="64" t="str">
        <f t="shared" si="45"/>
        <v>PASIVOS CORRIENTES</v>
      </c>
      <c r="W268" s="64" t="str">
        <f t="shared" si="46"/>
        <v>OBLIGACIONES CON INSTITUCIONES FINANCIERAS - CORRIENTES</v>
      </c>
      <c r="X268" s="64" t="str">
        <f t="shared" si="51"/>
        <v>NO RELACIONADAS</v>
      </c>
      <c r="Y268" s="64" t="str">
        <f t="shared" si="52"/>
        <v>Del exterior</v>
      </c>
      <c r="Z268" s="64" t="str">
        <f t="shared" si="53"/>
        <v/>
      </c>
      <c r="AA268" s="64" t="str">
        <f t="shared" si="50"/>
        <v>OBLIGACIONES CON INSTITUCIONES FINANCIERAS - CORRIENTES_NO RELACIONADAS_Del exterior_</v>
      </c>
    </row>
    <row r="269" spans="1:27">
      <c r="A269" s="53"/>
      <c r="B269" s="53"/>
      <c r="C269" s="53"/>
      <c r="D269" s="244" t="s">
        <v>390</v>
      </c>
      <c r="E269" s="244"/>
      <c r="F269" s="244"/>
      <c r="G269" s="244"/>
      <c r="H269" s="244"/>
      <c r="I269" s="244"/>
      <c r="J269" s="244"/>
      <c r="K269" s="244"/>
      <c r="L269" s="244"/>
      <c r="M269" s="244"/>
      <c r="N269" s="9" t="s">
        <v>391</v>
      </c>
      <c r="O269" s="55" t="e">
        <f>VLOOKUP(N269,Casilleros!$A$4:$Q$830,17,FALSE)</f>
        <v>#REF!</v>
      </c>
      <c r="S269" s="61" t="str">
        <f t="shared" si="49"/>
        <v>527</v>
      </c>
      <c r="T269" s="64" t="str">
        <f t="shared" si="47"/>
        <v>ESTADO DE SITUACIÓN FINANCIERA</v>
      </c>
      <c r="U269" s="64" t="str">
        <f t="shared" si="44"/>
        <v>PASIVO</v>
      </c>
      <c r="V269" s="64" t="str">
        <f t="shared" si="45"/>
        <v>PASIVOS CORRIENTES</v>
      </c>
      <c r="W269" s="64" t="str">
        <f t="shared" si="46"/>
        <v>Crédito A Mutuo</v>
      </c>
      <c r="X269" s="64" t="str">
        <f t="shared" si="51"/>
        <v/>
      </c>
      <c r="Y269" s="64" t="str">
        <f t="shared" si="52"/>
        <v/>
      </c>
      <c r="Z269" s="64" t="str">
        <f t="shared" si="53"/>
        <v/>
      </c>
      <c r="AA269" s="64" t="str">
        <f t="shared" si="50"/>
        <v>Crédito A Mutuo</v>
      </c>
    </row>
    <row r="270" spans="1:27">
      <c r="A270" s="53"/>
      <c r="B270" s="53"/>
      <c r="C270" s="53"/>
      <c r="D270" s="244" t="s">
        <v>392</v>
      </c>
      <c r="E270" s="244"/>
      <c r="F270" s="244"/>
      <c r="G270" s="244"/>
      <c r="H270" s="244"/>
      <c r="I270" s="244"/>
      <c r="J270" s="244"/>
      <c r="K270" s="244"/>
      <c r="L270" s="244"/>
      <c r="M270" s="244"/>
      <c r="N270" s="9" t="s">
        <v>393</v>
      </c>
      <c r="O270" s="55" t="e">
        <f>VLOOKUP(N270,Casilleros!$A$4:$Q$830,17,FALSE)</f>
        <v>#REF!</v>
      </c>
      <c r="S270" s="61" t="str">
        <f t="shared" si="49"/>
        <v>528</v>
      </c>
      <c r="T270" s="64" t="str">
        <f t="shared" si="47"/>
        <v>ESTADO DE SITUACIÓN FINANCIERA</v>
      </c>
      <c r="U270" s="64" t="str">
        <f t="shared" si="44"/>
        <v>PASIVO</v>
      </c>
      <c r="V270" s="64" t="str">
        <f t="shared" si="45"/>
        <v>PASIVOS CORRIENTES</v>
      </c>
      <c r="W270" s="64" t="str">
        <f t="shared" si="46"/>
        <v>Porción Corriente de Obligaciones Emitidas</v>
      </c>
      <c r="X270" s="64" t="str">
        <f t="shared" si="51"/>
        <v/>
      </c>
      <c r="Y270" s="64" t="str">
        <f t="shared" si="52"/>
        <v/>
      </c>
      <c r="Z270" s="64" t="str">
        <f t="shared" si="53"/>
        <v/>
      </c>
      <c r="AA270" s="64" t="str">
        <f t="shared" si="50"/>
        <v>Porción Corriente de Obligaciones Emitidas</v>
      </c>
    </row>
    <row r="271" spans="1:27">
      <c r="A271" s="53"/>
      <c r="B271" s="53"/>
      <c r="C271" s="53"/>
      <c r="D271" s="236" t="s">
        <v>394</v>
      </c>
      <c r="E271" s="236"/>
      <c r="F271" s="236"/>
      <c r="G271" s="236"/>
      <c r="H271" s="236"/>
      <c r="I271" s="236"/>
      <c r="J271" s="236"/>
      <c r="K271" s="236"/>
      <c r="L271" s="236"/>
      <c r="M271" s="236"/>
      <c r="N271" s="236"/>
      <c r="O271" s="236"/>
      <c r="S271" s="61">
        <f t="shared" si="49"/>
        <v>0</v>
      </c>
      <c r="T271" s="64" t="str">
        <f t="shared" si="47"/>
        <v>ESTADO DE SITUACIÓN FINANCIERA</v>
      </c>
      <c r="U271" s="64" t="str">
        <f t="shared" si="44"/>
        <v>PASIVO</v>
      </c>
      <c r="V271" s="64" t="str">
        <f t="shared" si="45"/>
        <v>PASIVOS CORRIENTES</v>
      </c>
      <c r="W271" s="64" t="str">
        <f t="shared" si="46"/>
        <v>OTROS PASIVOS FINANCIEROS</v>
      </c>
      <c r="X271" s="64" t="str">
        <f t="shared" si="51"/>
        <v/>
      </c>
      <c r="Y271" s="64" t="str">
        <f t="shared" si="52"/>
        <v/>
      </c>
      <c r="Z271" s="64" t="str">
        <f t="shared" si="53"/>
        <v/>
      </c>
      <c r="AA271" s="64" t="str">
        <f t="shared" si="50"/>
        <v>OTROS PASIVOS FINANCIEROS</v>
      </c>
    </row>
    <row r="272" spans="1:27">
      <c r="A272" s="53"/>
      <c r="B272" s="53"/>
      <c r="C272" s="53"/>
      <c r="D272" s="53"/>
      <c r="E272" s="242" t="s">
        <v>101</v>
      </c>
      <c r="F272" s="242"/>
      <c r="G272" s="242"/>
      <c r="H272" s="242"/>
      <c r="I272" s="242"/>
      <c r="J272" s="242"/>
      <c r="K272" s="242"/>
      <c r="L272" s="242"/>
      <c r="M272" s="242"/>
      <c r="N272" s="9" t="s">
        <v>395</v>
      </c>
      <c r="O272" s="55" t="e">
        <f>VLOOKUP(N272,Casilleros!$A$4:$Q$830,17,FALSE)</f>
        <v>#REF!</v>
      </c>
      <c r="S272" s="61" t="str">
        <f t="shared" si="49"/>
        <v>529</v>
      </c>
      <c r="T272" s="64" t="str">
        <f t="shared" si="47"/>
        <v>ESTADO DE SITUACIÓN FINANCIERA</v>
      </c>
      <c r="U272" s="64" t="str">
        <f t="shared" si="44"/>
        <v>PASIVO</v>
      </c>
      <c r="V272" s="64" t="str">
        <f t="shared" si="45"/>
        <v>PASIVOS CORRIENTES</v>
      </c>
      <c r="W272" s="64" t="str">
        <f t="shared" si="46"/>
        <v>OTROS PASIVOS FINANCIEROS</v>
      </c>
      <c r="X272" s="64" t="str">
        <f t="shared" si="51"/>
        <v>A costo amortizado</v>
      </c>
      <c r="Y272" s="64" t="str">
        <f t="shared" si="52"/>
        <v/>
      </c>
      <c r="Z272" s="64" t="str">
        <f t="shared" si="53"/>
        <v/>
      </c>
      <c r="AA272" s="64" t="str">
        <f t="shared" si="50"/>
        <v>OTROS PASIVOS FINANCIEROS_A costo amortizado__</v>
      </c>
    </row>
    <row r="273" spans="1:27">
      <c r="A273" s="53"/>
      <c r="B273" s="53"/>
      <c r="C273" s="53"/>
      <c r="D273" s="53"/>
      <c r="E273" s="242" t="s">
        <v>105</v>
      </c>
      <c r="F273" s="242"/>
      <c r="G273" s="242"/>
      <c r="H273" s="242"/>
      <c r="I273" s="242"/>
      <c r="J273" s="242"/>
      <c r="K273" s="242"/>
      <c r="L273" s="242"/>
      <c r="M273" s="242"/>
      <c r="N273" s="9" t="s">
        <v>396</v>
      </c>
      <c r="O273" s="55" t="e">
        <f>VLOOKUP(N273,Casilleros!$A$4:$Q$830,17,FALSE)</f>
        <v>#REF!</v>
      </c>
      <c r="S273" s="61" t="str">
        <f t="shared" si="49"/>
        <v>530</v>
      </c>
      <c r="T273" s="64" t="str">
        <f t="shared" si="47"/>
        <v>ESTADO DE SITUACIÓN FINANCIERA</v>
      </c>
      <c r="U273" s="64" t="str">
        <f t="shared" si="44"/>
        <v>PASIVO</v>
      </c>
      <c r="V273" s="64" t="str">
        <f t="shared" si="45"/>
        <v>PASIVOS CORRIENTES</v>
      </c>
      <c r="W273" s="64" t="str">
        <f t="shared" si="46"/>
        <v>OTROS PASIVOS FINANCIEROS</v>
      </c>
      <c r="X273" s="64" t="str">
        <f t="shared" si="51"/>
        <v>A valor razonable</v>
      </c>
      <c r="Y273" s="64" t="str">
        <f t="shared" si="52"/>
        <v/>
      </c>
      <c r="Z273" s="64" t="str">
        <f t="shared" si="53"/>
        <v/>
      </c>
      <c r="AA273" s="64" t="str">
        <f t="shared" si="50"/>
        <v>OTROS PASIVOS FINANCIEROS_A valor razonable__</v>
      </c>
    </row>
    <row r="274" spans="1:27">
      <c r="A274" s="53"/>
      <c r="B274" s="53"/>
      <c r="C274" s="53"/>
      <c r="D274" s="244" t="s">
        <v>397</v>
      </c>
      <c r="E274" s="244"/>
      <c r="F274" s="244"/>
      <c r="G274" s="244"/>
      <c r="H274" s="244"/>
      <c r="I274" s="244"/>
      <c r="J274" s="244"/>
      <c r="K274" s="244"/>
      <c r="L274" s="244"/>
      <c r="M274" s="244"/>
      <c r="N274" s="9" t="s">
        <v>398</v>
      </c>
      <c r="O274" s="74" t="e">
        <f>VLOOKUP(N274,Casilleros!$A$4:$Q$830,17,FALSE)</f>
        <v>#REF!</v>
      </c>
      <c r="S274" s="61" t="str">
        <f t="shared" si="49"/>
        <v>531</v>
      </c>
      <c r="T274" s="64" t="str">
        <f t="shared" si="47"/>
        <v>ESTADO DE SITUACIÓN FINANCIERA</v>
      </c>
      <c r="U274" s="64" t="str">
        <f t="shared" si="44"/>
        <v>PASIVO</v>
      </c>
      <c r="V274" s="64" t="str">
        <f t="shared" si="45"/>
        <v>PASIVOS CORRIENTES</v>
      </c>
      <c r="W274" s="64" t="str">
        <f t="shared" si="46"/>
        <v>Porción Corriente de Arrendamientos Financieros Por Pagar</v>
      </c>
      <c r="X274" s="64" t="str">
        <f t="shared" si="51"/>
        <v/>
      </c>
      <c r="Y274" s="64" t="str">
        <f t="shared" si="52"/>
        <v/>
      </c>
      <c r="Z274" s="64" t="str">
        <f t="shared" si="53"/>
        <v/>
      </c>
      <c r="AA274" s="64" t="str">
        <f t="shared" si="50"/>
        <v>Porción Corriente de Arrendamientos Financieros Por Pagar</v>
      </c>
    </row>
    <row r="275" spans="1:27">
      <c r="A275" s="53"/>
      <c r="B275" s="53"/>
      <c r="C275" s="53"/>
      <c r="D275" s="244" t="s">
        <v>399</v>
      </c>
      <c r="E275" s="244"/>
      <c r="F275" s="244"/>
      <c r="G275" s="244"/>
      <c r="H275" s="244"/>
      <c r="I275" s="244"/>
      <c r="J275" s="244"/>
      <c r="K275" s="244"/>
      <c r="L275" s="244"/>
      <c r="M275" s="244"/>
      <c r="N275" s="9" t="s">
        <v>400</v>
      </c>
      <c r="O275" s="55" t="e">
        <f>VLOOKUP(N275,Casilleros!$A$4:$Q$830,17,FALSE)</f>
        <v>#REF!</v>
      </c>
      <c r="S275" s="61" t="str">
        <f t="shared" si="49"/>
        <v>532</v>
      </c>
      <c r="T275" s="64" t="str">
        <f t="shared" si="47"/>
        <v>ESTADO DE SITUACIÓN FINANCIERA</v>
      </c>
      <c r="U275" s="64" t="str">
        <f t="shared" si="44"/>
        <v>PASIVO</v>
      </c>
      <c r="V275" s="64" t="str">
        <f t="shared" si="45"/>
        <v>PASIVOS CORRIENTES</v>
      </c>
      <c r="W275" s="64" t="str">
        <f t="shared" si="46"/>
        <v>Impuesto A La Renta Por Pagar Del Ejercicio</v>
      </c>
      <c r="X275" s="64" t="str">
        <f t="shared" si="51"/>
        <v/>
      </c>
      <c r="Y275" s="64" t="str">
        <f t="shared" si="52"/>
        <v/>
      </c>
      <c r="Z275" s="64" t="str">
        <f t="shared" si="53"/>
        <v/>
      </c>
      <c r="AA275" s="64" t="str">
        <f t="shared" si="50"/>
        <v>Impuesto A La Renta Por Pagar Del Ejercicio</v>
      </c>
    </row>
    <row r="276" spans="1:27">
      <c r="A276" s="53"/>
      <c r="B276" s="53"/>
      <c r="C276" s="53"/>
      <c r="D276" s="236" t="s">
        <v>401</v>
      </c>
      <c r="E276" s="236"/>
      <c r="F276" s="236"/>
      <c r="G276" s="236"/>
      <c r="H276" s="236"/>
      <c r="I276" s="236"/>
      <c r="J276" s="236"/>
      <c r="K276" s="236"/>
      <c r="L276" s="236"/>
      <c r="M276" s="236"/>
      <c r="N276" s="236"/>
      <c r="O276" s="236"/>
      <c r="S276" s="61">
        <f t="shared" si="49"/>
        <v>0</v>
      </c>
      <c r="T276" s="64" t="str">
        <f t="shared" si="47"/>
        <v>ESTADO DE SITUACIÓN FINANCIERA</v>
      </c>
      <c r="U276" s="64" t="str">
        <f t="shared" si="44"/>
        <v>PASIVO</v>
      </c>
      <c r="V276" s="64" t="str">
        <f t="shared" si="45"/>
        <v>PASIVOS CORRIENTES</v>
      </c>
      <c r="W276" s="64" t="str">
        <f t="shared" si="46"/>
        <v>PASIVOS CORRIENTES POR BENEFICIOS A LOS EMPLEADOS</v>
      </c>
      <c r="X276" s="64" t="str">
        <f t="shared" si="51"/>
        <v/>
      </c>
      <c r="Y276" s="64" t="str">
        <f t="shared" si="52"/>
        <v/>
      </c>
      <c r="Z276" s="64" t="str">
        <f t="shared" si="53"/>
        <v/>
      </c>
      <c r="AA276" s="64" t="str">
        <f t="shared" si="50"/>
        <v>PASIVOS CORRIENTES POR BENEFICIOS A LOS EMPLEADOS</v>
      </c>
    </row>
    <row r="277" spans="1:27">
      <c r="A277" s="53"/>
      <c r="B277" s="53"/>
      <c r="C277" s="53"/>
      <c r="D277" s="53"/>
      <c r="E277" s="242" t="s">
        <v>402</v>
      </c>
      <c r="F277" s="242"/>
      <c r="G277" s="242"/>
      <c r="H277" s="242"/>
      <c r="I277" s="242"/>
      <c r="J277" s="242"/>
      <c r="K277" s="242"/>
      <c r="L277" s="242"/>
      <c r="M277" s="242"/>
      <c r="N277" s="9" t="s">
        <v>403</v>
      </c>
      <c r="O277" s="55" t="e">
        <f>VLOOKUP(N277,Casilleros!$A$4:$Q$830,17,FALSE)</f>
        <v>#REF!</v>
      </c>
      <c r="S277" s="61" t="str">
        <f t="shared" si="49"/>
        <v>533</v>
      </c>
      <c r="T277" s="64" t="str">
        <f t="shared" si="47"/>
        <v>ESTADO DE SITUACIÓN FINANCIERA</v>
      </c>
      <c r="U277" s="64" t="str">
        <f t="shared" si="44"/>
        <v>PASIVO</v>
      </c>
      <c r="V277" s="64" t="str">
        <f t="shared" si="45"/>
        <v>PASIVOS CORRIENTES</v>
      </c>
      <c r="W277" s="64" t="str">
        <f t="shared" si="46"/>
        <v>PASIVOS CORRIENTES POR BENEFICIOS A LOS EMPLEADOS</v>
      </c>
      <c r="X277" s="64" t="str">
        <f t="shared" si="51"/>
        <v>Participación trabajadores por pagar del ejercicio</v>
      </c>
      <c r="Y277" s="64" t="str">
        <f t="shared" si="52"/>
        <v/>
      </c>
      <c r="Z277" s="64" t="str">
        <f t="shared" si="53"/>
        <v/>
      </c>
      <c r="AA277" s="64" t="str">
        <f t="shared" si="50"/>
        <v>PASIVOS CORRIENTES POR BENEFICIOS A LOS EMPLEADOS_Participación trabajadores por pagar del ejercicio__</v>
      </c>
    </row>
    <row r="278" spans="1:27">
      <c r="A278" s="53"/>
      <c r="B278" s="53"/>
      <c r="C278" s="53"/>
      <c r="D278" s="53"/>
      <c r="E278" s="242" t="s">
        <v>404</v>
      </c>
      <c r="F278" s="242"/>
      <c r="G278" s="242"/>
      <c r="H278" s="242"/>
      <c r="I278" s="242"/>
      <c r="J278" s="242"/>
      <c r="K278" s="242"/>
      <c r="L278" s="242"/>
      <c r="M278" s="242"/>
      <c r="N278" s="9" t="s">
        <v>405</v>
      </c>
      <c r="O278" s="55" t="e">
        <f>VLOOKUP(N278,Casilleros!$A$4:$Q$830,17,FALSE)</f>
        <v>#REF!</v>
      </c>
      <c r="S278" s="61" t="str">
        <f t="shared" si="49"/>
        <v>534</v>
      </c>
      <c r="T278" s="64" t="str">
        <f t="shared" si="47"/>
        <v>ESTADO DE SITUACIÓN FINANCIERA</v>
      </c>
      <c r="U278" s="64" t="str">
        <f t="shared" si="44"/>
        <v>PASIVO</v>
      </c>
      <c r="V278" s="64" t="str">
        <f t="shared" si="45"/>
        <v>PASIVOS CORRIENTES</v>
      </c>
      <c r="W278" s="64" t="str">
        <f t="shared" si="46"/>
        <v>PASIVOS CORRIENTES POR BENEFICIOS A LOS EMPLEADOS</v>
      </c>
      <c r="X278" s="64" t="str">
        <f t="shared" si="51"/>
        <v>Obligaciones con el IESS</v>
      </c>
      <c r="Y278" s="64" t="str">
        <f t="shared" si="52"/>
        <v/>
      </c>
      <c r="Z278" s="64" t="str">
        <f t="shared" si="53"/>
        <v/>
      </c>
      <c r="AA278" s="64" t="str">
        <f t="shared" si="50"/>
        <v>PASIVOS CORRIENTES POR BENEFICIOS A LOS EMPLEADOS_Obligaciones con el IESS__</v>
      </c>
    </row>
    <row r="279" spans="1:27">
      <c r="A279" s="53"/>
      <c r="B279" s="53"/>
      <c r="C279" s="53"/>
      <c r="D279" s="53"/>
      <c r="E279" s="242" t="s">
        <v>406</v>
      </c>
      <c r="F279" s="242"/>
      <c r="G279" s="242"/>
      <c r="H279" s="242"/>
      <c r="I279" s="242"/>
      <c r="J279" s="242"/>
      <c r="K279" s="242"/>
      <c r="L279" s="242"/>
      <c r="M279" s="242"/>
      <c r="N279" s="9" t="s">
        <v>407</v>
      </c>
      <c r="O279" s="55" t="e">
        <f>VLOOKUP(N279,Casilleros!$A$4:$Q$830,17,FALSE)</f>
        <v>#REF!</v>
      </c>
      <c r="S279" s="61" t="str">
        <f t="shared" si="49"/>
        <v>535</v>
      </c>
      <c r="T279" s="64" t="str">
        <f t="shared" si="47"/>
        <v>ESTADO DE SITUACIÓN FINANCIERA</v>
      </c>
      <c r="U279" s="64" t="str">
        <f t="shared" si="44"/>
        <v>PASIVO</v>
      </c>
      <c r="V279" s="64" t="str">
        <f t="shared" si="45"/>
        <v>PASIVOS CORRIENTES</v>
      </c>
      <c r="W279" s="64" t="str">
        <f t="shared" si="46"/>
        <v>PASIVOS CORRIENTES POR BENEFICIOS A LOS EMPLEADOS</v>
      </c>
      <c r="X279" s="64" t="str">
        <f t="shared" si="51"/>
        <v>Jubilación Patronal</v>
      </c>
      <c r="Y279" s="64" t="str">
        <f t="shared" si="52"/>
        <v/>
      </c>
      <c r="Z279" s="64" t="str">
        <f t="shared" si="53"/>
        <v/>
      </c>
      <c r="AA279" s="64" t="str">
        <f t="shared" si="50"/>
        <v>PASIVOS CORRIENTES POR BENEFICIOS A LOS EMPLEADOS_Jubilación Patronal__</v>
      </c>
    </row>
    <row r="280" spans="1:27">
      <c r="A280" s="53"/>
      <c r="B280" s="53"/>
      <c r="C280" s="53"/>
      <c r="D280" s="53"/>
      <c r="E280" s="242" t="s">
        <v>408</v>
      </c>
      <c r="F280" s="242"/>
      <c r="G280" s="242"/>
      <c r="H280" s="242"/>
      <c r="I280" s="242"/>
      <c r="J280" s="242"/>
      <c r="K280" s="242"/>
      <c r="L280" s="242"/>
      <c r="M280" s="242"/>
      <c r="N280" s="9" t="s">
        <v>409</v>
      </c>
      <c r="O280" s="74" t="e">
        <f>VLOOKUP(N280,Casilleros!$A$4:$Q$830,17,FALSE)</f>
        <v>#REF!</v>
      </c>
      <c r="S280" s="61" t="str">
        <f t="shared" si="49"/>
        <v>536</v>
      </c>
      <c r="T280" s="64" t="str">
        <f t="shared" si="47"/>
        <v>ESTADO DE SITUACIÓN FINANCIERA</v>
      </c>
      <c r="U280" s="64" t="str">
        <f t="shared" si="44"/>
        <v>PASIVO</v>
      </c>
      <c r="V280" s="64" t="str">
        <f t="shared" si="45"/>
        <v>PASIVOS CORRIENTES</v>
      </c>
      <c r="W280" s="64" t="str">
        <f t="shared" si="46"/>
        <v>PASIVOS CORRIENTES POR BENEFICIOS A LOS EMPLEADOS</v>
      </c>
      <c r="X280" s="64" t="str">
        <f t="shared" si="51"/>
        <v>Otros Pasivos Corrientes Por Beneficios a Empleados</v>
      </c>
      <c r="Y280" s="64" t="str">
        <f t="shared" si="52"/>
        <v/>
      </c>
      <c r="Z280" s="64" t="str">
        <f t="shared" si="53"/>
        <v/>
      </c>
      <c r="AA280" s="64" t="str">
        <f t="shared" si="50"/>
        <v>PASIVOS CORRIENTES POR BENEFICIOS A LOS EMPLEADOS_Otros Pasivos Corrientes Por Beneficios a Empleados__</v>
      </c>
    </row>
    <row r="281" spans="1:27">
      <c r="A281" s="53"/>
      <c r="B281" s="53"/>
      <c r="C281" s="53"/>
      <c r="D281" s="236" t="s">
        <v>410</v>
      </c>
      <c r="E281" s="236"/>
      <c r="F281" s="236"/>
      <c r="G281" s="236"/>
      <c r="H281" s="236"/>
      <c r="I281" s="236"/>
      <c r="J281" s="236"/>
      <c r="K281" s="236"/>
      <c r="L281" s="236"/>
      <c r="M281" s="236"/>
      <c r="N281" s="236"/>
      <c r="O281" s="236"/>
      <c r="S281" s="61">
        <f t="shared" si="49"/>
        <v>0</v>
      </c>
      <c r="T281" s="64" t="str">
        <f t="shared" si="47"/>
        <v>ESTADO DE SITUACIÓN FINANCIERA</v>
      </c>
      <c r="U281" s="64" t="str">
        <f t="shared" si="44"/>
        <v>PASIVO</v>
      </c>
      <c r="V281" s="64" t="str">
        <f t="shared" si="45"/>
        <v>PASIVOS CORRIENTES</v>
      </c>
      <c r="W281" s="64" t="str">
        <f t="shared" si="46"/>
        <v xml:space="preserve">PROVISIONES CORRIENTES </v>
      </c>
      <c r="X281" s="64" t="str">
        <f t="shared" si="51"/>
        <v/>
      </c>
      <c r="Y281" s="64" t="str">
        <f t="shared" si="52"/>
        <v/>
      </c>
      <c r="Z281" s="64" t="str">
        <f t="shared" si="53"/>
        <v/>
      </c>
      <c r="AA281" s="64" t="str">
        <f t="shared" si="50"/>
        <v xml:space="preserve">PROVISIONES CORRIENTES </v>
      </c>
    </row>
    <row r="282" spans="1:27">
      <c r="A282" s="53"/>
      <c r="B282" s="53"/>
      <c r="C282" s="53"/>
      <c r="D282" s="53"/>
      <c r="E282" s="235" t="s">
        <v>411</v>
      </c>
      <c r="F282" s="235"/>
      <c r="G282" s="235"/>
      <c r="H282" s="235"/>
      <c r="I282" s="235"/>
      <c r="J282" s="235"/>
      <c r="K282" s="235"/>
      <c r="L282" s="235"/>
      <c r="M282" s="235"/>
      <c r="N282" s="9" t="s">
        <v>412</v>
      </c>
      <c r="O282" s="55" t="e">
        <f>VLOOKUP(N282,Casilleros!$A$4:$Q$830,17,FALSE)</f>
        <v>#REF!</v>
      </c>
      <c r="S282" s="61" t="str">
        <f t="shared" si="49"/>
        <v>537</v>
      </c>
      <c r="T282" s="64" t="str">
        <f t="shared" si="47"/>
        <v>ESTADO DE SITUACIÓN FINANCIERA</v>
      </c>
      <c r="U282" s="64" t="str">
        <f t="shared" si="44"/>
        <v>PASIVO</v>
      </c>
      <c r="V282" s="64" t="str">
        <f t="shared" si="45"/>
        <v>PASIVOS CORRIENTES</v>
      </c>
      <c r="W282" s="64" t="str">
        <f t="shared" si="46"/>
        <v xml:space="preserve">PROVISIONES CORRIENTES </v>
      </c>
      <c r="X282" s="64" t="str">
        <f t="shared" si="51"/>
        <v>Por garantías</v>
      </c>
      <c r="Y282" s="64" t="str">
        <f t="shared" si="52"/>
        <v/>
      </c>
      <c r="Z282" s="64" t="str">
        <f t="shared" si="53"/>
        <v/>
      </c>
      <c r="AA282" s="64" t="str">
        <f t="shared" si="50"/>
        <v>PROVISIONES CORRIENTES _Por garantías__</v>
      </c>
    </row>
    <row r="283" spans="1:27">
      <c r="A283" s="53"/>
      <c r="B283" s="53"/>
      <c r="C283" s="53"/>
      <c r="D283" s="53"/>
      <c r="E283" s="235" t="s">
        <v>413</v>
      </c>
      <c r="F283" s="235"/>
      <c r="G283" s="235"/>
      <c r="H283" s="235"/>
      <c r="I283" s="235"/>
      <c r="J283" s="235"/>
      <c r="K283" s="235"/>
      <c r="L283" s="235"/>
      <c r="M283" s="235"/>
      <c r="N283" s="9" t="s">
        <v>414</v>
      </c>
      <c r="O283" s="55" t="e">
        <f>VLOOKUP(N283,Casilleros!$A$4:$Q$830,17,FALSE)</f>
        <v>#REF!</v>
      </c>
      <c r="S283" s="61" t="str">
        <f t="shared" si="49"/>
        <v>538</v>
      </c>
      <c r="T283" s="64" t="str">
        <f t="shared" si="47"/>
        <v>ESTADO DE SITUACIÓN FINANCIERA</v>
      </c>
      <c r="U283" s="64" t="str">
        <f t="shared" si="44"/>
        <v>PASIVO</v>
      </c>
      <c r="V283" s="64" t="str">
        <f t="shared" si="45"/>
        <v>PASIVOS CORRIENTES</v>
      </c>
      <c r="W283" s="64" t="str">
        <f t="shared" si="46"/>
        <v xml:space="preserve">PROVISIONES CORRIENTES </v>
      </c>
      <c r="X283" s="64" t="str">
        <f t="shared" si="51"/>
        <v>Por desmantelamiento</v>
      </c>
      <c r="Y283" s="64" t="str">
        <f t="shared" si="52"/>
        <v/>
      </c>
      <c r="Z283" s="64" t="str">
        <f t="shared" si="53"/>
        <v/>
      </c>
      <c r="AA283" s="64" t="str">
        <f t="shared" si="50"/>
        <v>PROVISIONES CORRIENTES _Por desmantelamiento__</v>
      </c>
    </row>
    <row r="284" spans="1:27">
      <c r="A284" s="53"/>
      <c r="B284" s="53"/>
      <c r="C284" s="53"/>
      <c r="D284" s="53"/>
      <c r="E284" s="235" t="s">
        <v>415</v>
      </c>
      <c r="F284" s="235"/>
      <c r="G284" s="235"/>
      <c r="H284" s="235"/>
      <c r="I284" s="235"/>
      <c r="J284" s="235"/>
      <c r="K284" s="235"/>
      <c r="L284" s="235"/>
      <c r="M284" s="235"/>
      <c r="N284" s="9" t="s">
        <v>416</v>
      </c>
      <c r="O284" s="55" t="e">
        <f>VLOOKUP(N284,Casilleros!$A$4:$Q$830,17,FALSE)</f>
        <v>#REF!</v>
      </c>
      <c r="S284" s="61" t="str">
        <f t="shared" si="49"/>
        <v>539</v>
      </c>
      <c r="T284" s="64" t="str">
        <f t="shared" si="47"/>
        <v>ESTADO DE SITUACIÓN FINANCIERA</v>
      </c>
      <c r="U284" s="64" t="str">
        <f t="shared" ref="U284:U347" si="54">IF(T283&lt;&gt;T284,"",(IF(B284&lt;&gt;"",B284,U283)))</f>
        <v>PASIVO</v>
      </c>
      <c r="V284" s="64" t="str">
        <f t="shared" ref="V284:V347" si="55">IF(U283&lt;&gt;U284,"",(IF(C284&lt;&gt;"",C284,V283)))</f>
        <v>PASIVOS CORRIENTES</v>
      </c>
      <c r="W284" s="64" t="str">
        <f t="shared" ref="W284:W347" si="56">IF(V283&lt;&gt;V284,"",(IF(D284&lt;&gt;"",D284,W283)))</f>
        <v xml:space="preserve">PROVISIONES CORRIENTES </v>
      </c>
      <c r="X284" s="64" t="str">
        <f t="shared" si="51"/>
        <v>Por contratos onerosos</v>
      </c>
      <c r="Y284" s="64" t="str">
        <f t="shared" si="52"/>
        <v/>
      </c>
      <c r="Z284" s="64" t="str">
        <f t="shared" si="53"/>
        <v/>
      </c>
      <c r="AA284" s="64" t="str">
        <f t="shared" ref="AA284:AA347" si="57">IF(X284&lt;&gt;"",CONCATENATE(W284,"_",X284,"_",Y284,"_",Z284),W284)</f>
        <v>PROVISIONES CORRIENTES _Por contratos onerosos__</v>
      </c>
    </row>
    <row r="285" spans="1:27">
      <c r="A285" s="53"/>
      <c r="B285" s="53"/>
      <c r="C285" s="53"/>
      <c r="D285" s="53"/>
      <c r="E285" s="235" t="s">
        <v>417</v>
      </c>
      <c r="F285" s="235"/>
      <c r="G285" s="235"/>
      <c r="H285" s="235"/>
      <c r="I285" s="235"/>
      <c r="J285" s="235"/>
      <c r="K285" s="235"/>
      <c r="L285" s="235"/>
      <c r="M285" s="235"/>
      <c r="N285" s="9" t="s">
        <v>418</v>
      </c>
      <c r="O285" s="55" t="e">
        <f>VLOOKUP(N285,Casilleros!$A$4:$Q$830,17,FALSE)</f>
        <v>#REF!</v>
      </c>
      <c r="S285" s="61" t="str">
        <f t="shared" si="49"/>
        <v>540</v>
      </c>
      <c r="T285" s="64" t="str">
        <f t="shared" ref="T285:T348" si="58">IF(A285&lt;&gt;"",A285,T284)</f>
        <v>ESTADO DE SITUACIÓN FINANCIERA</v>
      </c>
      <c r="U285" s="64" t="str">
        <f t="shared" si="54"/>
        <v>PASIVO</v>
      </c>
      <c r="V285" s="64" t="str">
        <f t="shared" si="55"/>
        <v>PASIVOS CORRIENTES</v>
      </c>
      <c r="W285" s="64" t="str">
        <f t="shared" si="56"/>
        <v xml:space="preserve">PROVISIONES CORRIENTES </v>
      </c>
      <c r="X285" s="64" t="str">
        <f t="shared" si="51"/>
        <v>Por reestructuraciones de negocios</v>
      </c>
      <c r="Y285" s="64" t="str">
        <f t="shared" si="52"/>
        <v/>
      </c>
      <c r="Z285" s="64" t="str">
        <f t="shared" si="53"/>
        <v/>
      </c>
      <c r="AA285" s="64" t="str">
        <f t="shared" si="57"/>
        <v>PROVISIONES CORRIENTES _Por reestructuraciones de negocios__</v>
      </c>
    </row>
    <row r="286" spans="1:27">
      <c r="A286" s="53"/>
      <c r="B286" s="53"/>
      <c r="C286" s="53"/>
      <c r="D286" s="53"/>
      <c r="E286" s="235" t="s">
        <v>419</v>
      </c>
      <c r="F286" s="235"/>
      <c r="G286" s="235"/>
      <c r="H286" s="235"/>
      <c r="I286" s="235"/>
      <c r="J286" s="235"/>
      <c r="K286" s="235"/>
      <c r="L286" s="235"/>
      <c r="M286" s="235"/>
      <c r="N286" s="9" t="s">
        <v>420</v>
      </c>
      <c r="O286" s="55" t="e">
        <f>VLOOKUP(N286,Casilleros!$A$4:$Q$830,17,FALSE)</f>
        <v>#REF!</v>
      </c>
      <c r="S286" s="61" t="str">
        <f t="shared" si="49"/>
        <v>541</v>
      </c>
      <c r="T286" s="64" t="str">
        <f t="shared" si="58"/>
        <v>ESTADO DE SITUACIÓN FINANCIERA</v>
      </c>
      <c r="U286" s="64" t="str">
        <f t="shared" si="54"/>
        <v>PASIVO</v>
      </c>
      <c r="V286" s="64" t="str">
        <f t="shared" si="55"/>
        <v>PASIVOS CORRIENTES</v>
      </c>
      <c r="W286" s="64" t="str">
        <f t="shared" si="56"/>
        <v xml:space="preserve">PROVISIONES CORRIENTES </v>
      </c>
      <c r="X286" s="64" t="str">
        <f t="shared" si="51"/>
        <v>Por reembolsos a clientes</v>
      </c>
      <c r="Y286" s="64" t="str">
        <f t="shared" si="52"/>
        <v/>
      </c>
      <c r="Z286" s="64" t="str">
        <f t="shared" si="53"/>
        <v/>
      </c>
      <c r="AA286" s="64" t="str">
        <f t="shared" si="57"/>
        <v>PROVISIONES CORRIENTES _Por reembolsos a clientes__</v>
      </c>
    </row>
    <row r="287" spans="1:27">
      <c r="A287" s="53"/>
      <c r="B287" s="53"/>
      <c r="C287" s="53"/>
      <c r="D287" s="53"/>
      <c r="E287" s="235" t="s">
        <v>421</v>
      </c>
      <c r="F287" s="235"/>
      <c r="G287" s="235"/>
      <c r="H287" s="235"/>
      <c r="I287" s="235"/>
      <c r="J287" s="235"/>
      <c r="K287" s="235"/>
      <c r="L287" s="235"/>
      <c r="M287" s="235"/>
      <c r="N287" s="9" t="s">
        <v>422</v>
      </c>
      <c r="O287" s="55" t="e">
        <f>VLOOKUP(N287,Casilleros!$A$4:$Q$830,17,FALSE)</f>
        <v>#REF!</v>
      </c>
      <c r="S287" s="61" t="str">
        <f t="shared" si="49"/>
        <v>542</v>
      </c>
      <c r="T287" s="64" t="str">
        <f t="shared" si="58"/>
        <v>ESTADO DE SITUACIÓN FINANCIERA</v>
      </c>
      <c r="U287" s="64" t="str">
        <f t="shared" si="54"/>
        <v>PASIVO</v>
      </c>
      <c r="V287" s="64" t="str">
        <f t="shared" si="55"/>
        <v>PASIVOS CORRIENTES</v>
      </c>
      <c r="W287" s="64" t="str">
        <f t="shared" si="56"/>
        <v xml:space="preserve">PROVISIONES CORRIENTES </v>
      </c>
      <c r="X287" s="64" t="str">
        <f t="shared" si="51"/>
        <v>Por litigios</v>
      </c>
      <c r="Y287" s="64" t="str">
        <f t="shared" si="52"/>
        <v/>
      </c>
      <c r="Z287" s="64" t="str">
        <f t="shared" si="53"/>
        <v/>
      </c>
      <c r="AA287" s="64" t="str">
        <f t="shared" si="57"/>
        <v>PROVISIONES CORRIENTES _Por litigios__</v>
      </c>
    </row>
    <row r="288" spans="1:27">
      <c r="A288" s="53"/>
      <c r="B288" s="53"/>
      <c r="C288" s="53"/>
      <c r="D288" s="53"/>
      <c r="E288" s="235" t="s">
        <v>423</v>
      </c>
      <c r="F288" s="235"/>
      <c r="G288" s="235"/>
      <c r="H288" s="235"/>
      <c r="I288" s="235"/>
      <c r="J288" s="235"/>
      <c r="K288" s="235"/>
      <c r="L288" s="235"/>
      <c r="M288" s="235"/>
      <c r="N288" s="9" t="s">
        <v>424</v>
      </c>
      <c r="O288" s="55" t="e">
        <f>VLOOKUP(N288,Casilleros!$A$4:$Q$830,17,FALSE)</f>
        <v>#REF!</v>
      </c>
      <c r="S288" s="61" t="str">
        <f t="shared" ref="S288:S351" si="59">+N288</f>
        <v>543</v>
      </c>
      <c r="T288" s="64" t="str">
        <f t="shared" si="58"/>
        <v>ESTADO DE SITUACIÓN FINANCIERA</v>
      </c>
      <c r="U288" s="64" t="str">
        <f t="shared" si="54"/>
        <v>PASIVO</v>
      </c>
      <c r="V288" s="64" t="str">
        <f t="shared" si="55"/>
        <v>PASIVOS CORRIENTES</v>
      </c>
      <c r="W288" s="64" t="str">
        <f t="shared" si="56"/>
        <v xml:space="preserve">PROVISIONES CORRIENTES </v>
      </c>
      <c r="X288" s="64" t="str">
        <f t="shared" si="51"/>
        <v>Por pasivos contingentes asumidos en una combinación de negocios</v>
      </c>
      <c r="Y288" s="64" t="str">
        <f t="shared" si="52"/>
        <v/>
      </c>
      <c r="Z288" s="64" t="str">
        <f t="shared" si="53"/>
        <v/>
      </c>
      <c r="AA288" s="64" t="str">
        <f t="shared" si="57"/>
        <v>PROVISIONES CORRIENTES _Por pasivos contingentes asumidos en una combinación de negocios__</v>
      </c>
    </row>
    <row r="289" spans="1:27">
      <c r="A289" s="53"/>
      <c r="B289" s="53"/>
      <c r="C289" s="53"/>
      <c r="D289" s="53"/>
      <c r="E289" s="235" t="s">
        <v>425</v>
      </c>
      <c r="F289" s="235"/>
      <c r="G289" s="235"/>
      <c r="H289" s="235"/>
      <c r="I289" s="235"/>
      <c r="J289" s="235"/>
      <c r="K289" s="235"/>
      <c r="L289" s="235"/>
      <c r="M289" s="235"/>
      <c r="N289" s="9" t="s">
        <v>426</v>
      </c>
      <c r="O289" s="74" t="e">
        <f>VLOOKUP(N289,Casilleros!$A$4:$Q$830,17,FALSE)</f>
        <v>#REF!</v>
      </c>
      <c r="S289" s="61" t="str">
        <f t="shared" si="59"/>
        <v>544</v>
      </c>
      <c r="T289" s="64" t="str">
        <f t="shared" si="58"/>
        <v>ESTADO DE SITUACIÓN FINANCIERA</v>
      </c>
      <c r="U289" s="64" t="str">
        <f t="shared" si="54"/>
        <v>PASIVO</v>
      </c>
      <c r="V289" s="64" t="str">
        <f t="shared" si="55"/>
        <v>PASIVOS CORRIENTES</v>
      </c>
      <c r="W289" s="64" t="str">
        <f t="shared" si="56"/>
        <v xml:space="preserve">PROVISIONES CORRIENTES </v>
      </c>
      <c r="X289" s="64" t="str">
        <f t="shared" si="51"/>
        <v>Otras</v>
      </c>
      <c r="Y289" s="64" t="str">
        <f t="shared" si="52"/>
        <v/>
      </c>
      <c r="Z289" s="64" t="str">
        <f t="shared" si="53"/>
        <v/>
      </c>
      <c r="AA289" s="64" t="str">
        <f t="shared" si="57"/>
        <v>PROVISIONES CORRIENTES _Otras__</v>
      </c>
    </row>
    <row r="290" spans="1:27">
      <c r="A290" s="53"/>
      <c r="B290" s="53"/>
      <c r="C290" s="53"/>
      <c r="D290" s="236" t="s">
        <v>427</v>
      </c>
      <c r="E290" s="236"/>
      <c r="F290" s="236"/>
      <c r="G290" s="236"/>
      <c r="H290" s="236"/>
      <c r="I290" s="236"/>
      <c r="J290" s="236"/>
      <c r="K290" s="236"/>
      <c r="L290" s="236"/>
      <c r="M290" s="236"/>
      <c r="N290" s="236"/>
      <c r="O290" s="236"/>
      <c r="S290" s="61">
        <f t="shared" si="59"/>
        <v>0</v>
      </c>
      <c r="T290" s="64" t="str">
        <f t="shared" si="58"/>
        <v>ESTADO DE SITUACIÓN FINANCIERA</v>
      </c>
      <c r="U290" s="64" t="str">
        <f t="shared" si="54"/>
        <v>PASIVO</v>
      </c>
      <c r="V290" s="64" t="str">
        <f t="shared" si="55"/>
        <v>PASIVOS CORRIENTES</v>
      </c>
      <c r="W290" s="64" t="str">
        <f t="shared" si="56"/>
        <v>PASIVOS POR INGRESOS DIFERIDOS</v>
      </c>
      <c r="X290" s="64" t="str">
        <f t="shared" si="51"/>
        <v/>
      </c>
      <c r="Y290" s="64" t="str">
        <f t="shared" si="52"/>
        <v/>
      </c>
      <c r="Z290" s="64" t="str">
        <f t="shared" si="53"/>
        <v/>
      </c>
      <c r="AA290" s="64" t="str">
        <f t="shared" si="57"/>
        <v>PASIVOS POR INGRESOS DIFERIDOS</v>
      </c>
    </row>
    <row r="291" spans="1:27">
      <c r="A291" s="53"/>
      <c r="B291" s="53"/>
      <c r="C291" s="53"/>
      <c r="D291" s="53"/>
      <c r="E291" s="242" t="s">
        <v>428</v>
      </c>
      <c r="F291" s="242"/>
      <c r="G291" s="242"/>
      <c r="H291" s="242"/>
      <c r="I291" s="242"/>
      <c r="J291" s="242"/>
      <c r="K291" s="242"/>
      <c r="L291" s="242"/>
      <c r="M291" s="242"/>
      <c r="N291" s="9" t="s">
        <v>429</v>
      </c>
      <c r="O291" s="55" t="e">
        <f>VLOOKUP(N291,Casilleros!$A$4:$Q$830,17,FALSE)</f>
        <v>#REF!</v>
      </c>
      <c r="S291" s="61" t="str">
        <f t="shared" si="59"/>
        <v>545</v>
      </c>
      <c r="T291" s="64" t="str">
        <f t="shared" si="58"/>
        <v>ESTADO DE SITUACIÓN FINANCIERA</v>
      </c>
      <c r="U291" s="64" t="str">
        <f t="shared" si="54"/>
        <v>PASIVO</v>
      </c>
      <c r="V291" s="64" t="str">
        <f t="shared" si="55"/>
        <v>PASIVOS CORRIENTES</v>
      </c>
      <c r="W291" s="64" t="str">
        <f t="shared" si="56"/>
        <v>PASIVOS POR INGRESOS DIFERIDOS</v>
      </c>
      <c r="X291" s="64" t="str">
        <f t="shared" si="51"/>
        <v>Anticipos de clientes</v>
      </c>
      <c r="Y291" s="64" t="str">
        <f t="shared" si="52"/>
        <v/>
      </c>
      <c r="Z291" s="64" t="str">
        <f t="shared" si="53"/>
        <v/>
      </c>
      <c r="AA291" s="64" t="str">
        <f t="shared" si="57"/>
        <v>PASIVOS POR INGRESOS DIFERIDOS_Anticipos de clientes__</v>
      </c>
    </row>
    <row r="292" spans="1:27">
      <c r="A292" s="53"/>
      <c r="B292" s="53"/>
      <c r="C292" s="53"/>
      <c r="D292" s="53"/>
      <c r="E292" s="242" t="s">
        <v>430</v>
      </c>
      <c r="F292" s="242"/>
      <c r="G292" s="242"/>
      <c r="H292" s="242"/>
      <c r="I292" s="242"/>
      <c r="J292" s="242"/>
      <c r="K292" s="242"/>
      <c r="L292" s="242"/>
      <c r="M292" s="242"/>
      <c r="N292" s="9" t="s">
        <v>431</v>
      </c>
      <c r="O292" s="55" t="e">
        <f>VLOOKUP(N292,Casilleros!$A$4:$Q$830,17,FALSE)</f>
        <v>#REF!</v>
      </c>
      <c r="S292" s="61" t="str">
        <f t="shared" si="59"/>
        <v>546</v>
      </c>
      <c r="T292" s="64" t="str">
        <f t="shared" si="58"/>
        <v>ESTADO DE SITUACIÓN FINANCIERA</v>
      </c>
      <c r="U292" s="64" t="str">
        <f t="shared" si="54"/>
        <v>PASIVO</v>
      </c>
      <c r="V292" s="64" t="str">
        <f t="shared" si="55"/>
        <v>PASIVOS CORRIENTES</v>
      </c>
      <c r="W292" s="64" t="str">
        <f t="shared" si="56"/>
        <v>PASIVOS POR INGRESOS DIFERIDOS</v>
      </c>
      <c r="X292" s="64" t="str">
        <f t="shared" si="51"/>
        <v>Subvenciones del Gobierno</v>
      </c>
      <c r="Y292" s="64" t="str">
        <f t="shared" si="52"/>
        <v/>
      </c>
      <c r="Z292" s="64" t="str">
        <f t="shared" si="53"/>
        <v/>
      </c>
      <c r="AA292" s="64" t="str">
        <f t="shared" si="57"/>
        <v>PASIVOS POR INGRESOS DIFERIDOS_Subvenciones del Gobierno__</v>
      </c>
    </row>
    <row r="293" spans="1:27">
      <c r="A293" s="53"/>
      <c r="B293" s="53"/>
      <c r="C293" s="53"/>
      <c r="D293" s="53"/>
      <c r="E293" s="242" t="s">
        <v>122</v>
      </c>
      <c r="F293" s="242"/>
      <c r="G293" s="242"/>
      <c r="H293" s="242"/>
      <c r="I293" s="242"/>
      <c r="J293" s="242"/>
      <c r="K293" s="242"/>
      <c r="L293" s="242"/>
      <c r="M293" s="242"/>
      <c r="N293" s="9" t="s">
        <v>432</v>
      </c>
      <c r="O293" s="55" t="e">
        <f>VLOOKUP(N293,Casilleros!$A$4:$Q$830,17,FALSE)</f>
        <v>#REF!</v>
      </c>
      <c r="S293" s="61" t="str">
        <f t="shared" si="59"/>
        <v>547</v>
      </c>
      <c r="T293" s="64" t="str">
        <f t="shared" si="58"/>
        <v>ESTADO DE SITUACIÓN FINANCIERA</v>
      </c>
      <c r="U293" s="64" t="str">
        <f t="shared" si="54"/>
        <v>PASIVO</v>
      </c>
      <c r="V293" s="64" t="str">
        <f t="shared" si="55"/>
        <v>PASIVOS CORRIENTES</v>
      </c>
      <c r="W293" s="64" t="str">
        <f t="shared" si="56"/>
        <v>PASIVOS POR INGRESOS DIFERIDOS</v>
      </c>
      <c r="X293" s="64" t="str">
        <f t="shared" si="51"/>
        <v>Otros</v>
      </c>
      <c r="Y293" s="64" t="str">
        <f t="shared" si="52"/>
        <v/>
      </c>
      <c r="Z293" s="64" t="str">
        <f t="shared" si="53"/>
        <v/>
      </c>
      <c r="AA293" s="64" t="str">
        <f t="shared" si="57"/>
        <v>PASIVOS POR INGRESOS DIFERIDOS_Otros__</v>
      </c>
    </row>
    <row r="294" spans="1:27">
      <c r="A294" s="53"/>
      <c r="B294" s="53"/>
      <c r="C294" s="53"/>
      <c r="D294" s="236" t="s">
        <v>433</v>
      </c>
      <c r="E294" s="236"/>
      <c r="F294" s="236"/>
      <c r="G294" s="236"/>
      <c r="H294" s="236"/>
      <c r="I294" s="236"/>
      <c r="J294" s="236"/>
      <c r="K294" s="236"/>
      <c r="L294" s="236"/>
      <c r="M294" s="236"/>
      <c r="N294" s="236"/>
      <c r="O294" s="236"/>
      <c r="S294" s="61">
        <f t="shared" si="59"/>
        <v>0</v>
      </c>
      <c r="T294" s="64" t="str">
        <f t="shared" si="58"/>
        <v>ESTADO DE SITUACIÓN FINANCIERA</v>
      </c>
      <c r="U294" s="64" t="str">
        <f t="shared" si="54"/>
        <v>PASIVO</v>
      </c>
      <c r="V294" s="64" t="str">
        <f t="shared" si="55"/>
        <v>PASIVOS CORRIENTES</v>
      </c>
      <c r="W294" s="64" t="str">
        <f t="shared" si="56"/>
        <v>OTROS PASIVOS CORRIENTES</v>
      </c>
      <c r="X294" s="64" t="str">
        <f t="shared" si="51"/>
        <v/>
      </c>
      <c r="Y294" s="64" t="str">
        <f t="shared" si="52"/>
        <v/>
      </c>
      <c r="Z294" s="64" t="str">
        <f t="shared" si="53"/>
        <v/>
      </c>
      <c r="AA294" s="64" t="str">
        <f t="shared" si="57"/>
        <v>OTROS PASIVOS CORRIENTES</v>
      </c>
    </row>
    <row r="295" spans="1:27">
      <c r="A295" s="53"/>
      <c r="B295" s="53"/>
      <c r="C295" s="53"/>
      <c r="D295" s="53"/>
      <c r="E295" s="242" t="s">
        <v>434</v>
      </c>
      <c r="F295" s="242"/>
      <c r="G295" s="242"/>
      <c r="H295" s="242"/>
      <c r="I295" s="242"/>
      <c r="J295" s="242"/>
      <c r="K295" s="242"/>
      <c r="L295" s="242"/>
      <c r="M295" s="242"/>
      <c r="N295" s="9" t="s">
        <v>435</v>
      </c>
      <c r="O295" s="55" t="e">
        <f>VLOOKUP(N295,Casilleros!$A$4:$Q$830,17,FALSE)</f>
        <v>#REF!</v>
      </c>
      <c r="S295" s="61" t="str">
        <f t="shared" si="59"/>
        <v>548</v>
      </c>
      <c r="T295" s="64" t="str">
        <f t="shared" si="58"/>
        <v>ESTADO DE SITUACIÓN FINANCIERA</v>
      </c>
      <c r="U295" s="64" t="str">
        <f t="shared" si="54"/>
        <v>PASIVO</v>
      </c>
      <c r="V295" s="64" t="str">
        <f t="shared" si="55"/>
        <v>PASIVOS CORRIENTES</v>
      </c>
      <c r="W295" s="64" t="str">
        <f t="shared" si="56"/>
        <v>OTROS PASIVOS CORRIENTES</v>
      </c>
      <c r="X295" s="64" t="str">
        <f t="shared" si="51"/>
        <v xml:space="preserve">Transferencias casa matriz y sucursales (del exterior) </v>
      </c>
      <c r="Y295" s="64" t="str">
        <f t="shared" si="52"/>
        <v/>
      </c>
      <c r="Z295" s="64" t="str">
        <f t="shared" si="53"/>
        <v/>
      </c>
      <c r="AA295" s="64" t="str">
        <f t="shared" si="57"/>
        <v>OTROS PASIVOS CORRIENTES_Transferencias casa matriz y sucursales (del exterior) __</v>
      </c>
    </row>
    <row r="296" spans="1:27">
      <c r="A296" s="53"/>
      <c r="B296" s="53"/>
      <c r="C296" s="53"/>
      <c r="D296" s="53"/>
      <c r="E296" s="242" t="s">
        <v>122</v>
      </c>
      <c r="F296" s="242"/>
      <c r="G296" s="242"/>
      <c r="H296" s="242"/>
      <c r="I296" s="242"/>
      <c r="J296" s="242"/>
      <c r="K296" s="242"/>
      <c r="L296" s="242"/>
      <c r="M296" s="242"/>
      <c r="N296" s="9" t="s">
        <v>436</v>
      </c>
      <c r="O296" s="74" t="e">
        <f>VLOOKUP(N296,Casilleros!$A$4:$Q$830,17,FALSE)</f>
        <v>#REF!</v>
      </c>
      <c r="S296" s="61" t="str">
        <f t="shared" si="59"/>
        <v>549</v>
      </c>
      <c r="T296" s="64" t="str">
        <f t="shared" si="58"/>
        <v>ESTADO DE SITUACIÓN FINANCIERA</v>
      </c>
      <c r="U296" s="64" t="str">
        <f t="shared" si="54"/>
        <v>PASIVO</v>
      </c>
      <c r="V296" s="64" t="str">
        <f t="shared" si="55"/>
        <v>PASIVOS CORRIENTES</v>
      </c>
      <c r="W296" s="64" t="str">
        <f t="shared" si="56"/>
        <v>OTROS PASIVOS CORRIENTES</v>
      </c>
      <c r="X296" s="64" t="str">
        <f t="shared" si="51"/>
        <v>Otros</v>
      </c>
      <c r="Y296" s="64" t="str">
        <f t="shared" si="52"/>
        <v/>
      </c>
      <c r="Z296" s="64" t="str">
        <f t="shared" si="53"/>
        <v/>
      </c>
      <c r="AA296" s="64" t="str">
        <f t="shared" si="57"/>
        <v>OTROS PASIVOS CORRIENTES_Otros__</v>
      </c>
    </row>
    <row r="297" spans="1:27">
      <c r="A297" s="53"/>
      <c r="B297" s="53"/>
      <c r="C297" s="238" t="s">
        <v>437</v>
      </c>
      <c r="D297" s="238"/>
      <c r="E297" s="238"/>
      <c r="F297" s="238"/>
      <c r="G297" s="238"/>
      <c r="H297" s="238"/>
      <c r="I297" s="238"/>
      <c r="J297" s="238"/>
      <c r="K297" s="238"/>
      <c r="L297" s="238"/>
      <c r="M297" s="238"/>
      <c r="N297" s="71" t="s">
        <v>438</v>
      </c>
      <c r="O297" s="72" t="e">
        <f>SUM(O240:O296)</f>
        <v>#REF!</v>
      </c>
      <c r="S297" s="61" t="str">
        <f t="shared" si="59"/>
        <v>550</v>
      </c>
      <c r="T297" s="64" t="str">
        <f t="shared" si="58"/>
        <v>ESTADO DE SITUACIÓN FINANCIERA</v>
      </c>
      <c r="U297" s="64" t="str">
        <f t="shared" si="54"/>
        <v>PASIVO</v>
      </c>
      <c r="V297" s="64" t="str">
        <f t="shared" si="55"/>
        <v>TOTAL PASIVOS CORRIENTES</v>
      </c>
      <c r="W297" s="64" t="str">
        <f t="shared" si="56"/>
        <v/>
      </c>
      <c r="X297" s="64" t="str">
        <f t="shared" si="51"/>
        <v/>
      </c>
      <c r="Y297" s="64" t="str">
        <f t="shared" si="52"/>
        <v/>
      </c>
      <c r="Z297" s="64" t="str">
        <f t="shared" si="53"/>
        <v/>
      </c>
      <c r="AA297" s="69" t="str">
        <f>IF(X297&lt;&gt;"",CONCATENATE(W297,"_",X297,"_",Y297,"_",Z297,""),CONCATENATE(U297,"_",V297, "_",W297,""))</f>
        <v>PASIVO_TOTAL PASIVOS CORRIENTES_</v>
      </c>
    </row>
    <row r="298" spans="1:27">
      <c r="A298" s="53"/>
      <c r="B298" s="53"/>
      <c r="C298" s="236" t="s">
        <v>439</v>
      </c>
      <c r="D298" s="236"/>
      <c r="E298" s="236"/>
      <c r="F298" s="236"/>
      <c r="G298" s="236"/>
      <c r="H298" s="236"/>
      <c r="I298" s="236"/>
      <c r="J298" s="236"/>
      <c r="K298" s="236"/>
      <c r="L298" s="236"/>
      <c r="M298" s="236"/>
      <c r="N298" s="236"/>
      <c r="O298" s="236"/>
      <c r="S298" s="61">
        <f t="shared" si="59"/>
        <v>0</v>
      </c>
      <c r="T298" s="64" t="str">
        <f t="shared" si="58"/>
        <v>ESTADO DE SITUACIÓN FINANCIERA</v>
      </c>
      <c r="U298" s="64" t="str">
        <f t="shared" si="54"/>
        <v>PASIVO</v>
      </c>
      <c r="V298" s="64" t="str">
        <f t="shared" si="55"/>
        <v>PASIVOS NO CORRIENTES</v>
      </c>
      <c r="W298" s="64" t="str">
        <f t="shared" si="56"/>
        <v/>
      </c>
      <c r="X298" s="64" t="str">
        <f t="shared" si="51"/>
        <v/>
      </c>
      <c r="Y298" s="64" t="str">
        <f t="shared" si="52"/>
        <v/>
      </c>
      <c r="Z298" s="64" t="str">
        <f t="shared" si="53"/>
        <v/>
      </c>
      <c r="AA298" s="64" t="str">
        <f t="shared" si="57"/>
        <v/>
      </c>
    </row>
    <row r="299" spans="1:27">
      <c r="A299" s="53"/>
      <c r="B299" s="53"/>
      <c r="C299" s="53"/>
      <c r="D299" s="239" t="s">
        <v>440</v>
      </c>
      <c r="E299" s="239"/>
      <c r="F299" s="239"/>
      <c r="G299" s="239"/>
      <c r="H299" s="239"/>
      <c r="I299" s="239"/>
      <c r="J299" s="239"/>
      <c r="K299" s="239"/>
      <c r="L299" s="239"/>
      <c r="M299" s="239"/>
      <c r="N299" s="239"/>
      <c r="O299" s="239"/>
      <c r="S299" s="61">
        <f t="shared" si="59"/>
        <v>0</v>
      </c>
      <c r="T299" s="64" t="str">
        <f t="shared" si="58"/>
        <v>ESTADO DE SITUACIÓN FINANCIERA</v>
      </c>
      <c r="U299" s="64" t="str">
        <f t="shared" si="54"/>
        <v>PASIVO</v>
      </c>
      <c r="V299" s="64" t="str">
        <f t="shared" si="55"/>
        <v>PASIVOS NO CORRIENTES</v>
      </c>
      <c r="W299" s="64" t="str">
        <f t="shared" si="56"/>
        <v>CUENTAS Y DOCUMENTOS POR PAGAR NO CORRIENTES</v>
      </c>
      <c r="X299" s="64" t="str">
        <f t="shared" si="51"/>
        <v/>
      </c>
      <c r="Y299" s="64" t="str">
        <f t="shared" si="52"/>
        <v/>
      </c>
      <c r="Z299" s="64" t="str">
        <f t="shared" si="53"/>
        <v/>
      </c>
      <c r="AA299" s="64" t="str">
        <f t="shared" si="57"/>
        <v>CUENTAS Y DOCUMENTOS POR PAGAR NO CORRIENTES</v>
      </c>
    </row>
    <row r="300" spans="1:27">
      <c r="A300" s="53"/>
      <c r="B300" s="53"/>
      <c r="C300" s="53"/>
      <c r="D300" s="53"/>
      <c r="E300" s="236" t="s">
        <v>441</v>
      </c>
      <c r="F300" s="236"/>
      <c r="G300" s="236"/>
      <c r="H300" s="236"/>
      <c r="I300" s="236"/>
      <c r="J300" s="236"/>
      <c r="K300" s="236"/>
      <c r="L300" s="236"/>
      <c r="M300" s="236"/>
      <c r="N300" s="236"/>
      <c r="O300" s="236"/>
      <c r="S300" s="61">
        <f t="shared" si="59"/>
        <v>0</v>
      </c>
      <c r="T300" s="64" t="str">
        <f t="shared" si="58"/>
        <v>ESTADO DE SITUACIÓN FINANCIERA</v>
      </c>
      <c r="U300" s="64" t="str">
        <f t="shared" si="54"/>
        <v>PASIVO</v>
      </c>
      <c r="V300" s="64" t="str">
        <f t="shared" si="55"/>
        <v>PASIVOS NO CORRIENTES</v>
      </c>
      <c r="W300" s="64" t="str">
        <f t="shared" si="56"/>
        <v>CUENTAS Y DOCUMENTOS POR PAGAR NO CORRIENTES</v>
      </c>
      <c r="X300" s="64" t="str">
        <f t="shared" si="51"/>
        <v>CUENTAS Y DOCUMENTOS POR PAGAR COMERCIALES NO CORRIENTES</v>
      </c>
      <c r="Y300" s="64" t="str">
        <f t="shared" si="52"/>
        <v/>
      </c>
      <c r="Z300" s="64" t="str">
        <f t="shared" si="53"/>
        <v/>
      </c>
      <c r="AA300" s="64" t="str">
        <f t="shared" si="57"/>
        <v>CUENTAS Y DOCUMENTOS POR PAGAR NO CORRIENTES_CUENTAS Y DOCUMENTOS POR PAGAR COMERCIALES NO CORRIENTES__</v>
      </c>
    </row>
    <row r="301" spans="1:27">
      <c r="A301" s="53"/>
      <c r="B301" s="53"/>
      <c r="C301" s="53"/>
      <c r="D301" s="53"/>
      <c r="E301" s="53"/>
      <c r="F301" s="236" t="s">
        <v>72</v>
      </c>
      <c r="G301" s="236"/>
      <c r="H301" s="236"/>
      <c r="I301" s="236"/>
      <c r="J301" s="236"/>
      <c r="K301" s="236"/>
      <c r="L301" s="236"/>
      <c r="M301" s="236"/>
      <c r="N301" s="236"/>
      <c r="O301" s="236"/>
      <c r="S301" s="61">
        <f t="shared" si="59"/>
        <v>0</v>
      </c>
      <c r="T301" s="64" t="str">
        <f t="shared" si="58"/>
        <v>ESTADO DE SITUACIÓN FINANCIERA</v>
      </c>
      <c r="U301" s="64" t="str">
        <f t="shared" si="54"/>
        <v>PASIVO</v>
      </c>
      <c r="V301" s="64" t="str">
        <f t="shared" si="55"/>
        <v>PASIVOS NO CORRIENTES</v>
      </c>
      <c r="W301" s="64" t="str">
        <f t="shared" si="56"/>
        <v>CUENTAS Y DOCUMENTOS POR PAGAR NO CORRIENTES</v>
      </c>
      <c r="X301" s="64" t="str">
        <f t="shared" si="51"/>
        <v>CUENTAS Y DOCUMENTOS POR PAGAR COMERCIALES NO CORRIENTES</v>
      </c>
      <c r="Y301" s="64" t="str">
        <f t="shared" si="52"/>
        <v>RELACIONADAS</v>
      </c>
      <c r="Z301" s="64" t="str">
        <f t="shared" si="53"/>
        <v/>
      </c>
      <c r="AA301" s="64" t="str">
        <f t="shared" si="57"/>
        <v>CUENTAS Y DOCUMENTOS POR PAGAR NO CORRIENTES_CUENTAS Y DOCUMENTOS POR PAGAR COMERCIALES NO CORRIENTES_RELACIONADAS_</v>
      </c>
    </row>
    <row r="302" spans="1:27">
      <c r="A302" s="53"/>
      <c r="B302" s="53"/>
      <c r="C302" s="53"/>
      <c r="D302" s="53"/>
      <c r="E302" s="53"/>
      <c r="F302" s="53"/>
      <c r="G302" s="235" t="s">
        <v>73</v>
      </c>
      <c r="H302" s="235"/>
      <c r="I302" s="235"/>
      <c r="J302" s="235"/>
      <c r="K302" s="235"/>
      <c r="L302" s="235"/>
      <c r="M302" s="235"/>
      <c r="N302" s="9" t="s">
        <v>442</v>
      </c>
      <c r="O302" s="55" t="e">
        <f>VLOOKUP(N302,Casilleros!$A$4:$Q$830,17,FALSE)</f>
        <v>#REF!</v>
      </c>
      <c r="S302" s="61" t="str">
        <f t="shared" si="59"/>
        <v>553</v>
      </c>
      <c r="T302" s="64" t="str">
        <f t="shared" si="58"/>
        <v>ESTADO DE SITUACIÓN FINANCIERA</v>
      </c>
      <c r="U302" s="64" t="str">
        <f t="shared" si="54"/>
        <v>PASIVO</v>
      </c>
      <c r="V302" s="64" t="str">
        <f t="shared" si="55"/>
        <v>PASIVOS NO CORRIENTES</v>
      </c>
      <c r="W302" s="64" t="str">
        <f t="shared" si="56"/>
        <v>CUENTAS Y DOCUMENTOS POR PAGAR NO CORRIENTES</v>
      </c>
      <c r="X302" s="64" t="str">
        <f t="shared" si="51"/>
        <v>CUENTAS Y DOCUMENTOS POR PAGAR COMERCIALES NO CORRIENTES</v>
      </c>
      <c r="Y302" s="64" t="str">
        <f t="shared" si="52"/>
        <v>RELACIONADAS</v>
      </c>
      <c r="Z302" s="64" t="str">
        <f t="shared" si="53"/>
        <v>Locales</v>
      </c>
      <c r="AA302" s="64" t="str">
        <f t="shared" si="57"/>
        <v>CUENTAS Y DOCUMENTOS POR PAGAR NO CORRIENTES_CUENTAS Y DOCUMENTOS POR PAGAR COMERCIALES NO CORRIENTES_RELACIONADAS_Locales</v>
      </c>
    </row>
    <row r="303" spans="1:27">
      <c r="A303" s="53"/>
      <c r="B303" s="53"/>
      <c r="C303" s="53"/>
      <c r="D303" s="53"/>
      <c r="E303" s="53"/>
      <c r="F303" s="53"/>
      <c r="G303" s="235" t="s">
        <v>26</v>
      </c>
      <c r="H303" s="235"/>
      <c r="I303" s="235"/>
      <c r="J303" s="235"/>
      <c r="K303" s="235"/>
      <c r="L303" s="235"/>
      <c r="M303" s="235"/>
      <c r="N303" s="9" t="s">
        <v>443</v>
      </c>
      <c r="O303" s="55" t="e">
        <f>VLOOKUP(N303,Casilleros!$A$4:$Q$830,17,FALSE)</f>
        <v>#REF!</v>
      </c>
      <c r="S303" s="61" t="str">
        <f t="shared" si="59"/>
        <v>554</v>
      </c>
      <c r="T303" s="64" t="str">
        <f t="shared" si="58"/>
        <v>ESTADO DE SITUACIÓN FINANCIERA</v>
      </c>
      <c r="U303" s="64" t="str">
        <f t="shared" si="54"/>
        <v>PASIVO</v>
      </c>
      <c r="V303" s="64" t="str">
        <f t="shared" si="55"/>
        <v>PASIVOS NO CORRIENTES</v>
      </c>
      <c r="W303" s="64" t="str">
        <f t="shared" si="56"/>
        <v>CUENTAS Y DOCUMENTOS POR PAGAR NO CORRIENTES</v>
      </c>
      <c r="X303" s="64" t="str">
        <f t="shared" si="51"/>
        <v>CUENTAS Y DOCUMENTOS POR PAGAR COMERCIALES NO CORRIENTES</v>
      </c>
      <c r="Y303" s="64" t="str">
        <f t="shared" si="52"/>
        <v>RELACIONADAS</v>
      </c>
      <c r="Z303" s="64" t="str">
        <f t="shared" si="53"/>
        <v>Del exterior</v>
      </c>
      <c r="AA303" s="64" t="str">
        <f t="shared" si="57"/>
        <v>CUENTAS Y DOCUMENTOS POR PAGAR NO CORRIENTES_CUENTAS Y DOCUMENTOS POR PAGAR COMERCIALES NO CORRIENTES_RELACIONADAS_Del exterior</v>
      </c>
    </row>
    <row r="304" spans="1:27">
      <c r="A304" s="53"/>
      <c r="B304" s="53"/>
      <c r="C304" s="53"/>
      <c r="D304" s="53"/>
      <c r="E304" s="53"/>
      <c r="F304" s="236" t="s">
        <v>78</v>
      </c>
      <c r="G304" s="236" t="s">
        <v>444</v>
      </c>
      <c r="H304" s="236"/>
      <c r="I304" s="236"/>
      <c r="J304" s="236"/>
      <c r="K304" s="236"/>
      <c r="L304" s="236"/>
      <c r="M304" s="236"/>
      <c r="N304" s="236"/>
      <c r="O304" s="236"/>
      <c r="S304" s="61">
        <f t="shared" si="59"/>
        <v>0</v>
      </c>
      <c r="T304" s="64" t="str">
        <f t="shared" si="58"/>
        <v>ESTADO DE SITUACIÓN FINANCIERA</v>
      </c>
      <c r="U304" s="64" t="str">
        <f t="shared" si="54"/>
        <v>PASIVO</v>
      </c>
      <c r="V304" s="64" t="str">
        <f t="shared" si="55"/>
        <v>PASIVOS NO CORRIENTES</v>
      </c>
      <c r="W304" s="64" t="str">
        <f t="shared" si="56"/>
        <v>CUENTAS Y DOCUMENTOS POR PAGAR NO CORRIENTES</v>
      </c>
      <c r="X304" s="64" t="str">
        <f t="shared" ref="X304:X367" si="60">IF(W303&lt;&gt;W304,"",(IF(E304&lt;&gt;"",E304,X303)))</f>
        <v>CUENTAS Y DOCUMENTOS POR PAGAR COMERCIALES NO CORRIENTES</v>
      </c>
      <c r="Y304" s="64" t="str">
        <f t="shared" ref="Y304:Y367" si="61">IF(X303&lt;&gt;X304,"",(IF(F304&lt;&gt;"",F304,Y303)))</f>
        <v>NO RELACIONADAS</v>
      </c>
      <c r="Z304" s="64" t="str">
        <f t="shared" ref="Z304:Z367" si="62">IF(Y303&lt;&gt;Y304,"",(IF(G304&lt;&gt;"",G304,Z303)))</f>
        <v/>
      </c>
      <c r="AA304" s="64" t="str">
        <f t="shared" si="57"/>
        <v>CUENTAS Y DOCUMENTOS POR PAGAR NO CORRIENTES_CUENTAS Y DOCUMENTOS POR PAGAR COMERCIALES NO CORRIENTES_NO RELACIONADAS_</v>
      </c>
    </row>
    <row r="305" spans="1:27">
      <c r="A305" s="53"/>
      <c r="B305" s="53"/>
      <c r="C305" s="53"/>
      <c r="D305" s="53"/>
      <c r="E305" s="53"/>
      <c r="F305" s="53"/>
      <c r="G305" s="235" t="s">
        <v>73</v>
      </c>
      <c r="H305" s="235"/>
      <c r="I305" s="235"/>
      <c r="J305" s="235"/>
      <c r="K305" s="235"/>
      <c r="L305" s="235"/>
      <c r="M305" s="235"/>
      <c r="N305" s="9" t="s">
        <v>445</v>
      </c>
      <c r="O305" s="55" t="e">
        <f>VLOOKUP(N305,Casilleros!$A$4:$Q$830,17,FALSE)</f>
        <v>#REF!</v>
      </c>
      <c r="S305" s="61" t="str">
        <f t="shared" si="59"/>
        <v>555</v>
      </c>
      <c r="T305" s="64" t="str">
        <f t="shared" si="58"/>
        <v>ESTADO DE SITUACIÓN FINANCIERA</v>
      </c>
      <c r="U305" s="64" t="str">
        <f t="shared" si="54"/>
        <v>PASIVO</v>
      </c>
      <c r="V305" s="64" t="str">
        <f t="shared" si="55"/>
        <v>PASIVOS NO CORRIENTES</v>
      </c>
      <c r="W305" s="64" t="str">
        <f t="shared" si="56"/>
        <v>CUENTAS Y DOCUMENTOS POR PAGAR NO CORRIENTES</v>
      </c>
      <c r="X305" s="64" t="str">
        <f t="shared" si="60"/>
        <v>CUENTAS Y DOCUMENTOS POR PAGAR COMERCIALES NO CORRIENTES</v>
      </c>
      <c r="Y305" s="64" t="str">
        <f t="shared" si="61"/>
        <v>NO RELACIONADAS</v>
      </c>
      <c r="Z305" s="64" t="str">
        <f t="shared" si="62"/>
        <v>Locales</v>
      </c>
      <c r="AA305" s="64" t="str">
        <f t="shared" si="57"/>
        <v>CUENTAS Y DOCUMENTOS POR PAGAR NO CORRIENTES_CUENTAS Y DOCUMENTOS POR PAGAR COMERCIALES NO CORRIENTES_NO RELACIONADAS_Locales</v>
      </c>
    </row>
    <row r="306" spans="1:27">
      <c r="A306" s="53"/>
      <c r="B306" s="53"/>
      <c r="C306" s="53"/>
      <c r="D306" s="53"/>
      <c r="E306" s="53"/>
      <c r="F306" s="53"/>
      <c r="G306" s="235" t="s">
        <v>26</v>
      </c>
      <c r="H306" s="235"/>
      <c r="I306" s="235"/>
      <c r="J306" s="235"/>
      <c r="K306" s="235"/>
      <c r="L306" s="235"/>
      <c r="M306" s="235"/>
      <c r="N306" s="9" t="s">
        <v>446</v>
      </c>
      <c r="O306" s="55" t="e">
        <f>VLOOKUP(N306,Casilleros!$A$4:$Q$830,17,FALSE)</f>
        <v>#REF!</v>
      </c>
      <c r="S306" s="61" t="str">
        <f t="shared" si="59"/>
        <v>556</v>
      </c>
      <c r="T306" s="64" t="str">
        <f t="shared" si="58"/>
        <v>ESTADO DE SITUACIÓN FINANCIERA</v>
      </c>
      <c r="U306" s="64" t="str">
        <f t="shared" si="54"/>
        <v>PASIVO</v>
      </c>
      <c r="V306" s="64" t="str">
        <f t="shared" si="55"/>
        <v>PASIVOS NO CORRIENTES</v>
      </c>
      <c r="W306" s="64" t="str">
        <f t="shared" si="56"/>
        <v>CUENTAS Y DOCUMENTOS POR PAGAR NO CORRIENTES</v>
      </c>
      <c r="X306" s="64" t="str">
        <f t="shared" si="60"/>
        <v>CUENTAS Y DOCUMENTOS POR PAGAR COMERCIALES NO CORRIENTES</v>
      </c>
      <c r="Y306" s="64" t="str">
        <f t="shared" si="61"/>
        <v>NO RELACIONADAS</v>
      </c>
      <c r="Z306" s="64" t="str">
        <f t="shared" si="62"/>
        <v>Del exterior</v>
      </c>
      <c r="AA306" s="64" t="str">
        <f t="shared" si="57"/>
        <v>CUENTAS Y DOCUMENTOS POR PAGAR NO CORRIENTES_CUENTAS Y DOCUMENTOS POR PAGAR COMERCIALES NO CORRIENTES_NO RELACIONADAS_Del exterior</v>
      </c>
    </row>
    <row r="307" spans="1:27">
      <c r="A307" s="53"/>
      <c r="B307" s="53"/>
      <c r="C307" s="53"/>
      <c r="D307" s="53"/>
      <c r="E307" s="236" t="s">
        <v>447</v>
      </c>
      <c r="F307" s="236"/>
      <c r="G307" s="236"/>
      <c r="H307" s="236"/>
      <c r="I307" s="236"/>
      <c r="J307" s="236"/>
      <c r="K307" s="236"/>
      <c r="L307" s="236"/>
      <c r="M307" s="236"/>
      <c r="N307" s="236"/>
      <c r="O307" s="236"/>
      <c r="S307" s="61">
        <f t="shared" si="59"/>
        <v>0</v>
      </c>
      <c r="T307" s="64" t="str">
        <f t="shared" si="58"/>
        <v>ESTADO DE SITUACIÓN FINANCIERA</v>
      </c>
      <c r="U307" s="64" t="str">
        <f t="shared" si="54"/>
        <v>PASIVO</v>
      </c>
      <c r="V307" s="64" t="str">
        <f t="shared" si="55"/>
        <v>PASIVOS NO CORRIENTES</v>
      </c>
      <c r="W307" s="64" t="str">
        <f t="shared" si="56"/>
        <v>CUENTAS Y DOCUMENTOS POR PAGAR NO CORRIENTES</v>
      </c>
      <c r="X307" s="64" t="str">
        <f t="shared" si="60"/>
        <v>OTRAS CUENTAS Y DOCUMENTOS POR PAGAR NO CORRIENTES</v>
      </c>
      <c r="Y307" s="64" t="str">
        <f t="shared" si="61"/>
        <v/>
      </c>
      <c r="Z307" s="64" t="str">
        <f t="shared" si="62"/>
        <v/>
      </c>
      <c r="AA307" s="64" t="str">
        <f t="shared" si="57"/>
        <v>CUENTAS Y DOCUMENTOS POR PAGAR NO CORRIENTES_OTRAS CUENTAS Y DOCUMENTOS POR PAGAR NO CORRIENTES__</v>
      </c>
    </row>
    <row r="308" spans="1:27">
      <c r="A308" s="53"/>
      <c r="B308" s="53"/>
      <c r="C308" s="53"/>
      <c r="D308" s="53"/>
      <c r="E308" s="53"/>
      <c r="F308" s="236" t="s">
        <v>448</v>
      </c>
      <c r="G308" s="236"/>
      <c r="H308" s="236"/>
      <c r="I308" s="236"/>
      <c r="J308" s="236"/>
      <c r="K308" s="236"/>
      <c r="L308" s="236"/>
      <c r="M308" s="236"/>
      <c r="N308" s="236"/>
      <c r="O308" s="236"/>
      <c r="S308" s="61">
        <f t="shared" si="59"/>
        <v>0</v>
      </c>
      <c r="T308" s="64" t="str">
        <f t="shared" si="58"/>
        <v>ESTADO DE SITUACIÓN FINANCIERA</v>
      </c>
      <c r="U308" s="64" t="str">
        <f t="shared" si="54"/>
        <v>PASIVO</v>
      </c>
      <c r="V308" s="64" t="str">
        <f t="shared" si="55"/>
        <v>PASIVOS NO CORRIENTES</v>
      </c>
      <c r="W308" s="64" t="str">
        <f t="shared" si="56"/>
        <v>CUENTAS Y DOCUMENTOS POR PAGAR NO CORRIENTES</v>
      </c>
      <c r="X308" s="64" t="str">
        <f t="shared" si="60"/>
        <v>OTRAS CUENTAS Y DOCUMENTOS POR PAGAR NO CORRIENTES</v>
      </c>
      <c r="Y308" s="64" t="str">
        <f t="shared" si="61"/>
        <v>A ACCIONISTAS, SOCIOS, PARTÍCIPES. BENEFICIARIOS U OTROS TITULARES DE DERECHOS REPRESENTATIVOS DE CAPITAL</v>
      </c>
      <c r="Z308" s="64" t="str">
        <f t="shared" si="62"/>
        <v/>
      </c>
      <c r="AA308" s="64" t="str">
        <f t="shared" si="57"/>
        <v>CUENTAS Y DOCUMENTOS POR PAGAR NO CORRIENTES_OTRAS CUENTAS Y DOCUMENTOS POR PAGAR NO CORRIENTES_A ACCIONISTAS, SOCIOS, PARTÍCIPES. BENEFICIARIOS U OTROS TITULARES DE DERECHOS REPRESENTATIVOS DE CAPITAL_</v>
      </c>
    </row>
    <row r="309" spans="1:27">
      <c r="A309" s="53"/>
      <c r="B309" s="53"/>
      <c r="C309" s="53"/>
      <c r="D309" s="53"/>
      <c r="E309" s="53"/>
      <c r="F309" s="53"/>
      <c r="G309" s="235" t="s">
        <v>73</v>
      </c>
      <c r="H309" s="235"/>
      <c r="I309" s="235"/>
      <c r="J309" s="235"/>
      <c r="K309" s="235"/>
      <c r="L309" s="235"/>
      <c r="M309" s="235"/>
      <c r="N309" s="9" t="s">
        <v>449</v>
      </c>
      <c r="O309" s="55" t="e">
        <f>VLOOKUP(N309,Casilleros!$A$4:$Q$830,17,FALSE)</f>
        <v>#REF!</v>
      </c>
      <c r="S309" s="61" t="str">
        <f t="shared" si="59"/>
        <v>557</v>
      </c>
      <c r="T309" s="64" t="str">
        <f t="shared" si="58"/>
        <v>ESTADO DE SITUACIÓN FINANCIERA</v>
      </c>
      <c r="U309" s="64" t="str">
        <f t="shared" si="54"/>
        <v>PASIVO</v>
      </c>
      <c r="V309" s="64" t="str">
        <f t="shared" si="55"/>
        <v>PASIVOS NO CORRIENTES</v>
      </c>
      <c r="W309" s="64" t="str">
        <f t="shared" si="56"/>
        <v>CUENTAS Y DOCUMENTOS POR PAGAR NO CORRIENTES</v>
      </c>
      <c r="X309" s="64" t="str">
        <f t="shared" si="60"/>
        <v>OTRAS CUENTAS Y DOCUMENTOS POR PAGAR NO CORRIENTES</v>
      </c>
      <c r="Y309" s="64" t="str">
        <f t="shared" si="61"/>
        <v>A ACCIONISTAS, SOCIOS, PARTÍCIPES. BENEFICIARIOS U OTROS TITULARES DE DERECHOS REPRESENTATIVOS DE CAPITAL</v>
      </c>
      <c r="Z309" s="64" t="str">
        <f t="shared" si="62"/>
        <v>Locales</v>
      </c>
      <c r="AA309" s="64" t="str">
        <f t="shared" si="57"/>
        <v>CUENTAS Y DOCUMENTOS POR PAGAR NO CORRIENTES_OTRAS CUENTAS Y DOCUMENTOS POR PAGAR NO CORRIENTES_A ACCIONISTAS, SOCIOS, PARTÍCIPES. BENEFICIARIOS U OTROS TITULARES DE DERECHOS REPRESENTATIVOS DE CAPITAL_Locales</v>
      </c>
    </row>
    <row r="310" spans="1:27">
      <c r="A310" s="53"/>
      <c r="B310" s="53"/>
      <c r="C310" s="53"/>
      <c r="D310" s="53"/>
      <c r="E310" s="53"/>
      <c r="F310" s="53"/>
      <c r="G310" s="235" t="s">
        <v>26</v>
      </c>
      <c r="H310" s="235"/>
      <c r="I310" s="235"/>
      <c r="J310" s="235"/>
      <c r="K310" s="235"/>
      <c r="L310" s="235"/>
      <c r="M310" s="235"/>
      <c r="N310" s="9" t="s">
        <v>450</v>
      </c>
      <c r="O310" s="55" t="e">
        <f>VLOOKUP(N310,Casilleros!$A$4:$Q$830,17,FALSE)</f>
        <v>#REF!</v>
      </c>
      <c r="S310" s="61" t="str">
        <f t="shared" si="59"/>
        <v>558</v>
      </c>
      <c r="T310" s="64" t="str">
        <f t="shared" si="58"/>
        <v>ESTADO DE SITUACIÓN FINANCIERA</v>
      </c>
      <c r="U310" s="64" t="str">
        <f t="shared" si="54"/>
        <v>PASIVO</v>
      </c>
      <c r="V310" s="64" t="str">
        <f t="shared" si="55"/>
        <v>PASIVOS NO CORRIENTES</v>
      </c>
      <c r="W310" s="64" t="str">
        <f t="shared" si="56"/>
        <v>CUENTAS Y DOCUMENTOS POR PAGAR NO CORRIENTES</v>
      </c>
      <c r="X310" s="64" t="str">
        <f t="shared" si="60"/>
        <v>OTRAS CUENTAS Y DOCUMENTOS POR PAGAR NO CORRIENTES</v>
      </c>
      <c r="Y310" s="64" t="str">
        <f t="shared" si="61"/>
        <v>A ACCIONISTAS, SOCIOS, PARTÍCIPES. BENEFICIARIOS U OTROS TITULARES DE DERECHOS REPRESENTATIVOS DE CAPITAL</v>
      </c>
      <c r="Z310" s="64" t="str">
        <f t="shared" si="62"/>
        <v>Del exterior</v>
      </c>
      <c r="AA310" s="64" t="str">
        <f t="shared" si="57"/>
        <v>CUENTAS Y DOCUMENTOS POR PAGAR NO CORRIENTES_OTRAS CUENTAS Y DOCUMENTOS POR PAGAR NO CORRIENTES_A ACCIONISTAS, SOCIOS, PARTÍCIPES. BENEFICIARIOS U OTROS TITULARES DE DERECHOS REPRESENTATIVOS DE CAPITAL_Del exterior</v>
      </c>
    </row>
    <row r="311" spans="1:27">
      <c r="A311" s="53"/>
      <c r="B311" s="53"/>
      <c r="C311" s="53"/>
      <c r="D311" s="53"/>
      <c r="E311" s="53"/>
      <c r="F311" s="236" t="s">
        <v>91</v>
      </c>
      <c r="G311" s="236"/>
      <c r="H311" s="236"/>
      <c r="I311" s="236"/>
      <c r="J311" s="236"/>
      <c r="K311" s="236"/>
      <c r="L311" s="236"/>
      <c r="M311" s="236"/>
      <c r="N311" s="236"/>
      <c r="O311" s="236"/>
      <c r="S311" s="61">
        <f t="shared" si="59"/>
        <v>0</v>
      </c>
      <c r="T311" s="64" t="str">
        <f t="shared" si="58"/>
        <v>ESTADO DE SITUACIÓN FINANCIERA</v>
      </c>
      <c r="U311" s="64" t="str">
        <f t="shared" si="54"/>
        <v>PASIVO</v>
      </c>
      <c r="V311" s="64" t="str">
        <f t="shared" si="55"/>
        <v>PASIVOS NO CORRIENTES</v>
      </c>
      <c r="W311" s="64" t="str">
        <f t="shared" si="56"/>
        <v>CUENTAS Y DOCUMENTOS POR PAGAR NO CORRIENTES</v>
      </c>
      <c r="X311" s="64" t="str">
        <f t="shared" si="60"/>
        <v>OTRAS CUENTAS Y DOCUMENTOS POR PAGAR NO CORRIENTES</v>
      </c>
      <c r="Y311" s="64" t="str">
        <f t="shared" si="61"/>
        <v>OTRAS RELACIONADAS</v>
      </c>
      <c r="Z311" s="64" t="str">
        <f t="shared" si="62"/>
        <v/>
      </c>
      <c r="AA311" s="64" t="str">
        <f t="shared" si="57"/>
        <v>CUENTAS Y DOCUMENTOS POR PAGAR NO CORRIENTES_OTRAS CUENTAS Y DOCUMENTOS POR PAGAR NO CORRIENTES_OTRAS RELACIONADAS_</v>
      </c>
    </row>
    <row r="312" spans="1:27">
      <c r="A312" s="53"/>
      <c r="B312" s="53"/>
      <c r="C312" s="53"/>
      <c r="D312" s="53"/>
      <c r="E312" s="53"/>
      <c r="F312" s="53"/>
      <c r="G312" s="235" t="s">
        <v>73</v>
      </c>
      <c r="H312" s="235"/>
      <c r="I312" s="235"/>
      <c r="J312" s="235"/>
      <c r="K312" s="235"/>
      <c r="L312" s="235"/>
      <c r="M312" s="235"/>
      <c r="N312" s="9" t="s">
        <v>451</v>
      </c>
      <c r="O312" s="55" t="e">
        <f>VLOOKUP(N312,Casilleros!$A$4:$Q$830,17,FALSE)</f>
        <v>#REF!</v>
      </c>
      <c r="S312" s="61" t="str">
        <f t="shared" si="59"/>
        <v>559</v>
      </c>
      <c r="T312" s="64" t="str">
        <f t="shared" si="58"/>
        <v>ESTADO DE SITUACIÓN FINANCIERA</v>
      </c>
      <c r="U312" s="64" t="str">
        <f t="shared" si="54"/>
        <v>PASIVO</v>
      </c>
      <c r="V312" s="64" t="str">
        <f t="shared" si="55"/>
        <v>PASIVOS NO CORRIENTES</v>
      </c>
      <c r="W312" s="64" t="str">
        <f t="shared" si="56"/>
        <v>CUENTAS Y DOCUMENTOS POR PAGAR NO CORRIENTES</v>
      </c>
      <c r="X312" s="64" t="str">
        <f t="shared" si="60"/>
        <v>OTRAS CUENTAS Y DOCUMENTOS POR PAGAR NO CORRIENTES</v>
      </c>
      <c r="Y312" s="64" t="str">
        <f t="shared" si="61"/>
        <v>OTRAS RELACIONADAS</v>
      </c>
      <c r="Z312" s="64" t="str">
        <f t="shared" si="62"/>
        <v>Locales</v>
      </c>
      <c r="AA312" s="64" t="str">
        <f t="shared" si="57"/>
        <v>CUENTAS Y DOCUMENTOS POR PAGAR NO CORRIENTES_OTRAS CUENTAS Y DOCUMENTOS POR PAGAR NO CORRIENTES_OTRAS RELACIONADAS_Locales</v>
      </c>
    </row>
    <row r="313" spans="1:27">
      <c r="A313" s="53"/>
      <c r="B313" s="53"/>
      <c r="C313" s="53"/>
      <c r="D313" s="53"/>
      <c r="E313" s="53"/>
      <c r="F313" s="53"/>
      <c r="G313" s="235" t="s">
        <v>26</v>
      </c>
      <c r="H313" s="235"/>
      <c r="I313" s="235"/>
      <c r="J313" s="235"/>
      <c r="K313" s="235"/>
      <c r="L313" s="235"/>
      <c r="M313" s="235"/>
      <c r="N313" s="9" t="s">
        <v>452</v>
      </c>
      <c r="O313" s="55" t="e">
        <f>VLOOKUP(N313,Casilleros!$A$4:$Q$830,17,FALSE)</f>
        <v>#REF!</v>
      </c>
      <c r="S313" s="61" t="str">
        <f t="shared" si="59"/>
        <v>560</v>
      </c>
      <c r="T313" s="64" t="str">
        <f t="shared" si="58"/>
        <v>ESTADO DE SITUACIÓN FINANCIERA</v>
      </c>
      <c r="U313" s="64" t="str">
        <f t="shared" si="54"/>
        <v>PASIVO</v>
      </c>
      <c r="V313" s="64" t="str">
        <f t="shared" si="55"/>
        <v>PASIVOS NO CORRIENTES</v>
      </c>
      <c r="W313" s="64" t="str">
        <f t="shared" si="56"/>
        <v>CUENTAS Y DOCUMENTOS POR PAGAR NO CORRIENTES</v>
      </c>
      <c r="X313" s="64" t="str">
        <f t="shared" si="60"/>
        <v>OTRAS CUENTAS Y DOCUMENTOS POR PAGAR NO CORRIENTES</v>
      </c>
      <c r="Y313" s="64" t="str">
        <f t="shared" si="61"/>
        <v>OTRAS RELACIONADAS</v>
      </c>
      <c r="Z313" s="64" t="str">
        <f t="shared" si="62"/>
        <v>Del exterior</v>
      </c>
      <c r="AA313" s="64" t="str">
        <f t="shared" si="57"/>
        <v>CUENTAS Y DOCUMENTOS POR PAGAR NO CORRIENTES_OTRAS CUENTAS Y DOCUMENTOS POR PAGAR NO CORRIENTES_OTRAS RELACIONADAS_Del exterior</v>
      </c>
    </row>
    <row r="314" spans="1:27">
      <c r="A314" s="53"/>
      <c r="B314" s="53"/>
      <c r="C314" s="53"/>
      <c r="D314" s="53"/>
      <c r="E314" s="53"/>
      <c r="F314" s="236" t="s">
        <v>96</v>
      </c>
      <c r="G314" s="236"/>
      <c r="H314" s="236"/>
      <c r="I314" s="236"/>
      <c r="J314" s="236"/>
      <c r="K314" s="236"/>
      <c r="L314" s="236"/>
      <c r="M314" s="236"/>
      <c r="N314" s="236"/>
      <c r="O314" s="236"/>
      <c r="S314" s="61">
        <f t="shared" si="59"/>
        <v>0</v>
      </c>
      <c r="T314" s="64" t="str">
        <f t="shared" si="58"/>
        <v>ESTADO DE SITUACIÓN FINANCIERA</v>
      </c>
      <c r="U314" s="64" t="str">
        <f t="shared" si="54"/>
        <v>PASIVO</v>
      </c>
      <c r="V314" s="64" t="str">
        <f t="shared" si="55"/>
        <v>PASIVOS NO CORRIENTES</v>
      </c>
      <c r="W314" s="64" t="str">
        <f t="shared" si="56"/>
        <v>CUENTAS Y DOCUMENTOS POR PAGAR NO CORRIENTES</v>
      </c>
      <c r="X314" s="64" t="str">
        <f t="shared" si="60"/>
        <v>OTRAS CUENTAS Y DOCUMENTOS POR PAGAR NO CORRIENTES</v>
      </c>
      <c r="Y314" s="64" t="str">
        <f t="shared" si="61"/>
        <v>OTRAS NO RELACIONADAS</v>
      </c>
      <c r="Z314" s="64" t="str">
        <f t="shared" si="62"/>
        <v/>
      </c>
      <c r="AA314" s="64" t="str">
        <f t="shared" si="57"/>
        <v>CUENTAS Y DOCUMENTOS POR PAGAR NO CORRIENTES_OTRAS CUENTAS Y DOCUMENTOS POR PAGAR NO CORRIENTES_OTRAS NO RELACIONADAS_</v>
      </c>
    </row>
    <row r="315" spans="1:27">
      <c r="A315" s="53"/>
      <c r="B315" s="53"/>
      <c r="C315" s="53"/>
      <c r="D315" s="53"/>
      <c r="E315" s="53"/>
      <c r="F315" s="53"/>
      <c r="G315" s="235" t="s">
        <v>73</v>
      </c>
      <c r="H315" s="235"/>
      <c r="I315" s="235"/>
      <c r="J315" s="235"/>
      <c r="K315" s="235"/>
      <c r="L315" s="235"/>
      <c r="M315" s="235"/>
      <c r="N315" s="9" t="s">
        <v>453</v>
      </c>
      <c r="O315" s="55" t="e">
        <f>VLOOKUP(N315,Casilleros!$A$4:$Q$830,17,FALSE)</f>
        <v>#REF!</v>
      </c>
      <c r="S315" s="61" t="str">
        <f t="shared" si="59"/>
        <v>561</v>
      </c>
      <c r="T315" s="64" t="str">
        <f t="shared" si="58"/>
        <v>ESTADO DE SITUACIÓN FINANCIERA</v>
      </c>
      <c r="U315" s="64" t="str">
        <f t="shared" si="54"/>
        <v>PASIVO</v>
      </c>
      <c r="V315" s="64" t="str">
        <f t="shared" si="55"/>
        <v>PASIVOS NO CORRIENTES</v>
      </c>
      <c r="W315" s="64" t="str">
        <f t="shared" si="56"/>
        <v>CUENTAS Y DOCUMENTOS POR PAGAR NO CORRIENTES</v>
      </c>
      <c r="X315" s="64" t="str">
        <f t="shared" si="60"/>
        <v>OTRAS CUENTAS Y DOCUMENTOS POR PAGAR NO CORRIENTES</v>
      </c>
      <c r="Y315" s="64" t="str">
        <f t="shared" si="61"/>
        <v>OTRAS NO RELACIONADAS</v>
      </c>
      <c r="Z315" s="64" t="str">
        <f t="shared" si="62"/>
        <v>Locales</v>
      </c>
      <c r="AA315" s="64" t="str">
        <f t="shared" si="57"/>
        <v>CUENTAS Y DOCUMENTOS POR PAGAR NO CORRIENTES_OTRAS CUENTAS Y DOCUMENTOS POR PAGAR NO CORRIENTES_OTRAS NO RELACIONADAS_Locales</v>
      </c>
    </row>
    <row r="316" spans="1:27">
      <c r="A316" s="53"/>
      <c r="B316" s="53"/>
      <c r="C316" s="53"/>
      <c r="D316" s="53"/>
      <c r="E316" s="53"/>
      <c r="F316" s="53"/>
      <c r="G316" s="235" t="s">
        <v>26</v>
      </c>
      <c r="H316" s="235"/>
      <c r="I316" s="235"/>
      <c r="J316" s="235"/>
      <c r="K316" s="235"/>
      <c r="L316" s="235"/>
      <c r="M316" s="235"/>
      <c r="N316" s="9" t="s">
        <v>454</v>
      </c>
      <c r="O316" s="55" t="e">
        <f>VLOOKUP(N316,Casilleros!$A$4:$Q$830,17,FALSE)</f>
        <v>#REF!</v>
      </c>
      <c r="S316" s="61" t="str">
        <f t="shared" si="59"/>
        <v>562</v>
      </c>
      <c r="T316" s="64" t="str">
        <f t="shared" si="58"/>
        <v>ESTADO DE SITUACIÓN FINANCIERA</v>
      </c>
      <c r="U316" s="64" t="str">
        <f t="shared" si="54"/>
        <v>PASIVO</v>
      </c>
      <c r="V316" s="64" t="str">
        <f t="shared" si="55"/>
        <v>PASIVOS NO CORRIENTES</v>
      </c>
      <c r="W316" s="64" t="str">
        <f t="shared" si="56"/>
        <v>CUENTAS Y DOCUMENTOS POR PAGAR NO CORRIENTES</v>
      </c>
      <c r="X316" s="64" t="str">
        <f t="shared" si="60"/>
        <v>OTRAS CUENTAS Y DOCUMENTOS POR PAGAR NO CORRIENTES</v>
      </c>
      <c r="Y316" s="64" t="str">
        <f t="shared" si="61"/>
        <v>OTRAS NO RELACIONADAS</v>
      </c>
      <c r="Z316" s="64" t="str">
        <f t="shared" si="62"/>
        <v>Del exterior</v>
      </c>
      <c r="AA316" s="64" t="str">
        <f t="shared" si="57"/>
        <v>CUENTAS Y DOCUMENTOS POR PAGAR NO CORRIENTES_OTRAS CUENTAS Y DOCUMENTOS POR PAGAR NO CORRIENTES_OTRAS NO RELACIONADAS_Del exterior</v>
      </c>
    </row>
    <row r="317" spans="1:27">
      <c r="A317" s="53"/>
      <c r="B317" s="53"/>
      <c r="C317" s="53"/>
      <c r="D317" s="236" t="s">
        <v>455</v>
      </c>
      <c r="E317" s="236"/>
      <c r="F317" s="236"/>
      <c r="G317" s="236"/>
      <c r="H317" s="236"/>
      <c r="I317" s="236"/>
      <c r="J317" s="236"/>
      <c r="K317" s="236"/>
      <c r="L317" s="236"/>
      <c r="M317" s="236"/>
      <c r="N317" s="236"/>
      <c r="O317" s="236"/>
      <c r="S317" s="61">
        <f t="shared" si="59"/>
        <v>0</v>
      </c>
      <c r="T317" s="64" t="str">
        <f t="shared" si="58"/>
        <v>ESTADO DE SITUACIÓN FINANCIERA</v>
      </c>
      <c r="U317" s="64" t="str">
        <f t="shared" si="54"/>
        <v>PASIVO</v>
      </c>
      <c r="V317" s="64" t="str">
        <f t="shared" si="55"/>
        <v>PASIVOS NO CORRIENTES</v>
      </c>
      <c r="W317" s="64" t="str">
        <f t="shared" si="56"/>
        <v>OBLIGACIONES CON INSTITUCIONES FINANCIERAS - NO CORRIENTES</v>
      </c>
      <c r="X317" s="64" t="str">
        <f t="shared" si="60"/>
        <v/>
      </c>
      <c r="Y317" s="64" t="str">
        <f t="shared" si="61"/>
        <v/>
      </c>
      <c r="Z317" s="64" t="str">
        <f t="shared" si="62"/>
        <v/>
      </c>
      <c r="AA317" s="64" t="str">
        <f t="shared" si="57"/>
        <v>OBLIGACIONES CON INSTITUCIONES FINANCIERAS - NO CORRIENTES</v>
      </c>
    </row>
    <row r="318" spans="1:27">
      <c r="A318" s="53"/>
      <c r="B318" s="53"/>
      <c r="C318" s="53"/>
      <c r="D318" s="53"/>
      <c r="E318" s="239" t="s">
        <v>72</v>
      </c>
      <c r="F318" s="239"/>
      <c r="G318" s="239"/>
      <c r="H318" s="239"/>
      <c r="I318" s="239"/>
      <c r="J318" s="239"/>
      <c r="K318" s="239"/>
      <c r="L318" s="239"/>
      <c r="M318" s="239"/>
      <c r="N318" s="239"/>
      <c r="O318" s="239"/>
      <c r="S318" s="61">
        <f t="shared" si="59"/>
        <v>0</v>
      </c>
      <c r="T318" s="64" t="str">
        <f t="shared" si="58"/>
        <v>ESTADO DE SITUACIÓN FINANCIERA</v>
      </c>
      <c r="U318" s="64" t="str">
        <f t="shared" si="54"/>
        <v>PASIVO</v>
      </c>
      <c r="V318" s="64" t="str">
        <f t="shared" si="55"/>
        <v>PASIVOS NO CORRIENTES</v>
      </c>
      <c r="W318" s="64" t="str">
        <f t="shared" si="56"/>
        <v>OBLIGACIONES CON INSTITUCIONES FINANCIERAS - NO CORRIENTES</v>
      </c>
      <c r="X318" s="64" t="str">
        <f t="shared" si="60"/>
        <v>RELACIONADAS</v>
      </c>
      <c r="Y318" s="64" t="str">
        <f t="shared" si="61"/>
        <v/>
      </c>
      <c r="Z318" s="64" t="str">
        <f t="shared" si="62"/>
        <v/>
      </c>
      <c r="AA318" s="64" t="str">
        <f t="shared" si="57"/>
        <v>OBLIGACIONES CON INSTITUCIONES FINANCIERAS - NO CORRIENTES_RELACIONADAS__</v>
      </c>
    </row>
    <row r="319" spans="1:27">
      <c r="A319" s="53"/>
      <c r="B319" s="53"/>
      <c r="C319" s="53"/>
      <c r="D319" s="53"/>
      <c r="E319" s="53"/>
      <c r="F319" s="235" t="s">
        <v>73</v>
      </c>
      <c r="G319" s="235"/>
      <c r="H319" s="235"/>
      <c r="I319" s="235"/>
      <c r="J319" s="235"/>
      <c r="K319" s="235"/>
      <c r="L319" s="235"/>
      <c r="M319" s="235"/>
      <c r="N319" s="9" t="s">
        <v>456</v>
      </c>
      <c r="O319" s="55" t="e">
        <f>VLOOKUP(N319,Casilleros!$A$4:$Q$830,17,FALSE)</f>
        <v>#REF!</v>
      </c>
      <c r="S319" s="61" t="str">
        <f t="shared" si="59"/>
        <v>563</v>
      </c>
      <c r="T319" s="64" t="str">
        <f t="shared" si="58"/>
        <v>ESTADO DE SITUACIÓN FINANCIERA</v>
      </c>
      <c r="U319" s="64" t="str">
        <f t="shared" si="54"/>
        <v>PASIVO</v>
      </c>
      <c r="V319" s="64" t="str">
        <f t="shared" si="55"/>
        <v>PASIVOS NO CORRIENTES</v>
      </c>
      <c r="W319" s="64" t="str">
        <f t="shared" si="56"/>
        <v>OBLIGACIONES CON INSTITUCIONES FINANCIERAS - NO CORRIENTES</v>
      </c>
      <c r="X319" s="64" t="str">
        <f t="shared" si="60"/>
        <v>RELACIONADAS</v>
      </c>
      <c r="Y319" s="64" t="str">
        <f t="shared" si="61"/>
        <v>Locales</v>
      </c>
      <c r="Z319" s="64" t="str">
        <f t="shared" si="62"/>
        <v/>
      </c>
      <c r="AA319" s="64" t="str">
        <f t="shared" si="57"/>
        <v>OBLIGACIONES CON INSTITUCIONES FINANCIERAS - NO CORRIENTES_RELACIONADAS_Locales_</v>
      </c>
    </row>
    <row r="320" spans="1:27">
      <c r="A320" s="53"/>
      <c r="B320" s="53"/>
      <c r="C320" s="53"/>
      <c r="D320" s="53"/>
      <c r="E320" s="53"/>
      <c r="F320" s="235" t="s">
        <v>26</v>
      </c>
      <c r="G320" s="235"/>
      <c r="H320" s="235"/>
      <c r="I320" s="235"/>
      <c r="J320" s="235"/>
      <c r="K320" s="235"/>
      <c r="L320" s="235"/>
      <c r="M320" s="235"/>
      <c r="N320" s="9" t="s">
        <v>457</v>
      </c>
      <c r="O320" s="55" t="e">
        <f>VLOOKUP(N320,Casilleros!$A$4:$Q$830,17,FALSE)</f>
        <v>#REF!</v>
      </c>
      <c r="S320" s="61" t="str">
        <f t="shared" si="59"/>
        <v>564</v>
      </c>
      <c r="T320" s="64" t="str">
        <f t="shared" si="58"/>
        <v>ESTADO DE SITUACIÓN FINANCIERA</v>
      </c>
      <c r="U320" s="64" t="str">
        <f t="shared" si="54"/>
        <v>PASIVO</v>
      </c>
      <c r="V320" s="64" t="str">
        <f t="shared" si="55"/>
        <v>PASIVOS NO CORRIENTES</v>
      </c>
      <c r="W320" s="64" t="str">
        <f t="shared" si="56"/>
        <v>OBLIGACIONES CON INSTITUCIONES FINANCIERAS - NO CORRIENTES</v>
      </c>
      <c r="X320" s="64" t="str">
        <f t="shared" si="60"/>
        <v>RELACIONADAS</v>
      </c>
      <c r="Y320" s="64" t="str">
        <f t="shared" si="61"/>
        <v>Del exterior</v>
      </c>
      <c r="Z320" s="64" t="str">
        <f t="shared" si="62"/>
        <v/>
      </c>
      <c r="AA320" s="64" t="str">
        <f t="shared" si="57"/>
        <v>OBLIGACIONES CON INSTITUCIONES FINANCIERAS - NO CORRIENTES_RELACIONADAS_Del exterior_</v>
      </c>
    </row>
    <row r="321" spans="1:27">
      <c r="A321" s="53"/>
      <c r="B321" s="53"/>
      <c r="C321" s="53"/>
      <c r="D321" s="53"/>
      <c r="E321" s="239" t="s">
        <v>78</v>
      </c>
      <c r="F321" s="239" t="s">
        <v>444</v>
      </c>
      <c r="G321" s="239"/>
      <c r="H321" s="239"/>
      <c r="I321" s="239"/>
      <c r="J321" s="239"/>
      <c r="K321" s="239"/>
      <c r="L321" s="239"/>
      <c r="M321" s="239"/>
      <c r="N321" s="239"/>
      <c r="O321" s="239"/>
      <c r="S321" s="61">
        <f t="shared" si="59"/>
        <v>0</v>
      </c>
      <c r="T321" s="64" t="str">
        <f t="shared" si="58"/>
        <v>ESTADO DE SITUACIÓN FINANCIERA</v>
      </c>
      <c r="U321" s="64" t="str">
        <f t="shared" si="54"/>
        <v>PASIVO</v>
      </c>
      <c r="V321" s="64" t="str">
        <f t="shared" si="55"/>
        <v>PASIVOS NO CORRIENTES</v>
      </c>
      <c r="W321" s="64" t="str">
        <f t="shared" si="56"/>
        <v>OBLIGACIONES CON INSTITUCIONES FINANCIERAS - NO CORRIENTES</v>
      </c>
      <c r="X321" s="64" t="str">
        <f t="shared" si="60"/>
        <v>NO RELACIONADAS</v>
      </c>
      <c r="Y321" s="64" t="str">
        <f t="shared" si="61"/>
        <v/>
      </c>
      <c r="Z321" s="64" t="str">
        <f t="shared" si="62"/>
        <v/>
      </c>
      <c r="AA321" s="64" t="str">
        <f t="shared" si="57"/>
        <v>OBLIGACIONES CON INSTITUCIONES FINANCIERAS - NO CORRIENTES_NO RELACIONADAS__</v>
      </c>
    </row>
    <row r="322" spans="1:27">
      <c r="A322" s="53"/>
      <c r="B322" s="53"/>
      <c r="C322" s="53"/>
      <c r="D322" s="53"/>
      <c r="E322" s="53"/>
      <c r="F322" s="235" t="s">
        <v>73</v>
      </c>
      <c r="G322" s="235"/>
      <c r="H322" s="235"/>
      <c r="I322" s="235"/>
      <c r="J322" s="235"/>
      <c r="K322" s="235"/>
      <c r="L322" s="235"/>
      <c r="M322" s="235"/>
      <c r="N322" s="9" t="s">
        <v>458</v>
      </c>
      <c r="O322" s="55" t="e">
        <f>VLOOKUP(N322,Casilleros!$A$4:$Q$830,17,FALSE)</f>
        <v>#REF!</v>
      </c>
      <c r="S322" s="61" t="str">
        <f t="shared" si="59"/>
        <v>565</v>
      </c>
      <c r="T322" s="64" t="str">
        <f t="shared" si="58"/>
        <v>ESTADO DE SITUACIÓN FINANCIERA</v>
      </c>
      <c r="U322" s="64" t="str">
        <f t="shared" si="54"/>
        <v>PASIVO</v>
      </c>
      <c r="V322" s="64" t="str">
        <f t="shared" si="55"/>
        <v>PASIVOS NO CORRIENTES</v>
      </c>
      <c r="W322" s="64" t="str">
        <f t="shared" si="56"/>
        <v>OBLIGACIONES CON INSTITUCIONES FINANCIERAS - NO CORRIENTES</v>
      </c>
      <c r="X322" s="64" t="str">
        <f t="shared" si="60"/>
        <v>NO RELACIONADAS</v>
      </c>
      <c r="Y322" s="64" t="str">
        <f t="shared" si="61"/>
        <v>Locales</v>
      </c>
      <c r="Z322" s="64" t="str">
        <f t="shared" si="62"/>
        <v/>
      </c>
      <c r="AA322" s="64" t="str">
        <f t="shared" si="57"/>
        <v>OBLIGACIONES CON INSTITUCIONES FINANCIERAS - NO CORRIENTES_NO RELACIONADAS_Locales_</v>
      </c>
    </row>
    <row r="323" spans="1:27">
      <c r="A323" s="53"/>
      <c r="B323" s="53"/>
      <c r="C323" s="53"/>
      <c r="D323" s="53"/>
      <c r="E323" s="53"/>
      <c r="F323" s="235" t="s">
        <v>26</v>
      </c>
      <c r="G323" s="235"/>
      <c r="H323" s="235"/>
      <c r="I323" s="235"/>
      <c r="J323" s="235"/>
      <c r="K323" s="235"/>
      <c r="L323" s="235"/>
      <c r="M323" s="235"/>
      <c r="N323" s="9" t="s">
        <v>459</v>
      </c>
      <c r="O323" s="55" t="e">
        <f>VLOOKUP(N323,Casilleros!$A$4:$Q$830,17,FALSE)</f>
        <v>#REF!</v>
      </c>
      <c r="S323" s="61" t="str">
        <f t="shared" si="59"/>
        <v>566</v>
      </c>
      <c r="T323" s="64" t="str">
        <f t="shared" si="58"/>
        <v>ESTADO DE SITUACIÓN FINANCIERA</v>
      </c>
      <c r="U323" s="64" t="str">
        <f t="shared" si="54"/>
        <v>PASIVO</v>
      </c>
      <c r="V323" s="64" t="str">
        <f t="shared" si="55"/>
        <v>PASIVOS NO CORRIENTES</v>
      </c>
      <c r="W323" s="64" t="str">
        <f t="shared" si="56"/>
        <v>OBLIGACIONES CON INSTITUCIONES FINANCIERAS - NO CORRIENTES</v>
      </c>
      <c r="X323" s="64" t="str">
        <f t="shared" si="60"/>
        <v>NO RELACIONADAS</v>
      </c>
      <c r="Y323" s="64" t="str">
        <f t="shared" si="61"/>
        <v>Del exterior</v>
      </c>
      <c r="Z323" s="64" t="str">
        <f t="shared" si="62"/>
        <v/>
      </c>
      <c r="AA323" s="64" t="str">
        <f t="shared" si="57"/>
        <v>OBLIGACIONES CON INSTITUCIONES FINANCIERAS - NO CORRIENTES_NO RELACIONADAS_Del exterior_</v>
      </c>
    </row>
    <row r="324" spans="1:27">
      <c r="A324" s="53"/>
      <c r="B324" s="53"/>
      <c r="C324" s="53"/>
      <c r="D324" s="235" t="s">
        <v>460</v>
      </c>
      <c r="E324" s="235"/>
      <c r="F324" s="235"/>
      <c r="G324" s="235"/>
      <c r="H324" s="235"/>
      <c r="I324" s="235"/>
      <c r="J324" s="235"/>
      <c r="K324" s="235"/>
      <c r="L324" s="235"/>
      <c r="M324" s="235"/>
      <c r="N324" s="9" t="s">
        <v>461</v>
      </c>
      <c r="O324" s="55" t="e">
        <f>VLOOKUP(N324,Casilleros!$A$4:$Q$830,17,FALSE)</f>
        <v>#REF!</v>
      </c>
      <c r="S324" s="61" t="str">
        <f t="shared" si="59"/>
        <v>567</v>
      </c>
      <c r="T324" s="64" t="str">
        <f t="shared" si="58"/>
        <v>ESTADO DE SITUACIÓN FINANCIERA</v>
      </c>
      <c r="U324" s="64" t="str">
        <f t="shared" si="54"/>
        <v>PASIVO</v>
      </c>
      <c r="V324" s="64" t="str">
        <f t="shared" si="55"/>
        <v>PASIVOS NO CORRIENTES</v>
      </c>
      <c r="W324" s="64" t="str">
        <f t="shared" si="56"/>
        <v xml:space="preserve">Crédito a mutuo </v>
      </c>
      <c r="X324" s="64" t="str">
        <f t="shared" si="60"/>
        <v/>
      </c>
      <c r="Y324" s="64" t="str">
        <f t="shared" si="61"/>
        <v/>
      </c>
      <c r="Z324" s="64" t="str">
        <f t="shared" si="62"/>
        <v/>
      </c>
      <c r="AA324" s="64" t="str">
        <f t="shared" si="57"/>
        <v xml:space="preserve">Crédito a mutuo </v>
      </c>
    </row>
    <row r="325" spans="1:27">
      <c r="A325" s="53"/>
      <c r="B325" s="53"/>
      <c r="C325" s="53"/>
      <c r="D325" s="235" t="s">
        <v>462</v>
      </c>
      <c r="E325" s="235" t="s">
        <v>444</v>
      </c>
      <c r="F325" s="235" t="s">
        <v>444</v>
      </c>
      <c r="G325" s="235"/>
      <c r="H325" s="235"/>
      <c r="I325" s="235"/>
      <c r="J325" s="235"/>
      <c r="K325" s="235"/>
      <c r="L325" s="235"/>
      <c r="M325" s="235"/>
      <c r="N325" s="9" t="s">
        <v>463</v>
      </c>
      <c r="O325" s="55" t="e">
        <f>VLOOKUP(N325,Casilleros!$A$4:$Q$830,17,FALSE)</f>
        <v>#REF!</v>
      </c>
      <c r="S325" s="61" t="str">
        <f t="shared" si="59"/>
        <v>568</v>
      </c>
      <c r="T325" s="64" t="str">
        <f t="shared" si="58"/>
        <v>ESTADO DE SITUACIÓN FINANCIERA</v>
      </c>
      <c r="U325" s="64" t="str">
        <f t="shared" si="54"/>
        <v>PASIVO</v>
      </c>
      <c r="V325" s="64" t="str">
        <f t="shared" si="55"/>
        <v>PASIVOS NO CORRIENTES</v>
      </c>
      <c r="W325" s="64" t="str">
        <f t="shared" si="56"/>
        <v>Porción no corriente de obligaciones emitidas</v>
      </c>
      <c r="X325" s="64" t="str">
        <f t="shared" si="60"/>
        <v/>
      </c>
      <c r="Y325" s="64" t="str">
        <f t="shared" si="61"/>
        <v/>
      </c>
      <c r="Z325" s="64" t="str">
        <f t="shared" si="62"/>
        <v/>
      </c>
      <c r="AA325" s="64" t="str">
        <f t="shared" si="57"/>
        <v>Porción no corriente de obligaciones emitidas</v>
      </c>
    </row>
    <row r="326" spans="1:27">
      <c r="A326" s="53"/>
      <c r="B326" s="53"/>
      <c r="C326" s="53"/>
      <c r="D326" s="236" t="s">
        <v>464</v>
      </c>
      <c r="E326" s="236"/>
      <c r="F326" s="236"/>
      <c r="G326" s="236"/>
      <c r="H326" s="236"/>
      <c r="I326" s="236"/>
      <c r="J326" s="236"/>
      <c r="K326" s="236"/>
      <c r="L326" s="236"/>
      <c r="M326" s="236"/>
      <c r="N326" s="236"/>
      <c r="O326" s="236"/>
      <c r="S326" s="61">
        <f t="shared" si="59"/>
        <v>0</v>
      </c>
      <c r="T326" s="64" t="str">
        <f t="shared" si="58"/>
        <v>ESTADO DE SITUACIÓN FINANCIERA</v>
      </c>
      <c r="U326" s="64" t="str">
        <f t="shared" si="54"/>
        <v>PASIVO</v>
      </c>
      <c r="V326" s="64" t="str">
        <f t="shared" si="55"/>
        <v>PASIVOS NO CORRIENTES</v>
      </c>
      <c r="W326" s="64" t="str">
        <f t="shared" si="56"/>
        <v>OTROS PASIVOS FINANCIEROS NO CORRIENTES</v>
      </c>
      <c r="X326" s="64" t="str">
        <f t="shared" si="60"/>
        <v/>
      </c>
      <c r="Y326" s="64" t="str">
        <f t="shared" si="61"/>
        <v/>
      </c>
      <c r="Z326" s="64" t="str">
        <f t="shared" si="62"/>
        <v/>
      </c>
      <c r="AA326" s="64" t="str">
        <f t="shared" si="57"/>
        <v>OTROS PASIVOS FINANCIEROS NO CORRIENTES</v>
      </c>
    </row>
    <row r="327" spans="1:27">
      <c r="A327" s="53"/>
      <c r="B327" s="53"/>
      <c r="C327" s="53"/>
      <c r="D327" s="53"/>
      <c r="E327" s="235" t="s">
        <v>101</v>
      </c>
      <c r="F327" s="235"/>
      <c r="G327" s="235"/>
      <c r="H327" s="235"/>
      <c r="I327" s="235"/>
      <c r="J327" s="235"/>
      <c r="K327" s="235"/>
      <c r="L327" s="235"/>
      <c r="M327" s="235"/>
      <c r="N327" s="9" t="s">
        <v>465</v>
      </c>
      <c r="O327" s="55" t="e">
        <f>VLOOKUP(N327,Casilleros!$A$4:$Q$830,17,FALSE)</f>
        <v>#REF!</v>
      </c>
      <c r="S327" s="61" t="str">
        <f t="shared" si="59"/>
        <v>569</v>
      </c>
      <c r="T327" s="64" t="str">
        <f t="shared" si="58"/>
        <v>ESTADO DE SITUACIÓN FINANCIERA</v>
      </c>
      <c r="U327" s="64" t="str">
        <f t="shared" si="54"/>
        <v>PASIVO</v>
      </c>
      <c r="V327" s="64" t="str">
        <f t="shared" si="55"/>
        <v>PASIVOS NO CORRIENTES</v>
      </c>
      <c r="W327" s="64" t="str">
        <f t="shared" si="56"/>
        <v>OTROS PASIVOS FINANCIEROS NO CORRIENTES</v>
      </c>
      <c r="X327" s="64" t="str">
        <f t="shared" si="60"/>
        <v>A costo amortizado</v>
      </c>
      <c r="Y327" s="64" t="str">
        <f t="shared" si="61"/>
        <v/>
      </c>
      <c r="Z327" s="64" t="str">
        <f t="shared" si="62"/>
        <v/>
      </c>
      <c r="AA327" s="64" t="str">
        <f t="shared" si="57"/>
        <v>OTROS PASIVOS FINANCIEROS NO CORRIENTES_A costo amortizado__</v>
      </c>
    </row>
    <row r="328" spans="1:27">
      <c r="A328" s="53"/>
      <c r="B328" s="53"/>
      <c r="C328" s="53"/>
      <c r="D328" s="53"/>
      <c r="E328" s="235" t="s">
        <v>105</v>
      </c>
      <c r="F328" s="235" t="s">
        <v>444</v>
      </c>
      <c r="G328" s="235"/>
      <c r="H328" s="235"/>
      <c r="I328" s="235"/>
      <c r="J328" s="235"/>
      <c r="K328" s="235"/>
      <c r="L328" s="235"/>
      <c r="M328" s="235"/>
      <c r="N328" s="9" t="s">
        <v>466</v>
      </c>
      <c r="O328" s="55" t="e">
        <f>VLOOKUP(N328,Casilleros!$A$4:$Q$830,17,FALSE)</f>
        <v>#REF!</v>
      </c>
      <c r="S328" s="61" t="str">
        <f t="shared" si="59"/>
        <v>570</v>
      </c>
      <c r="T328" s="64" t="str">
        <f t="shared" si="58"/>
        <v>ESTADO DE SITUACIÓN FINANCIERA</v>
      </c>
      <c r="U328" s="64" t="str">
        <f t="shared" si="54"/>
        <v>PASIVO</v>
      </c>
      <c r="V328" s="64" t="str">
        <f t="shared" si="55"/>
        <v>PASIVOS NO CORRIENTES</v>
      </c>
      <c r="W328" s="64" t="str">
        <f t="shared" si="56"/>
        <v>OTROS PASIVOS FINANCIEROS NO CORRIENTES</v>
      </c>
      <c r="X328" s="64" t="str">
        <f t="shared" si="60"/>
        <v>A valor razonable</v>
      </c>
      <c r="Y328" s="64" t="str">
        <f t="shared" si="61"/>
        <v/>
      </c>
      <c r="Z328" s="64" t="str">
        <f t="shared" si="62"/>
        <v/>
      </c>
      <c r="AA328" s="64" t="str">
        <f t="shared" si="57"/>
        <v>OTROS PASIVOS FINANCIEROS NO CORRIENTES_A valor razonable__</v>
      </c>
    </row>
    <row r="329" spans="1:27">
      <c r="A329" s="53"/>
      <c r="B329" s="53"/>
      <c r="C329" s="53"/>
      <c r="D329" s="235" t="s">
        <v>467</v>
      </c>
      <c r="E329" s="235"/>
      <c r="F329" s="235"/>
      <c r="G329" s="235"/>
      <c r="H329" s="235"/>
      <c r="I329" s="235"/>
      <c r="J329" s="235"/>
      <c r="K329" s="235"/>
      <c r="L329" s="235"/>
      <c r="M329" s="235"/>
      <c r="N329" s="9" t="s">
        <v>468</v>
      </c>
      <c r="O329" s="74" t="e">
        <f>VLOOKUP(N329,Casilleros!$A$4:$Q$830,17,FALSE)</f>
        <v>#REF!</v>
      </c>
      <c r="S329" s="61" t="str">
        <f t="shared" si="59"/>
        <v>571</v>
      </c>
      <c r="T329" s="64" t="str">
        <f t="shared" si="58"/>
        <v>ESTADO DE SITUACIÓN FINANCIERA</v>
      </c>
      <c r="U329" s="64" t="str">
        <f t="shared" si="54"/>
        <v>PASIVO</v>
      </c>
      <c r="V329" s="64" t="str">
        <f t="shared" si="55"/>
        <v>PASIVOS NO CORRIENTES</v>
      </c>
      <c r="W329" s="64" t="str">
        <f t="shared" si="56"/>
        <v>Porción no corriente de arrendamientos financieros por pagar</v>
      </c>
      <c r="X329" s="64" t="str">
        <f t="shared" si="60"/>
        <v/>
      </c>
      <c r="Y329" s="64" t="str">
        <f t="shared" si="61"/>
        <v/>
      </c>
      <c r="Z329" s="64" t="str">
        <f t="shared" si="62"/>
        <v/>
      </c>
      <c r="AA329" s="64" t="str">
        <f t="shared" si="57"/>
        <v>Porción no corriente de arrendamientos financieros por pagar</v>
      </c>
    </row>
    <row r="330" spans="1:27">
      <c r="A330" s="53"/>
      <c r="B330" s="53"/>
      <c r="C330" s="53"/>
      <c r="D330" s="235" t="s">
        <v>469</v>
      </c>
      <c r="E330" s="235"/>
      <c r="F330" s="235"/>
      <c r="G330" s="235"/>
      <c r="H330" s="235"/>
      <c r="I330" s="235"/>
      <c r="J330" s="235"/>
      <c r="K330" s="235"/>
      <c r="L330" s="235"/>
      <c r="M330" s="235"/>
      <c r="N330" s="9" t="s">
        <v>470</v>
      </c>
      <c r="O330" s="55" t="e">
        <f>VLOOKUP(N330,Casilleros!$A$4:$Q$830,17,FALSE)</f>
        <v>#REF!</v>
      </c>
      <c r="S330" s="61" t="str">
        <f t="shared" si="59"/>
        <v>572</v>
      </c>
      <c r="T330" s="64" t="str">
        <f t="shared" si="58"/>
        <v>ESTADO DE SITUACIÓN FINANCIERA</v>
      </c>
      <c r="U330" s="64" t="str">
        <f t="shared" si="54"/>
        <v>PASIVO</v>
      </c>
      <c r="V330" s="64" t="str">
        <f t="shared" si="55"/>
        <v>PASIVOS NO CORRIENTES</v>
      </c>
      <c r="W330" s="64" t="str">
        <f t="shared" si="56"/>
        <v>Pasivo por Impuesto a la Renta diferido</v>
      </c>
      <c r="X330" s="64" t="str">
        <f t="shared" si="60"/>
        <v/>
      </c>
      <c r="Y330" s="64" t="str">
        <f t="shared" si="61"/>
        <v/>
      </c>
      <c r="Z330" s="64" t="str">
        <f t="shared" si="62"/>
        <v/>
      </c>
      <c r="AA330" s="64" t="str">
        <f t="shared" si="57"/>
        <v>Pasivo por Impuesto a la Renta diferido</v>
      </c>
    </row>
    <row r="331" spans="1:27">
      <c r="A331" s="53"/>
      <c r="B331" s="53"/>
      <c r="C331" s="53"/>
      <c r="D331" s="236" t="s">
        <v>471</v>
      </c>
      <c r="E331" s="236" t="s">
        <v>444</v>
      </c>
      <c r="F331" s="236" t="s">
        <v>444</v>
      </c>
      <c r="G331" s="236"/>
      <c r="H331" s="236"/>
      <c r="I331" s="236"/>
      <c r="J331" s="236"/>
      <c r="K331" s="236"/>
      <c r="L331" s="236"/>
      <c r="M331" s="236"/>
      <c r="N331" s="236"/>
      <c r="O331" s="236"/>
      <c r="S331" s="61">
        <f t="shared" si="59"/>
        <v>0</v>
      </c>
      <c r="T331" s="64" t="str">
        <f t="shared" si="58"/>
        <v>ESTADO DE SITUACIÓN FINANCIERA</v>
      </c>
      <c r="U331" s="64" t="str">
        <f t="shared" si="54"/>
        <v>PASIVO</v>
      </c>
      <c r="V331" s="64" t="str">
        <f t="shared" si="55"/>
        <v>PASIVOS NO CORRIENTES</v>
      </c>
      <c r="W331" s="64" t="str">
        <f t="shared" si="56"/>
        <v>PASIVOS NO CORRIENTES POR BENEFICIOS A LOS EMPLEADOS</v>
      </c>
      <c r="X331" s="64" t="str">
        <f t="shared" si="60"/>
        <v/>
      </c>
      <c r="Y331" s="64" t="str">
        <f t="shared" si="61"/>
        <v/>
      </c>
      <c r="Z331" s="64" t="str">
        <f t="shared" si="62"/>
        <v/>
      </c>
      <c r="AA331" s="64" t="str">
        <f t="shared" si="57"/>
        <v>PASIVOS NO CORRIENTES POR BENEFICIOS A LOS EMPLEADOS</v>
      </c>
    </row>
    <row r="332" spans="1:27">
      <c r="A332" s="53"/>
      <c r="B332" s="53"/>
      <c r="C332" s="53"/>
      <c r="D332" s="53"/>
      <c r="E332" s="235" t="s">
        <v>406</v>
      </c>
      <c r="F332" s="235"/>
      <c r="G332" s="235"/>
      <c r="H332" s="235"/>
      <c r="I332" s="235"/>
      <c r="J332" s="235"/>
      <c r="K332" s="235"/>
      <c r="L332" s="235"/>
      <c r="M332" s="235"/>
      <c r="N332" s="9" t="s">
        <v>472</v>
      </c>
      <c r="O332" s="55" t="e">
        <f>VLOOKUP(N332,Casilleros!$A$4:$Q$830,17,FALSE)</f>
        <v>#REF!</v>
      </c>
      <c r="S332" s="61" t="str">
        <f t="shared" si="59"/>
        <v>573</v>
      </c>
      <c r="T332" s="64" t="str">
        <f t="shared" si="58"/>
        <v>ESTADO DE SITUACIÓN FINANCIERA</v>
      </c>
      <c r="U332" s="64" t="str">
        <f t="shared" si="54"/>
        <v>PASIVO</v>
      </c>
      <c r="V332" s="64" t="str">
        <f t="shared" si="55"/>
        <v>PASIVOS NO CORRIENTES</v>
      </c>
      <c r="W332" s="64" t="str">
        <f t="shared" si="56"/>
        <v>PASIVOS NO CORRIENTES POR BENEFICIOS A LOS EMPLEADOS</v>
      </c>
      <c r="X332" s="64" t="str">
        <f t="shared" si="60"/>
        <v>Jubilación Patronal</v>
      </c>
      <c r="Y332" s="64" t="str">
        <f t="shared" si="61"/>
        <v/>
      </c>
      <c r="Z332" s="64" t="str">
        <f t="shared" si="62"/>
        <v/>
      </c>
      <c r="AA332" s="64" t="str">
        <f t="shared" si="57"/>
        <v>PASIVOS NO CORRIENTES POR BENEFICIOS A LOS EMPLEADOS_Jubilación Patronal__</v>
      </c>
    </row>
    <row r="333" spans="1:27">
      <c r="A333" s="53"/>
      <c r="B333" s="53"/>
      <c r="C333" s="53"/>
      <c r="D333" s="53"/>
      <c r="E333" s="235" t="s">
        <v>473</v>
      </c>
      <c r="F333" s="235"/>
      <c r="G333" s="235"/>
      <c r="H333" s="235"/>
      <c r="I333" s="235"/>
      <c r="J333" s="235"/>
      <c r="K333" s="235"/>
      <c r="L333" s="235"/>
      <c r="M333" s="235"/>
      <c r="N333" s="9" t="s">
        <v>474</v>
      </c>
      <c r="O333" s="55" t="e">
        <f>VLOOKUP(N333,Casilleros!$A$4:$Q$830,17,FALSE)</f>
        <v>#REF!</v>
      </c>
      <c r="S333" s="61" t="str">
        <f t="shared" si="59"/>
        <v>574</v>
      </c>
      <c r="T333" s="64" t="str">
        <f t="shared" si="58"/>
        <v>ESTADO DE SITUACIÓN FINANCIERA</v>
      </c>
      <c r="U333" s="64" t="str">
        <f t="shared" si="54"/>
        <v>PASIVO</v>
      </c>
      <c r="V333" s="64" t="str">
        <f t="shared" si="55"/>
        <v>PASIVOS NO CORRIENTES</v>
      </c>
      <c r="W333" s="64" t="str">
        <f t="shared" si="56"/>
        <v>PASIVOS NO CORRIENTES POR BENEFICIOS A LOS EMPLEADOS</v>
      </c>
      <c r="X333" s="64" t="str">
        <f t="shared" si="60"/>
        <v>Desahucio</v>
      </c>
      <c r="Y333" s="64" t="str">
        <f t="shared" si="61"/>
        <v/>
      </c>
      <c r="Z333" s="64" t="str">
        <f t="shared" si="62"/>
        <v/>
      </c>
      <c r="AA333" s="64" t="str">
        <f t="shared" si="57"/>
        <v>PASIVOS NO CORRIENTES POR BENEFICIOS A LOS EMPLEADOS_Desahucio__</v>
      </c>
    </row>
    <row r="334" spans="1:27">
      <c r="A334" s="53"/>
      <c r="B334" s="53"/>
      <c r="C334" s="53"/>
      <c r="D334" s="53"/>
      <c r="E334" s="235" t="s">
        <v>475</v>
      </c>
      <c r="F334" s="235"/>
      <c r="G334" s="235"/>
      <c r="H334" s="235"/>
      <c r="I334" s="235"/>
      <c r="J334" s="235"/>
      <c r="K334" s="235"/>
      <c r="L334" s="235"/>
      <c r="M334" s="235"/>
      <c r="N334" s="9" t="s">
        <v>476</v>
      </c>
      <c r="O334" s="55" t="e">
        <f>VLOOKUP(N334,Casilleros!$A$4:$Q$830,17,FALSE)</f>
        <v>#REF!</v>
      </c>
      <c r="S334" s="61" t="str">
        <f t="shared" si="59"/>
        <v>575</v>
      </c>
      <c r="T334" s="64" t="str">
        <f t="shared" si="58"/>
        <v>ESTADO DE SITUACIÓN FINANCIERA</v>
      </c>
      <c r="U334" s="64" t="str">
        <f t="shared" si="54"/>
        <v>PASIVO</v>
      </c>
      <c r="V334" s="64" t="str">
        <f t="shared" si="55"/>
        <v>PASIVOS NO CORRIENTES</v>
      </c>
      <c r="W334" s="64" t="str">
        <f t="shared" si="56"/>
        <v>PASIVOS NO CORRIENTES POR BENEFICIOS A LOS EMPLEADOS</v>
      </c>
      <c r="X334" s="64" t="str">
        <f t="shared" si="60"/>
        <v>Otros Pasivos No Corrientes Por Beneficios A Empleados</v>
      </c>
      <c r="Y334" s="64" t="str">
        <f t="shared" si="61"/>
        <v/>
      </c>
      <c r="Z334" s="64" t="str">
        <f t="shared" si="62"/>
        <v/>
      </c>
      <c r="AA334" s="64" t="str">
        <f t="shared" si="57"/>
        <v>PASIVOS NO CORRIENTES POR BENEFICIOS A LOS EMPLEADOS_Otros Pasivos No Corrientes Por Beneficios A Empleados__</v>
      </c>
    </row>
    <row r="335" spans="1:27">
      <c r="A335" s="53"/>
      <c r="B335" s="53"/>
      <c r="C335" s="53"/>
      <c r="D335" s="236" t="s">
        <v>477</v>
      </c>
      <c r="E335" s="236"/>
      <c r="F335" s="236"/>
      <c r="G335" s="236"/>
      <c r="H335" s="236"/>
      <c r="I335" s="236"/>
      <c r="J335" s="236"/>
      <c r="K335" s="236"/>
      <c r="L335" s="236"/>
      <c r="M335" s="236"/>
      <c r="N335" s="236"/>
      <c r="O335" s="236"/>
      <c r="S335" s="61">
        <f t="shared" si="59"/>
        <v>0</v>
      </c>
      <c r="T335" s="64" t="str">
        <f t="shared" si="58"/>
        <v>ESTADO DE SITUACIÓN FINANCIERA</v>
      </c>
      <c r="U335" s="64" t="str">
        <f t="shared" si="54"/>
        <v>PASIVO</v>
      </c>
      <c r="V335" s="64" t="str">
        <f t="shared" si="55"/>
        <v>PASIVOS NO CORRIENTES</v>
      </c>
      <c r="W335" s="64" t="str">
        <f t="shared" si="56"/>
        <v>PROVISIONES NO CORRIENTES</v>
      </c>
      <c r="X335" s="64" t="str">
        <f t="shared" si="60"/>
        <v/>
      </c>
      <c r="Y335" s="64" t="str">
        <f t="shared" si="61"/>
        <v/>
      </c>
      <c r="Z335" s="64" t="str">
        <f t="shared" si="62"/>
        <v/>
      </c>
      <c r="AA335" s="64" t="str">
        <f t="shared" si="57"/>
        <v>PROVISIONES NO CORRIENTES</v>
      </c>
    </row>
    <row r="336" spans="1:27">
      <c r="A336" s="53"/>
      <c r="B336" s="53"/>
      <c r="C336" s="53"/>
      <c r="D336" s="53"/>
      <c r="E336" s="235" t="s">
        <v>411</v>
      </c>
      <c r="F336" s="235"/>
      <c r="G336" s="235"/>
      <c r="H336" s="235"/>
      <c r="I336" s="235"/>
      <c r="J336" s="235"/>
      <c r="K336" s="235"/>
      <c r="L336" s="235"/>
      <c r="M336" s="235"/>
      <c r="N336" s="9" t="s">
        <v>478</v>
      </c>
      <c r="O336" s="55" t="e">
        <f>VLOOKUP(N336,Casilleros!$A$4:$Q$830,17,FALSE)</f>
        <v>#REF!</v>
      </c>
      <c r="S336" s="61" t="str">
        <f t="shared" si="59"/>
        <v>576</v>
      </c>
      <c r="T336" s="64" t="str">
        <f t="shared" si="58"/>
        <v>ESTADO DE SITUACIÓN FINANCIERA</v>
      </c>
      <c r="U336" s="64" t="str">
        <f t="shared" si="54"/>
        <v>PASIVO</v>
      </c>
      <c r="V336" s="64" t="str">
        <f t="shared" si="55"/>
        <v>PASIVOS NO CORRIENTES</v>
      </c>
      <c r="W336" s="64" t="str">
        <f t="shared" si="56"/>
        <v>PROVISIONES NO CORRIENTES</v>
      </c>
      <c r="X336" s="64" t="str">
        <f t="shared" si="60"/>
        <v>Por garantías</v>
      </c>
      <c r="Y336" s="64" t="str">
        <f t="shared" si="61"/>
        <v/>
      </c>
      <c r="Z336" s="64" t="str">
        <f t="shared" si="62"/>
        <v/>
      </c>
      <c r="AA336" s="64" t="str">
        <f t="shared" si="57"/>
        <v>PROVISIONES NO CORRIENTES_Por garantías__</v>
      </c>
    </row>
    <row r="337" spans="1:27">
      <c r="A337" s="53"/>
      <c r="B337" s="53"/>
      <c r="C337" s="53"/>
      <c r="D337" s="53"/>
      <c r="E337" s="235" t="s">
        <v>413</v>
      </c>
      <c r="F337" s="235"/>
      <c r="G337" s="235"/>
      <c r="H337" s="235"/>
      <c r="I337" s="235"/>
      <c r="J337" s="235"/>
      <c r="K337" s="235"/>
      <c r="L337" s="235"/>
      <c r="M337" s="235"/>
      <c r="N337" s="9" t="s">
        <v>479</v>
      </c>
      <c r="O337" s="55" t="e">
        <f>VLOOKUP(N337,Casilleros!$A$4:$Q$830,17,FALSE)</f>
        <v>#REF!</v>
      </c>
      <c r="S337" s="61" t="str">
        <f t="shared" si="59"/>
        <v>577</v>
      </c>
      <c r="T337" s="64" t="str">
        <f t="shared" si="58"/>
        <v>ESTADO DE SITUACIÓN FINANCIERA</v>
      </c>
      <c r="U337" s="64" t="str">
        <f t="shared" si="54"/>
        <v>PASIVO</v>
      </c>
      <c r="V337" s="64" t="str">
        <f t="shared" si="55"/>
        <v>PASIVOS NO CORRIENTES</v>
      </c>
      <c r="W337" s="64" t="str">
        <f t="shared" si="56"/>
        <v>PROVISIONES NO CORRIENTES</v>
      </c>
      <c r="X337" s="64" t="str">
        <f t="shared" si="60"/>
        <v>Por desmantelamiento</v>
      </c>
      <c r="Y337" s="64" t="str">
        <f t="shared" si="61"/>
        <v/>
      </c>
      <c r="Z337" s="64" t="str">
        <f t="shared" si="62"/>
        <v/>
      </c>
      <c r="AA337" s="64" t="str">
        <f t="shared" si="57"/>
        <v>PROVISIONES NO CORRIENTES_Por desmantelamiento__</v>
      </c>
    </row>
    <row r="338" spans="1:27">
      <c r="A338" s="53"/>
      <c r="B338" s="53"/>
      <c r="C338" s="53"/>
      <c r="D338" s="53"/>
      <c r="E338" s="235" t="s">
        <v>415</v>
      </c>
      <c r="F338" s="235"/>
      <c r="G338" s="235"/>
      <c r="H338" s="235"/>
      <c r="I338" s="235"/>
      <c r="J338" s="235"/>
      <c r="K338" s="235"/>
      <c r="L338" s="235"/>
      <c r="M338" s="235"/>
      <c r="N338" s="9" t="s">
        <v>480</v>
      </c>
      <c r="O338" s="55" t="e">
        <f>VLOOKUP(N338,Casilleros!$A$4:$Q$830,17,FALSE)</f>
        <v>#REF!</v>
      </c>
      <c r="S338" s="61" t="str">
        <f t="shared" si="59"/>
        <v>578</v>
      </c>
      <c r="T338" s="64" t="str">
        <f t="shared" si="58"/>
        <v>ESTADO DE SITUACIÓN FINANCIERA</v>
      </c>
      <c r="U338" s="64" t="str">
        <f t="shared" si="54"/>
        <v>PASIVO</v>
      </c>
      <c r="V338" s="64" t="str">
        <f t="shared" si="55"/>
        <v>PASIVOS NO CORRIENTES</v>
      </c>
      <c r="W338" s="64" t="str">
        <f t="shared" si="56"/>
        <v>PROVISIONES NO CORRIENTES</v>
      </c>
      <c r="X338" s="64" t="str">
        <f t="shared" si="60"/>
        <v>Por contratos onerosos</v>
      </c>
      <c r="Y338" s="64" t="str">
        <f t="shared" si="61"/>
        <v/>
      </c>
      <c r="Z338" s="64" t="str">
        <f t="shared" si="62"/>
        <v/>
      </c>
      <c r="AA338" s="64" t="str">
        <f t="shared" si="57"/>
        <v>PROVISIONES NO CORRIENTES_Por contratos onerosos__</v>
      </c>
    </row>
    <row r="339" spans="1:27">
      <c r="A339" s="53"/>
      <c r="B339" s="53"/>
      <c r="C339" s="53"/>
      <c r="D339" s="53"/>
      <c r="E339" s="235" t="s">
        <v>417</v>
      </c>
      <c r="F339" s="235"/>
      <c r="G339" s="235"/>
      <c r="H339" s="235"/>
      <c r="I339" s="235"/>
      <c r="J339" s="235"/>
      <c r="K339" s="235"/>
      <c r="L339" s="235"/>
      <c r="M339" s="235"/>
      <c r="N339" s="9" t="s">
        <v>481</v>
      </c>
      <c r="O339" s="55" t="e">
        <f>VLOOKUP(N339,Casilleros!$A$4:$Q$830,17,FALSE)</f>
        <v>#REF!</v>
      </c>
      <c r="S339" s="61" t="str">
        <f t="shared" si="59"/>
        <v>579</v>
      </c>
      <c r="T339" s="64" t="str">
        <f t="shared" si="58"/>
        <v>ESTADO DE SITUACIÓN FINANCIERA</v>
      </c>
      <c r="U339" s="64" t="str">
        <f t="shared" si="54"/>
        <v>PASIVO</v>
      </c>
      <c r="V339" s="64" t="str">
        <f t="shared" si="55"/>
        <v>PASIVOS NO CORRIENTES</v>
      </c>
      <c r="W339" s="64" t="str">
        <f t="shared" si="56"/>
        <v>PROVISIONES NO CORRIENTES</v>
      </c>
      <c r="X339" s="64" t="str">
        <f t="shared" si="60"/>
        <v>Por reestructuraciones de negocios</v>
      </c>
      <c r="Y339" s="64" t="str">
        <f t="shared" si="61"/>
        <v/>
      </c>
      <c r="Z339" s="64" t="str">
        <f t="shared" si="62"/>
        <v/>
      </c>
      <c r="AA339" s="64" t="str">
        <f t="shared" si="57"/>
        <v>PROVISIONES NO CORRIENTES_Por reestructuraciones de negocios__</v>
      </c>
    </row>
    <row r="340" spans="1:27">
      <c r="A340" s="53"/>
      <c r="B340" s="53"/>
      <c r="C340" s="53"/>
      <c r="D340" s="53"/>
      <c r="E340" s="235" t="s">
        <v>419</v>
      </c>
      <c r="F340" s="235"/>
      <c r="G340" s="235"/>
      <c r="H340" s="235"/>
      <c r="I340" s="235"/>
      <c r="J340" s="235"/>
      <c r="K340" s="235"/>
      <c r="L340" s="235"/>
      <c r="M340" s="235"/>
      <c r="N340" s="9" t="s">
        <v>482</v>
      </c>
      <c r="O340" s="55" t="e">
        <f>VLOOKUP(N340,Casilleros!$A$4:$Q$830,17,FALSE)</f>
        <v>#REF!</v>
      </c>
      <c r="S340" s="61" t="str">
        <f t="shared" si="59"/>
        <v>580</v>
      </c>
      <c r="T340" s="64" t="str">
        <f t="shared" si="58"/>
        <v>ESTADO DE SITUACIÓN FINANCIERA</v>
      </c>
      <c r="U340" s="64" t="str">
        <f t="shared" si="54"/>
        <v>PASIVO</v>
      </c>
      <c r="V340" s="64" t="str">
        <f t="shared" si="55"/>
        <v>PASIVOS NO CORRIENTES</v>
      </c>
      <c r="W340" s="64" t="str">
        <f t="shared" si="56"/>
        <v>PROVISIONES NO CORRIENTES</v>
      </c>
      <c r="X340" s="64" t="str">
        <f t="shared" si="60"/>
        <v>Por reembolsos a clientes</v>
      </c>
      <c r="Y340" s="64" t="str">
        <f t="shared" si="61"/>
        <v/>
      </c>
      <c r="Z340" s="64" t="str">
        <f t="shared" si="62"/>
        <v/>
      </c>
      <c r="AA340" s="64" t="str">
        <f t="shared" si="57"/>
        <v>PROVISIONES NO CORRIENTES_Por reembolsos a clientes__</v>
      </c>
    </row>
    <row r="341" spans="1:27">
      <c r="A341" s="53"/>
      <c r="B341" s="53"/>
      <c r="C341" s="53"/>
      <c r="D341" s="53"/>
      <c r="E341" s="235" t="s">
        <v>421</v>
      </c>
      <c r="F341" s="235"/>
      <c r="G341" s="235"/>
      <c r="H341" s="235"/>
      <c r="I341" s="235"/>
      <c r="J341" s="235"/>
      <c r="K341" s="235"/>
      <c r="L341" s="235"/>
      <c r="M341" s="235"/>
      <c r="N341" s="9" t="s">
        <v>483</v>
      </c>
      <c r="O341" s="55" t="e">
        <f>VLOOKUP(N341,Casilleros!$A$4:$Q$830,17,FALSE)</f>
        <v>#REF!</v>
      </c>
      <c r="S341" s="61" t="str">
        <f t="shared" si="59"/>
        <v>581</v>
      </c>
      <c r="T341" s="64" t="str">
        <f t="shared" si="58"/>
        <v>ESTADO DE SITUACIÓN FINANCIERA</v>
      </c>
      <c r="U341" s="64" t="str">
        <f t="shared" si="54"/>
        <v>PASIVO</v>
      </c>
      <c r="V341" s="64" t="str">
        <f t="shared" si="55"/>
        <v>PASIVOS NO CORRIENTES</v>
      </c>
      <c r="W341" s="64" t="str">
        <f t="shared" si="56"/>
        <v>PROVISIONES NO CORRIENTES</v>
      </c>
      <c r="X341" s="64" t="str">
        <f t="shared" si="60"/>
        <v>Por litigios</v>
      </c>
      <c r="Y341" s="64" t="str">
        <f t="shared" si="61"/>
        <v/>
      </c>
      <c r="Z341" s="64" t="str">
        <f t="shared" si="62"/>
        <v/>
      </c>
      <c r="AA341" s="64" t="str">
        <f t="shared" si="57"/>
        <v>PROVISIONES NO CORRIENTES_Por litigios__</v>
      </c>
    </row>
    <row r="342" spans="1:27">
      <c r="A342" s="53"/>
      <c r="B342" s="53"/>
      <c r="C342" s="53"/>
      <c r="D342" s="53"/>
      <c r="E342" s="235" t="s">
        <v>423</v>
      </c>
      <c r="F342" s="235"/>
      <c r="G342" s="235"/>
      <c r="H342" s="235"/>
      <c r="I342" s="235"/>
      <c r="J342" s="235"/>
      <c r="K342" s="235"/>
      <c r="L342" s="235"/>
      <c r="M342" s="235"/>
      <c r="N342" s="9" t="s">
        <v>484</v>
      </c>
      <c r="O342" s="55" t="e">
        <f>VLOOKUP(N342,Casilleros!$A$4:$Q$830,17,FALSE)</f>
        <v>#REF!</v>
      </c>
      <c r="S342" s="61" t="str">
        <f t="shared" si="59"/>
        <v>582</v>
      </c>
      <c r="T342" s="64" t="str">
        <f t="shared" si="58"/>
        <v>ESTADO DE SITUACIÓN FINANCIERA</v>
      </c>
      <c r="U342" s="64" t="str">
        <f t="shared" si="54"/>
        <v>PASIVO</v>
      </c>
      <c r="V342" s="64" t="str">
        <f t="shared" si="55"/>
        <v>PASIVOS NO CORRIENTES</v>
      </c>
      <c r="W342" s="64" t="str">
        <f t="shared" si="56"/>
        <v>PROVISIONES NO CORRIENTES</v>
      </c>
      <c r="X342" s="64" t="str">
        <f t="shared" si="60"/>
        <v>Por pasivos contingentes asumidos en una combinación de negocios</v>
      </c>
      <c r="Y342" s="64" t="str">
        <f t="shared" si="61"/>
        <v/>
      </c>
      <c r="Z342" s="64" t="str">
        <f t="shared" si="62"/>
        <v/>
      </c>
      <c r="AA342" s="64" t="str">
        <f t="shared" si="57"/>
        <v>PROVISIONES NO CORRIENTES_Por pasivos contingentes asumidos en una combinación de negocios__</v>
      </c>
    </row>
    <row r="343" spans="1:27">
      <c r="A343" s="53"/>
      <c r="B343" s="53"/>
      <c r="C343" s="53"/>
      <c r="D343" s="53"/>
      <c r="E343" s="235" t="s">
        <v>425</v>
      </c>
      <c r="F343" s="235"/>
      <c r="G343" s="235"/>
      <c r="H343" s="235"/>
      <c r="I343" s="235"/>
      <c r="J343" s="235"/>
      <c r="K343" s="235"/>
      <c r="L343" s="235"/>
      <c r="M343" s="235"/>
      <c r="N343" s="9" t="s">
        <v>485</v>
      </c>
      <c r="O343" s="55" t="e">
        <f>VLOOKUP(N343,Casilleros!$A$4:$Q$830,17,FALSE)</f>
        <v>#REF!</v>
      </c>
      <c r="S343" s="61" t="str">
        <f t="shared" si="59"/>
        <v>583</v>
      </c>
      <c r="T343" s="64" t="str">
        <f t="shared" si="58"/>
        <v>ESTADO DE SITUACIÓN FINANCIERA</v>
      </c>
      <c r="U343" s="64" t="str">
        <f t="shared" si="54"/>
        <v>PASIVO</v>
      </c>
      <c r="V343" s="64" t="str">
        <f t="shared" si="55"/>
        <v>PASIVOS NO CORRIENTES</v>
      </c>
      <c r="W343" s="64" t="str">
        <f t="shared" si="56"/>
        <v>PROVISIONES NO CORRIENTES</v>
      </c>
      <c r="X343" s="64" t="str">
        <f t="shared" si="60"/>
        <v>Otras</v>
      </c>
      <c r="Y343" s="64" t="str">
        <f t="shared" si="61"/>
        <v/>
      </c>
      <c r="Z343" s="64" t="str">
        <f t="shared" si="62"/>
        <v/>
      </c>
      <c r="AA343" s="64" t="str">
        <f t="shared" si="57"/>
        <v>PROVISIONES NO CORRIENTES_Otras__</v>
      </c>
    </row>
    <row r="344" spans="1:27">
      <c r="A344" s="53"/>
      <c r="B344" s="53"/>
      <c r="C344" s="53"/>
      <c r="D344" s="236" t="s">
        <v>427</v>
      </c>
      <c r="E344" s="236" t="s">
        <v>444</v>
      </c>
      <c r="F344" s="236"/>
      <c r="G344" s="236"/>
      <c r="H344" s="236"/>
      <c r="I344" s="236"/>
      <c r="J344" s="236"/>
      <c r="K344" s="236"/>
      <c r="L344" s="236"/>
      <c r="M344" s="236"/>
      <c r="N344" s="236"/>
      <c r="O344" s="236"/>
      <c r="S344" s="61">
        <f t="shared" si="59"/>
        <v>0</v>
      </c>
      <c r="T344" s="64" t="str">
        <f t="shared" si="58"/>
        <v>ESTADO DE SITUACIÓN FINANCIERA</v>
      </c>
      <c r="U344" s="64" t="str">
        <f t="shared" si="54"/>
        <v>PASIVO</v>
      </c>
      <c r="V344" s="64" t="str">
        <f t="shared" si="55"/>
        <v>PASIVOS NO CORRIENTES</v>
      </c>
      <c r="W344" s="64" t="str">
        <f t="shared" si="56"/>
        <v>PASIVOS POR INGRESOS DIFERIDOS</v>
      </c>
      <c r="X344" s="64" t="str">
        <f t="shared" si="60"/>
        <v/>
      </c>
      <c r="Y344" s="64" t="str">
        <f t="shared" si="61"/>
        <v/>
      </c>
      <c r="Z344" s="64" t="str">
        <f t="shared" si="62"/>
        <v/>
      </c>
      <c r="AA344" s="64" t="str">
        <f t="shared" si="57"/>
        <v>PASIVOS POR INGRESOS DIFERIDOS</v>
      </c>
    </row>
    <row r="345" spans="1:27">
      <c r="A345" s="53"/>
      <c r="B345" s="53"/>
      <c r="C345" s="53"/>
      <c r="D345" s="53"/>
      <c r="E345" s="235" t="s">
        <v>428</v>
      </c>
      <c r="F345" s="235"/>
      <c r="G345" s="235"/>
      <c r="H345" s="235"/>
      <c r="I345" s="235"/>
      <c r="J345" s="235"/>
      <c r="K345" s="235"/>
      <c r="L345" s="235"/>
      <c r="M345" s="235"/>
      <c r="N345" s="9" t="s">
        <v>486</v>
      </c>
      <c r="O345" s="55" t="e">
        <f>VLOOKUP(N345,Casilleros!$A$4:$Q$830,17,FALSE)</f>
        <v>#REF!</v>
      </c>
      <c r="S345" s="61" t="str">
        <f t="shared" si="59"/>
        <v>584</v>
      </c>
      <c r="T345" s="64" t="str">
        <f t="shared" si="58"/>
        <v>ESTADO DE SITUACIÓN FINANCIERA</v>
      </c>
      <c r="U345" s="64" t="str">
        <f t="shared" si="54"/>
        <v>PASIVO</v>
      </c>
      <c r="V345" s="64" t="str">
        <f t="shared" si="55"/>
        <v>PASIVOS NO CORRIENTES</v>
      </c>
      <c r="W345" s="64" t="str">
        <f t="shared" si="56"/>
        <v>PASIVOS POR INGRESOS DIFERIDOS</v>
      </c>
      <c r="X345" s="64" t="str">
        <f t="shared" si="60"/>
        <v>Anticipos de clientes</v>
      </c>
      <c r="Y345" s="64" t="str">
        <f t="shared" si="61"/>
        <v/>
      </c>
      <c r="Z345" s="64" t="str">
        <f t="shared" si="62"/>
        <v/>
      </c>
      <c r="AA345" s="64" t="str">
        <f t="shared" si="57"/>
        <v>PASIVOS POR INGRESOS DIFERIDOS_Anticipos de clientes__</v>
      </c>
    </row>
    <row r="346" spans="1:27">
      <c r="A346" s="53"/>
      <c r="B346" s="53"/>
      <c r="C346" s="53"/>
      <c r="D346" s="53"/>
      <c r="E346" s="235" t="s">
        <v>487</v>
      </c>
      <c r="F346" s="235"/>
      <c r="G346" s="235"/>
      <c r="H346" s="235"/>
      <c r="I346" s="235"/>
      <c r="J346" s="235"/>
      <c r="K346" s="235"/>
      <c r="L346" s="235"/>
      <c r="M346" s="235"/>
      <c r="N346" s="9" t="s">
        <v>488</v>
      </c>
      <c r="O346" s="55" t="e">
        <f>VLOOKUP(N346,Casilleros!$A$4:$Q$830,17,FALSE)</f>
        <v>#REF!</v>
      </c>
      <c r="S346" s="61" t="str">
        <f t="shared" si="59"/>
        <v>585</v>
      </c>
      <c r="T346" s="64" t="str">
        <f t="shared" si="58"/>
        <v>ESTADO DE SITUACIÓN FINANCIERA</v>
      </c>
      <c r="U346" s="64" t="str">
        <f t="shared" si="54"/>
        <v>PASIVO</v>
      </c>
      <c r="V346" s="64" t="str">
        <f t="shared" si="55"/>
        <v>PASIVOS NO CORRIENTES</v>
      </c>
      <c r="W346" s="64" t="str">
        <f t="shared" si="56"/>
        <v>PASIVOS POR INGRESOS DIFERIDOS</v>
      </c>
      <c r="X346" s="64" t="str">
        <f t="shared" si="60"/>
        <v>Subvenciones del gobierno</v>
      </c>
      <c r="Y346" s="64" t="str">
        <f t="shared" si="61"/>
        <v/>
      </c>
      <c r="Z346" s="64" t="str">
        <f t="shared" si="62"/>
        <v/>
      </c>
      <c r="AA346" s="64" t="str">
        <f t="shared" si="57"/>
        <v>PASIVOS POR INGRESOS DIFERIDOS_Subvenciones del gobierno__</v>
      </c>
    </row>
    <row r="347" spans="1:27">
      <c r="A347" s="53"/>
      <c r="B347" s="53"/>
      <c r="C347" s="53"/>
      <c r="D347" s="53"/>
      <c r="E347" s="235" t="s">
        <v>122</v>
      </c>
      <c r="F347" s="235"/>
      <c r="G347" s="235"/>
      <c r="H347" s="235"/>
      <c r="I347" s="235"/>
      <c r="J347" s="235"/>
      <c r="K347" s="235"/>
      <c r="L347" s="235"/>
      <c r="M347" s="235"/>
      <c r="N347" s="9" t="s">
        <v>489</v>
      </c>
      <c r="O347" s="55" t="e">
        <f>VLOOKUP(N347,Casilleros!$A$4:$Q$830,17,FALSE)</f>
        <v>#REF!</v>
      </c>
      <c r="S347" s="61" t="str">
        <f t="shared" si="59"/>
        <v>586</v>
      </c>
      <c r="T347" s="64" t="str">
        <f t="shared" si="58"/>
        <v>ESTADO DE SITUACIÓN FINANCIERA</v>
      </c>
      <c r="U347" s="64" t="str">
        <f t="shared" si="54"/>
        <v>PASIVO</v>
      </c>
      <c r="V347" s="64" t="str">
        <f t="shared" si="55"/>
        <v>PASIVOS NO CORRIENTES</v>
      </c>
      <c r="W347" s="64" t="str">
        <f t="shared" si="56"/>
        <v>PASIVOS POR INGRESOS DIFERIDOS</v>
      </c>
      <c r="X347" s="64" t="str">
        <f t="shared" si="60"/>
        <v>Otros</v>
      </c>
      <c r="Y347" s="64" t="str">
        <f t="shared" si="61"/>
        <v/>
      </c>
      <c r="Z347" s="64" t="str">
        <f t="shared" si="62"/>
        <v/>
      </c>
      <c r="AA347" s="64" t="str">
        <f t="shared" si="57"/>
        <v>PASIVOS POR INGRESOS DIFERIDOS_Otros__</v>
      </c>
    </row>
    <row r="348" spans="1:27">
      <c r="A348" s="53"/>
      <c r="B348" s="53"/>
      <c r="C348" s="53"/>
      <c r="D348" s="236" t="s">
        <v>490</v>
      </c>
      <c r="E348" s="236" t="s">
        <v>444</v>
      </c>
      <c r="F348" s="236"/>
      <c r="G348" s="236"/>
      <c r="H348" s="236"/>
      <c r="I348" s="236"/>
      <c r="J348" s="236"/>
      <c r="K348" s="236"/>
      <c r="L348" s="236"/>
      <c r="M348" s="236"/>
      <c r="N348" s="236"/>
      <c r="O348" s="236"/>
      <c r="S348" s="61">
        <f t="shared" si="59"/>
        <v>0</v>
      </c>
      <c r="T348" s="64" t="str">
        <f t="shared" si="58"/>
        <v>ESTADO DE SITUACIÓN FINANCIERA</v>
      </c>
      <c r="U348" s="64" t="str">
        <f t="shared" ref="U348:U388" si="63">IF(T347&lt;&gt;T348,"",(IF(B348&lt;&gt;"",B348,U347)))</f>
        <v>PASIVO</v>
      </c>
      <c r="V348" s="64" t="str">
        <f t="shared" ref="V348:V411" si="64">IF(U347&lt;&gt;U348,"",(IF(C348&lt;&gt;"",C348,V347)))</f>
        <v>PASIVOS NO CORRIENTES</v>
      </c>
      <c r="W348" s="64" t="str">
        <f t="shared" ref="W348:W411" si="65">IF(V347&lt;&gt;V348,"",(IF(D348&lt;&gt;"",D348,W347)))</f>
        <v>OTROS PASIVOS NO CORRIENTES</v>
      </c>
      <c r="X348" s="64" t="str">
        <f t="shared" si="60"/>
        <v/>
      </c>
      <c r="Y348" s="64" t="str">
        <f t="shared" si="61"/>
        <v/>
      </c>
      <c r="Z348" s="64" t="str">
        <f t="shared" si="62"/>
        <v/>
      </c>
      <c r="AA348" s="64" t="str">
        <f>IF(X348&lt;&gt;"",CONCATENATE(W348,"_",X348,"_",Y348,"_",Z348),W348)</f>
        <v>OTROS PASIVOS NO CORRIENTES</v>
      </c>
    </row>
    <row r="349" spans="1:27">
      <c r="A349" s="53"/>
      <c r="B349" s="53"/>
      <c r="C349" s="53"/>
      <c r="D349" s="53"/>
      <c r="E349" s="235" t="s">
        <v>434</v>
      </c>
      <c r="F349" s="235"/>
      <c r="G349" s="235"/>
      <c r="H349" s="235"/>
      <c r="I349" s="235"/>
      <c r="J349" s="235"/>
      <c r="K349" s="235"/>
      <c r="L349" s="235"/>
      <c r="M349" s="235"/>
      <c r="N349" s="9" t="s">
        <v>491</v>
      </c>
      <c r="O349" s="55" t="e">
        <f>VLOOKUP(N349,Casilleros!$A$4:$Q$830,17,FALSE)</f>
        <v>#REF!</v>
      </c>
      <c r="S349" s="61" t="str">
        <f t="shared" si="59"/>
        <v>587</v>
      </c>
      <c r="T349" s="64" t="str">
        <f t="shared" ref="T349:T412" si="66">IF(A349&lt;&gt;"",A349,T348)</f>
        <v>ESTADO DE SITUACIÓN FINANCIERA</v>
      </c>
      <c r="U349" s="64" t="str">
        <f t="shared" si="63"/>
        <v>PASIVO</v>
      </c>
      <c r="V349" s="64" t="str">
        <f t="shared" si="64"/>
        <v>PASIVOS NO CORRIENTES</v>
      </c>
      <c r="W349" s="64" t="str">
        <f t="shared" si="65"/>
        <v>OTROS PASIVOS NO CORRIENTES</v>
      </c>
      <c r="X349" s="64" t="str">
        <f t="shared" si="60"/>
        <v xml:space="preserve">Transferencias casa matriz y sucursales (del exterior) </v>
      </c>
      <c r="Y349" s="64" t="str">
        <f t="shared" si="61"/>
        <v/>
      </c>
      <c r="Z349" s="64" t="str">
        <f t="shared" si="62"/>
        <v/>
      </c>
      <c r="AA349" s="64" t="str">
        <f>IF(X349&lt;&gt;"",CONCATENATE(W349,"_",X349,"_",Y349,"_",Z349),W349)</f>
        <v>OTROS PASIVOS NO CORRIENTES_Transferencias casa matriz y sucursales (del exterior) __</v>
      </c>
    </row>
    <row r="350" spans="1:27">
      <c r="A350" s="53"/>
      <c r="B350" s="53"/>
      <c r="C350" s="53"/>
      <c r="D350" s="53"/>
      <c r="E350" s="235" t="s">
        <v>122</v>
      </c>
      <c r="F350" s="235"/>
      <c r="G350" s="235"/>
      <c r="H350" s="235"/>
      <c r="I350" s="235"/>
      <c r="J350" s="235"/>
      <c r="K350" s="235"/>
      <c r="L350" s="235"/>
      <c r="M350" s="235"/>
      <c r="N350" s="9" t="s">
        <v>492</v>
      </c>
      <c r="O350" s="55" t="e">
        <f>VLOOKUP(N350,Casilleros!$A$4:$Q$830,17,FALSE)</f>
        <v>#REF!</v>
      </c>
      <c r="S350" s="61" t="str">
        <f t="shared" si="59"/>
        <v>588</v>
      </c>
      <c r="T350" s="64" t="str">
        <f t="shared" si="66"/>
        <v>ESTADO DE SITUACIÓN FINANCIERA</v>
      </c>
      <c r="U350" s="64" t="str">
        <f t="shared" si="63"/>
        <v>PASIVO</v>
      </c>
      <c r="V350" s="64" t="str">
        <f t="shared" si="64"/>
        <v>PASIVOS NO CORRIENTES</v>
      </c>
      <c r="W350" s="64" t="str">
        <f t="shared" si="65"/>
        <v>OTROS PASIVOS NO CORRIENTES</v>
      </c>
      <c r="X350" s="64" t="str">
        <f t="shared" si="60"/>
        <v>Otros</v>
      </c>
      <c r="Y350" s="64" t="str">
        <f t="shared" si="61"/>
        <v/>
      </c>
      <c r="Z350" s="64" t="str">
        <f t="shared" si="62"/>
        <v/>
      </c>
      <c r="AA350" s="64" t="str">
        <f>IF(X350&lt;&gt;"",CONCATENATE(W350,"_",X350,"_",Y350,"_",Z350),W350)</f>
        <v>OTROS PASIVOS NO CORRIENTES_Otros__</v>
      </c>
    </row>
    <row r="351" spans="1:27">
      <c r="A351" s="53"/>
      <c r="B351" s="53"/>
      <c r="C351" s="238" t="s">
        <v>493</v>
      </c>
      <c r="D351" s="238"/>
      <c r="E351" s="238"/>
      <c r="F351" s="238"/>
      <c r="G351" s="238"/>
      <c r="H351" s="238"/>
      <c r="I351" s="238"/>
      <c r="J351" s="238"/>
      <c r="K351" s="238"/>
      <c r="L351" s="238"/>
      <c r="M351" s="238"/>
      <c r="N351" s="71" t="s">
        <v>494</v>
      </c>
      <c r="O351" s="72" t="e">
        <f>SUM(O298:O350)</f>
        <v>#REF!</v>
      </c>
      <c r="S351" s="61" t="str">
        <f t="shared" si="59"/>
        <v>589</v>
      </c>
      <c r="T351" s="64" t="str">
        <f t="shared" si="66"/>
        <v>ESTADO DE SITUACIÓN FINANCIERA</v>
      </c>
      <c r="U351" s="64" t="str">
        <f t="shared" si="63"/>
        <v>PASIVO</v>
      </c>
      <c r="V351" s="64" t="str">
        <f t="shared" si="64"/>
        <v>TOTAL PASIVOS NO CORRIENTES</v>
      </c>
      <c r="W351" s="64" t="str">
        <f t="shared" si="65"/>
        <v/>
      </c>
      <c r="X351" s="64" t="str">
        <f t="shared" si="60"/>
        <v/>
      </c>
      <c r="Y351" s="64" t="str">
        <f t="shared" si="61"/>
        <v/>
      </c>
      <c r="Z351" s="64" t="str">
        <f t="shared" si="62"/>
        <v/>
      </c>
      <c r="AA351" s="75" t="str">
        <f t="shared" ref="AA351:AA386" si="67">IF(X351&lt;&gt;"",CONCATENATE(W351,"_",X351,"_",Y351,"_",Z351),CONCATENATE(V351," ",W351))</f>
        <v xml:space="preserve">TOTAL PASIVOS NO CORRIENTES </v>
      </c>
    </row>
    <row r="352" spans="1:27">
      <c r="A352" s="53"/>
      <c r="B352" s="53"/>
      <c r="C352" s="235" t="s">
        <v>495</v>
      </c>
      <c r="D352" s="235"/>
      <c r="E352" s="235"/>
      <c r="F352" s="235"/>
      <c r="G352" s="235"/>
      <c r="H352" s="235"/>
      <c r="I352" s="235"/>
      <c r="J352" s="235"/>
      <c r="K352" s="235"/>
      <c r="L352" s="235"/>
      <c r="M352" s="235"/>
      <c r="N352" s="9" t="s">
        <v>496</v>
      </c>
      <c r="O352" s="55" t="e">
        <f>VLOOKUP(N352,Casilleros!$A$4:$Q$830,17,FALSE)</f>
        <v>#REF!</v>
      </c>
      <c r="S352" s="61" t="str">
        <f t="shared" ref="S352:S388" si="68">+N352</f>
        <v>591</v>
      </c>
      <c r="T352" s="64" t="str">
        <f t="shared" si="66"/>
        <v>ESTADO DE SITUACIÓN FINANCIERA</v>
      </c>
      <c r="U352" s="64" t="str">
        <f t="shared" si="63"/>
        <v>PASIVO</v>
      </c>
      <c r="V352" s="64" t="str">
        <f t="shared" si="64"/>
        <v>Total de Intereses Implícitos No Debvengados (Futuros Gastos Financieros En El Estado De Resultados) Por Acuerdos Que Constituyen Efectivamente Una Transacción Financiera O Pago Diferido (Informativo)</v>
      </c>
      <c r="W352" s="64" t="str">
        <f t="shared" si="65"/>
        <v/>
      </c>
      <c r="X352" s="64" t="str">
        <f t="shared" si="60"/>
        <v/>
      </c>
      <c r="Y352" s="64" t="str">
        <f t="shared" si="61"/>
        <v/>
      </c>
      <c r="Z352" s="64" t="str">
        <f t="shared" si="62"/>
        <v/>
      </c>
      <c r="AA352" s="75" t="str">
        <f t="shared" si="67"/>
        <v xml:space="preserve">Total de Intereses Implícitos No Debvengados (Futuros Gastos Financieros En El Estado De Resultados) Por Acuerdos Que Constituyen Efectivamente Una Transacción Financiera O Pago Diferido (Informativo) </v>
      </c>
    </row>
    <row r="353" spans="1:27">
      <c r="A353" s="53"/>
      <c r="B353" s="53"/>
      <c r="C353" s="235" t="s">
        <v>497</v>
      </c>
      <c r="D353" s="235"/>
      <c r="E353" s="235"/>
      <c r="F353" s="235"/>
      <c r="G353" s="235"/>
      <c r="H353" s="235"/>
      <c r="I353" s="235"/>
      <c r="J353" s="235"/>
      <c r="K353" s="235"/>
      <c r="L353" s="235"/>
      <c r="M353" s="235"/>
      <c r="N353" s="9" t="s">
        <v>498</v>
      </c>
      <c r="O353" s="55" t="e">
        <f>VLOOKUP(N353,Casilleros!$A$4:$Q$830,17,FALSE)</f>
        <v>#REF!</v>
      </c>
      <c r="S353" s="61" t="str">
        <f t="shared" si="68"/>
        <v>592</v>
      </c>
      <c r="T353" s="64" t="str">
        <f t="shared" si="66"/>
        <v>ESTADO DE SITUACIÓN FINANCIERA</v>
      </c>
      <c r="U353" s="64" t="str">
        <f t="shared" si="63"/>
        <v>PASIVO</v>
      </c>
      <c r="V353" s="64" t="str">
        <f t="shared" si="64"/>
        <v>Pasivos incurridos en fideicomisos mercantiles o encargos fiduciarios donde el contribuyente es constituyente  o aportante (Informativo)</v>
      </c>
      <c r="W353" s="64" t="str">
        <f t="shared" si="65"/>
        <v/>
      </c>
      <c r="X353" s="64" t="str">
        <f t="shared" si="60"/>
        <v/>
      </c>
      <c r="Y353" s="64" t="str">
        <f t="shared" si="61"/>
        <v/>
      </c>
      <c r="Z353" s="64" t="str">
        <f t="shared" si="62"/>
        <v/>
      </c>
      <c r="AA353" s="75" t="str">
        <f t="shared" si="67"/>
        <v xml:space="preserve">Pasivos incurridos en fideicomisos mercantiles o encargos fiduciarios donde el contribuyente es constituyente  o aportante (Informativo) </v>
      </c>
    </row>
    <row r="354" spans="1:27">
      <c r="A354" s="53"/>
      <c r="B354" s="245" t="s">
        <v>499</v>
      </c>
      <c r="C354" s="245"/>
      <c r="D354" s="245"/>
      <c r="E354" s="245"/>
      <c r="F354" s="245"/>
      <c r="G354" s="245"/>
      <c r="H354" s="245"/>
      <c r="I354" s="245"/>
      <c r="J354" s="245"/>
      <c r="K354" s="245"/>
      <c r="L354" s="245"/>
      <c r="M354" s="245"/>
      <c r="N354" s="71" t="s">
        <v>500</v>
      </c>
      <c r="O354" s="72" t="e">
        <f>+O351+O297</f>
        <v>#REF!</v>
      </c>
      <c r="S354" s="61" t="str">
        <f t="shared" si="68"/>
        <v>599</v>
      </c>
      <c r="T354" s="64" t="str">
        <f t="shared" si="66"/>
        <v>ESTADO DE SITUACIÓN FINANCIERA</v>
      </c>
      <c r="U354" s="64" t="str">
        <f t="shared" si="63"/>
        <v>TOTAL DEL PASIVO</v>
      </c>
      <c r="V354" s="64" t="str">
        <f t="shared" si="64"/>
        <v/>
      </c>
      <c r="W354" s="64" t="str">
        <f t="shared" si="65"/>
        <v/>
      </c>
      <c r="X354" s="64" t="str">
        <f t="shared" si="60"/>
        <v/>
      </c>
      <c r="Y354" s="64" t="str">
        <f t="shared" si="61"/>
        <v/>
      </c>
      <c r="Z354" s="64" t="str">
        <f t="shared" si="62"/>
        <v/>
      </c>
      <c r="AA354" s="69" t="str">
        <f>IF(X354&lt;&gt;"",CONCATENATE(W354,"_",X354,"_",Y354,"_",Z354,""),CONCATENATE(U354,"_",V354, "_",W354,""))</f>
        <v>TOTAL DEL PASIVO__</v>
      </c>
    </row>
    <row r="355" spans="1:27">
      <c r="A355" s="53"/>
      <c r="B355" s="239" t="s">
        <v>501</v>
      </c>
      <c r="C355" s="239"/>
      <c r="D355" s="239"/>
      <c r="E355" s="239"/>
      <c r="F355" s="239"/>
      <c r="G355" s="239"/>
      <c r="H355" s="239"/>
      <c r="I355" s="239"/>
      <c r="J355" s="239"/>
      <c r="K355" s="239"/>
      <c r="L355" s="239"/>
      <c r="M355" s="239"/>
      <c r="N355" s="239"/>
      <c r="O355" s="239"/>
      <c r="S355" s="61">
        <f t="shared" si="68"/>
        <v>0</v>
      </c>
      <c r="T355" s="64" t="str">
        <f t="shared" si="66"/>
        <v>ESTADO DE SITUACIÓN FINANCIERA</v>
      </c>
      <c r="U355" s="64" t="str">
        <f t="shared" si="63"/>
        <v>PATRIMONIO</v>
      </c>
      <c r="V355" s="64" t="str">
        <f t="shared" si="64"/>
        <v/>
      </c>
      <c r="W355" s="64" t="str">
        <f t="shared" si="65"/>
        <v/>
      </c>
      <c r="X355" s="64" t="str">
        <f t="shared" si="60"/>
        <v/>
      </c>
      <c r="Y355" s="64" t="str">
        <f t="shared" si="61"/>
        <v/>
      </c>
      <c r="Z355" s="64" t="str">
        <f t="shared" si="62"/>
        <v/>
      </c>
      <c r="AA355" s="63" t="str">
        <f>IF(X355&lt;&gt;"",CONCATENATE(W355,"_",X355,"_",Y355,"_",Z355),CONCATENATE(V355," ",W355))</f>
        <v xml:space="preserve"> </v>
      </c>
    </row>
    <row r="356" spans="1:27">
      <c r="A356" s="53"/>
      <c r="B356" s="53"/>
      <c r="C356" s="235" t="s">
        <v>502</v>
      </c>
      <c r="D356" s="235"/>
      <c r="E356" s="235"/>
      <c r="F356" s="235"/>
      <c r="G356" s="235"/>
      <c r="H356" s="235"/>
      <c r="I356" s="235"/>
      <c r="J356" s="235"/>
      <c r="K356" s="235"/>
      <c r="L356" s="235"/>
      <c r="M356" s="235"/>
      <c r="N356" s="9" t="s">
        <v>503</v>
      </c>
      <c r="O356" s="55" t="e">
        <f>VLOOKUP(N356,Casilleros!$A$4:$Q$830,17,FALSE)</f>
        <v>#REF!</v>
      </c>
      <c r="S356" s="61" t="str">
        <f t="shared" si="68"/>
        <v>601</v>
      </c>
      <c r="T356" s="64" t="str">
        <f t="shared" si="66"/>
        <v>ESTADO DE SITUACIÓN FINANCIERA</v>
      </c>
      <c r="U356" s="64" t="str">
        <f t="shared" si="63"/>
        <v>PATRIMONIO</v>
      </c>
      <c r="V356" s="64" t="str">
        <f t="shared" si="64"/>
        <v>Capital Suscrito y/o Asignado</v>
      </c>
      <c r="W356" s="64" t="str">
        <f t="shared" si="65"/>
        <v/>
      </c>
      <c r="X356" s="64" t="str">
        <f t="shared" si="60"/>
        <v/>
      </c>
      <c r="Y356" s="64" t="str">
        <f t="shared" si="61"/>
        <v/>
      </c>
      <c r="Z356" s="64" t="str">
        <f t="shared" si="62"/>
        <v/>
      </c>
      <c r="AA356" s="63" t="str">
        <f t="shared" si="67"/>
        <v xml:space="preserve">Capital Suscrito y/o Asignado </v>
      </c>
    </row>
    <row r="357" spans="1:27">
      <c r="A357" s="53"/>
      <c r="B357" s="53"/>
      <c r="C357" s="235" t="s">
        <v>504</v>
      </c>
      <c r="D357" s="235"/>
      <c r="E357" s="235"/>
      <c r="F357" s="235"/>
      <c r="G357" s="235"/>
      <c r="H357" s="235"/>
      <c r="I357" s="235"/>
      <c r="J357" s="235"/>
      <c r="K357" s="235"/>
      <c r="L357" s="235"/>
      <c r="M357" s="235"/>
      <c r="N357" s="9" t="s">
        <v>505</v>
      </c>
      <c r="O357" s="55" t="e">
        <f>VLOOKUP(N357,Casilleros!$A$4:$Q$830,17,FALSE)</f>
        <v>#REF!</v>
      </c>
      <c r="S357" s="61" t="str">
        <f t="shared" si="68"/>
        <v>602</v>
      </c>
      <c r="T357" s="64" t="str">
        <f t="shared" si="66"/>
        <v>ESTADO DE SITUACIÓN FINANCIERA</v>
      </c>
      <c r="U357" s="64" t="str">
        <f t="shared" si="63"/>
        <v>PATRIMONIO</v>
      </c>
      <c r="V357" s="64" t="str">
        <f t="shared" si="64"/>
        <v>(-) Capital Suscrito No Pagado, Acciones en Tesorería</v>
      </c>
      <c r="W357" s="64" t="str">
        <f t="shared" si="65"/>
        <v/>
      </c>
      <c r="X357" s="64" t="str">
        <f t="shared" si="60"/>
        <v/>
      </c>
      <c r="Y357" s="64" t="str">
        <f t="shared" si="61"/>
        <v/>
      </c>
      <c r="Z357" s="64" t="str">
        <f t="shared" si="62"/>
        <v/>
      </c>
      <c r="AA357" s="63" t="str">
        <f t="shared" si="67"/>
        <v xml:space="preserve">(-) Capital Suscrito No Pagado, Acciones en Tesorería </v>
      </c>
    </row>
    <row r="358" spans="1:27">
      <c r="A358" s="53"/>
      <c r="B358" s="53"/>
      <c r="C358" s="235" t="s">
        <v>506</v>
      </c>
      <c r="D358" s="235"/>
      <c r="E358" s="235"/>
      <c r="F358" s="235"/>
      <c r="G358" s="235"/>
      <c r="H358" s="235"/>
      <c r="I358" s="235"/>
      <c r="J358" s="235"/>
      <c r="K358" s="235"/>
      <c r="L358" s="235"/>
      <c r="M358" s="235"/>
      <c r="N358" s="9" t="s">
        <v>507</v>
      </c>
      <c r="O358" s="55" t="e">
        <f>VLOOKUP(N358,Casilleros!$A$4:$Q$830,17,FALSE)</f>
        <v>#REF!</v>
      </c>
      <c r="S358" s="61" t="str">
        <f t="shared" si="68"/>
        <v>603</v>
      </c>
      <c r="T358" s="64" t="str">
        <f t="shared" si="66"/>
        <v>ESTADO DE SITUACIÓN FINANCIERA</v>
      </c>
      <c r="U358" s="64" t="str">
        <f t="shared" si="63"/>
        <v>PATRIMONIO</v>
      </c>
      <c r="V358" s="64" t="str">
        <f t="shared" si="64"/>
        <v>Aportes de Socios, Accionistas, Partícipes, Fundadores, Constituyentes, Beneficiarios U Otros Titulares De Derechos Representativos De Capital Para Futura Capitalización</v>
      </c>
      <c r="W358" s="64" t="str">
        <f t="shared" si="65"/>
        <v/>
      </c>
      <c r="X358" s="64" t="str">
        <f t="shared" si="60"/>
        <v/>
      </c>
      <c r="Y358" s="64" t="str">
        <f t="shared" si="61"/>
        <v/>
      </c>
      <c r="Z358" s="64" t="str">
        <f t="shared" si="62"/>
        <v/>
      </c>
      <c r="AA358" s="63" t="str">
        <f t="shared" si="67"/>
        <v xml:space="preserve">Aportes de Socios, Accionistas, Partícipes, Fundadores, Constituyentes, Beneficiarios U Otros Titulares De Derechos Representativos De Capital Para Futura Capitalización </v>
      </c>
    </row>
    <row r="359" spans="1:27">
      <c r="A359" s="53"/>
      <c r="B359" s="53"/>
      <c r="C359" s="239" t="s">
        <v>508</v>
      </c>
      <c r="D359" s="239"/>
      <c r="E359" s="239"/>
      <c r="F359" s="239"/>
      <c r="G359" s="239"/>
      <c r="H359" s="239"/>
      <c r="I359" s="239"/>
      <c r="J359" s="239"/>
      <c r="K359" s="239"/>
      <c r="L359" s="239"/>
      <c r="M359" s="239"/>
      <c r="N359" s="239"/>
      <c r="O359" s="239"/>
      <c r="S359" s="61">
        <f t="shared" si="68"/>
        <v>0</v>
      </c>
      <c r="T359" s="64" t="str">
        <f t="shared" si="66"/>
        <v>ESTADO DE SITUACIÓN FINANCIERA</v>
      </c>
      <c r="U359" s="64" t="str">
        <f t="shared" si="63"/>
        <v>PATRIMONIO</v>
      </c>
      <c r="V359" s="64" t="str">
        <f t="shared" si="64"/>
        <v>RESERVAS</v>
      </c>
      <c r="W359" s="64" t="str">
        <f t="shared" si="65"/>
        <v/>
      </c>
      <c r="X359" s="64" t="str">
        <f t="shared" si="60"/>
        <v/>
      </c>
      <c r="Y359" s="64" t="str">
        <f t="shared" si="61"/>
        <v/>
      </c>
      <c r="Z359" s="64" t="str">
        <f t="shared" si="62"/>
        <v/>
      </c>
      <c r="AA359" s="63" t="str">
        <f t="shared" si="67"/>
        <v xml:space="preserve">RESERVAS </v>
      </c>
    </row>
    <row r="360" spans="1:27">
      <c r="A360" s="53"/>
      <c r="B360" s="53"/>
      <c r="C360" s="53"/>
      <c r="D360" s="235" t="s">
        <v>509</v>
      </c>
      <c r="E360" s="235"/>
      <c r="F360" s="235"/>
      <c r="G360" s="235"/>
      <c r="H360" s="235"/>
      <c r="I360" s="235"/>
      <c r="J360" s="235"/>
      <c r="K360" s="235"/>
      <c r="L360" s="235"/>
      <c r="M360" s="235"/>
      <c r="N360" s="9" t="s">
        <v>510</v>
      </c>
      <c r="O360" s="55" t="e">
        <f>VLOOKUP(N360,Casilleros!$A$4:$Q$830,17,FALSE)</f>
        <v>#REF!</v>
      </c>
      <c r="S360" s="61" t="str">
        <f t="shared" si="68"/>
        <v>604</v>
      </c>
      <c r="T360" s="64" t="str">
        <f t="shared" si="66"/>
        <v>ESTADO DE SITUACIÓN FINANCIERA</v>
      </c>
      <c r="U360" s="64" t="str">
        <f t="shared" si="63"/>
        <v>PATRIMONIO</v>
      </c>
      <c r="V360" s="64" t="str">
        <f t="shared" si="64"/>
        <v>RESERVAS</v>
      </c>
      <c r="W360" s="64" t="str">
        <f t="shared" si="65"/>
        <v>Reserva legal</v>
      </c>
      <c r="X360" s="64" t="str">
        <f t="shared" si="60"/>
        <v/>
      </c>
      <c r="Y360" s="64" t="str">
        <f t="shared" si="61"/>
        <v/>
      </c>
      <c r="Z360" s="64" t="str">
        <f t="shared" si="62"/>
        <v/>
      </c>
      <c r="AA360" s="63" t="str">
        <f t="shared" si="67"/>
        <v>RESERVAS Reserva legal</v>
      </c>
    </row>
    <row r="361" spans="1:27">
      <c r="A361" s="53"/>
      <c r="B361" s="53"/>
      <c r="C361" s="53"/>
      <c r="D361" s="235" t="s">
        <v>511</v>
      </c>
      <c r="E361" s="235"/>
      <c r="F361" s="235"/>
      <c r="G361" s="235"/>
      <c r="H361" s="235"/>
      <c r="I361" s="235"/>
      <c r="J361" s="235"/>
      <c r="K361" s="235"/>
      <c r="L361" s="235"/>
      <c r="M361" s="235"/>
      <c r="N361" s="9" t="s">
        <v>512</v>
      </c>
      <c r="O361" s="55" t="e">
        <f>VLOOKUP(N361,Casilleros!$A$4:$Q$830,17,FALSE)</f>
        <v>#REF!</v>
      </c>
      <c r="S361" s="61" t="str">
        <f t="shared" si="68"/>
        <v>605</v>
      </c>
      <c r="T361" s="64" t="str">
        <f t="shared" si="66"/>
        <v>ESTADO DE SITUACIÓN FINANCIERA</v>
      </c>
      <c r="U361" s="64" t="str">
        <f t="shared" si="63"/>
        <v>PATRIMONIO</v>
      </c>
      <c r="V361" s="64" t="str">
        <f t="shared" si="64"/>
        <v>RESERVAS</v>
      </c>
      <c r="W361" s="64" t="str">
        <f t="shared" si="65"/>
        <v>Reserva facultativa</v>
      </c>
      <c r="X361" s="64" t="str">
        <f t="shared" si="60"/>
        <v/>
      </c>
      <c r="Y361" s="64" t="str">
        <f t="shared" si="61"/>
        <v/>
      </c>
      <c r="Z361" s="64" t="str">
        <f t="shared" si="62"/>
        <v/>
      </c>
      <c r="AA361" s="63" t="str">
        <f t="shared" si="67"/>
        <v>RESERVAS Reserva facultativa</v>
      </c>
    </row>
    <row r="362" spans="1:27">
      <c r="A362" s="53"/>
      <c r="B362" s="53"/>
      <c r="C362" s="53"/>
      <c r="D362" s="235" t="s">
        <v>425</v>
      </c>
      <c r="E362" s="235"/>
      <c r="F362" s="235"/>
      <c r="G362" s="235"/>
      <c r="H362" s="235"/>
      <c r="I362" s="235"/>
      <c r="J362" s="235"/>
      <c r="K362" s="235"/>
      <c r="L362" s="235"/>
      <c r="M362" s="235"/>
      <c r="N362" s="9" t="s">
        <v>513</v>
      </c>
      <c r="O362" s="55" t="e">
        <f>VLOOKUP(N362,Casilleros!$A$4:$Q$830,17,FALSE)</f>
        <v>#REF!</v>
      </c>
      <c r="S362" s="61" t="str">
        <f t="shared" si="68"/>
        <v>606</v>
      </c>
      <c r="T362" s="64" t="str">
        <f t="shared" si="66"/>
        <v>ESTADO DE SITUACIÓN FINANCIERA</v>
      </c>
      <c r="U362" s="64" t="str">
        <f t="shared" si="63"/>
        <v>PATRIMONIO</v>
      </c>
      <c r="V362" s="64" t="str">
        <f t="shared" si="64"/>
        <v>RESERVAS</v>
      </c>
      <c r="W362" s="64" t="str">
        <f t="shared" si="65"/>
        <v>Otras</v>
      </c>
      <c r="X362" s="64" t="str">
        <f t="shared" si="60"/>
        <v/>
      </c>
      <c r="Y362" s="64" t="str">
        <f t="shared" si="61"/>
        <v/>
      </c>
      <c r="Z362" s="64" t="str">
        <f t="shared" si="62"/>
        <v/>
      </c>
      <c r="AA362" s="63" t="str">
        <f t="shared" si="67"/>
        <v>RESERVAS Otras</v>
      </c>
    </row>
    <row r="363" spans="1:27">
      <c r="A363" s="53"/>
      <c r="B363" s="53"/>
      <c r="C363" s="239" t="s">
        <v>514</v>
      </c>
      <c r="D363" s="239"/>
      <c r="E363" s="239"/>
      <c r="F363" s="239"/>
      <c r="G363" s="239"/>
      <c r="H363" s="239"/>
      <c r="I363" s="239"/>
      <c r="J363" s="239"/>
      <c r="K363" s="239"/>
      <c r="L363" s="239"/>
      <c r="M363" s="239"/>
      <c r="N363" s="239"/>
      <c r="O363" s="239"/>
      <c r="S363" s="61">
        <f t="shared" si="68"/>
        <v>0</v>
      </c>
      <c r="T363" s="64" t="str">
        <f t="shared" si="66"/>
        <v>ESTADO DE SITUACIÓN FINANCIERA</v>
      </c>
      <c r="U363" s="64" t="str">
        <f t="shared" si="63"/>
        <v>PATRIMONIO</v>
      </c>
      <c r="V363" s="64" t="str">
        <f t="shared" si="64"/>
        <v>RESULTADOS ACUMULADOS</v>
      </c>
      <c r="W363" s="64" t="str">
        <f t="shared" si="65"/>
        <v/>
      </c>
      <c r="X363" s="64" t="str">
        <f t="shared" si="60"/>
        <v/>
      </c>
      <c r="Y363" s="64" t="str">
        <f t="shared" si="61"/>
        <v/>
      </c>
      <c r="Z363" s="64" t="str">
        <f t="shared" si="62"/>
        <v/>
      </c>
      <c r="AA363" s="63" t="str">
        <f t="shared" si="67"/>
        <v xml:space="preserve">RESULTADOS ACUMULADOS </v>
      </c>
    </row>
    <row r="364" spans="1:27">
      <c r="A364" s="53"/>
      <c r="B364" s="53"/>
      <c r="C364" s="53"/>
      <c r="D364" s="235" t="s">
        <v>515</v>
      </c>
      <c r="E364" s="235"/>
      <c r="F364" s="235"/>
      <c r="G364" s="235"/>
      <c r="H364" s="235"/>
      <c r="I364" s="235"/>
      <c r="J364" s="235"/>
      <c r="K364" s="235"/>
      <c r="L364" s="235"/>
      <c r="M364" s="235"/>
      <c r="N364" s="9" t="s">
        <v>516</v>
      </c>
      <c r="O364" s="55" t="e">
        <f>VLOOKUP(N364,Casilleros!$A$4:$Q$830,17,FALSE)</f>
        <v>#REF!</v>
      </c>
      <c r="S364" s="61" t="str">
        <f t="shared" si="68"/>
        <v>607</v>
      </c>
      <c r="T364" s="64" t="str">
        <f t="shared" si="66"/>
        <v>ESTADO DE SITUACIÓN FINANCIERA</v>
      </c>
      <c r="U364" s="64" t="str">
        <f t="shared" si="63"/>
        <v>PATRIMONIO</v>
      </c>
      <c r="V364" s="64" t="str">
        <f t="shared" si="64"/>
        <v>RESULTADOS ACUMULADOS</v>
      </c>
      <c r="W364" s="64" t="str">
        <f t="shared" si="65"/>
        <v>Reserva de capital</v>
      </c>
      <c r="X364" s="64" t="str">
        <f t="shared" si="60"/>
        <v/>
      </c>
      <c r="Y364" s="64" t="str">
        <f t="shared" si="61"/>
        <v/>
      </c>
      <c r="Z364" s="64" t="str">
        <f t="shared" si="62"/>
        <v/>
      </c>
      <c r="AA364" s="63" t="str">
        <f t="shared" si="67"/>
        <v>RESULTADOS ACUMULADOS Reserva de capital</v>
      </c>
    </row>
    <row r="365" spans="1:27">
      <c r="A365" s="53"/>
      <c r="B365" s="53"/>
      <c r="C365" s="53"/>
      <c r="D365" s="235" t="s">
        <v>517</v>
      </c>
      <c r="E365" s="235"/>
      <c r="F365" s="235"/>
      <c r="G365" s="235"/>
      <c r="H365" s="235"/>
      <c r="I365" s="235"/>
      <c r="J365" s="235"/>
      <c r="K365" s="235"/>
      <c r="L365" s="235"/>
      <c r="M365" s="235"/>
      <c r="N365" s="9" t="s">
        <v>518</v>
      </c>
      <c r="O365" s="55" t="e">
        <f>VLOOKUP(N365,Casilleros!$A$4:$Q$830,17,FALSE)</f>
        <v>#REF!</v>
      </c>
      <c r="S365" s="61" t="str">
        <f t="shared" si="68"/>
        <v>608</v>
      </c>
      <c r="T365" s="64" t="str">
        <f t="shared" si="66"/>
        <v>ESTADO DE SITUACIÓN FINANCIERA</v>
      </c>
      <c r="U365" s="64" t="str">
        <f t="shared" si="63"/>
        <v>PATRIMONIO</v>
      </c>
      <c r="V365" s="64" t="str">
        <f t="shared" si="64"/>
        <v>RESULTADOS ACUMULADOS</v>
      </c>
      <c r="W365" s="64" t="str">
        <f t="shared" si="65"/>
        <v>Reserva por donaciones</v>
      </c>
      <c r="X365" s="64" t="str">
        <f t="shared" si="60"/>
        <v/>
      </c>
      <c r="Y365" s="64" t="str">
        <f t="shared" si="61"/>
        <v/>
      </c>
      <c r="Z365" s="64" t="str">
        <f t="shared" si="62"/>
        <v/>
      </c>
      <c r="AA365" s="63" t="str">
        <f t="shared" si="67"/>
        <v>RESULTADOS ACUMULADOS Reserva por donaciones</v>
      </c>
    </row>
    <row r="366" spans="1:27">
      <c r="A366" s="53"/>
      <c r="B366" s="53"/>
      <c r="C366" s="53"/>
      <c r="D366" s="235" t="s">
        <v>519</v>
      </c>
      <c r="E366" s="235"/>
      <c r="F366" s="235"/>
      <c r="G366" s="235"/>
      <c r="H366" s="235"/>
      <c r="I366" s="235"/>
      <c r="J366" s="235"/>
      <c r="K366" s="235"/>
      <c r="L366" s="235"/>
      <c r="M366" s="235"/>
      <c r="N366" s="9" t="s">
        <v>520</v>
      </c>
      <c r="O366" s="55" t="e">
        <f>VLOOKUP(N366,Casilleros!$A$4:$Q$830,17,FALSE)</f>
        <v>#REF!</v>
      </c>
      <c r="S366" s="61" t="str">
        <f t="shared" si="68"/>
        <v>609</v>
      </c>
      <c r="T366" s="64" t="str">
        <f t="shared" si="66"/>
        <v>ESTADO DE SITUACIÓN FINANCIERA</v>
      </c>
      <c r="U366" s="64" t="str">
        <f t="shared" si="63"/>
        <v>PATRIMONIO</v>
      </c>
      <c r="V366" s="64" t="str">
        <f t="shared" si="64"/>
        <v>RESULTADOS ACUMULADOS</v>
      </c>
      <c r="W366" s="64" t="str">
        <f t="shared" si="65"/>
        <v>Reserva por valuación (procedente de la aplicación de normas ecuatorianas de contabilidad - NEC)</v>
      </c>
      <c r="X366" s="64" t="str">
        <f t="shared" si="60"/>
        <v/>
      </c>
      <c r="Y366" s="64" t="str">
        <f t="shared" si="61"/>
        <v/>
      </c>
      <c r="Z366" s="64" t="str">
        <f t="shared" si="62"/>
        <v/>
      </c>
      <c r="AA366" s="63" t="str">
        <f t="shared" si="67"/>
        <v>RESULTADOS ACUMULADOS Reserva por valuación (procedente de la aplicación de normas ecuatorianas de contabilidad - NEC)</v>
      </c>
    </row>
    <row r="367" spans="1:27">
      <c r="A367" s="53"/>
      <c r="B367" s="53"/>
      <c r="C367" s="53"/>
      <c r="D367" s="235" t="s">
        <v>521</v>
      </c>
      <c r="E367" s="235"/>
      <c r="F367" s="235"/>
      <c r="G367" s="235"/>
      <c r="H367" s="235"/>
      <c r="I367" s="235"/>
      <c r="J367" s="235"/>
      <c r="K367" s="235"/>
      <c r="L367" s="235"/>
      <c r="M367" s="235"/>
      <c r="N367" s="9" t="s">
        <v>522</v>
      </c>
      <c r="O367" s="55" t="e">
        <f>VLOOKUP(N367,Casilleros!$A$4:$Q$830,17,FALSE)</f>
        <v>#REF!</v>
      </c>
      <c r="S367" s="61" t="str">
        <f t="shared" si="68"/>
        <v>610</v>
      </c>
      <c r="T367" s="64" t="str">
        <f t="shared" si="66"/>
        <v>ESTADO DE SITUACIÓN FINANCIERA</v>
      </c>
      <c r="U367" s="64" t="str">
        <f t="shared" si="63"/>
        <v>PATRIMONIO</v>
      </c>
      <c r="V367" s="64" t="str">
        <f t="shared" si="64"/>
        <v>RESULTADOS ACUMULADOS</v>
      </c>
      <c r="W367" s="64" t="str">
        <f t="shared" si="65"/>
        <v>Superávit por revaluación de inversiones (procedente de la aplicación de normas ecuatorianas de contabilidad - NEC)</v>
      </c>
      <c r="X367" s="64" t="str">
        <f t="shared" si="60"/>
        <v/>
      </c>
      <c r="Y367" s="64" t="str">
        <f t="shared" si="61"/>
        <v/>
      </c>
      <c r="Z367" s="64" t="str">
        <f t="shared" si="62"/>
        <v/>
      </c>
      <c r="AA367" s="63" t="str">
        <f t="shared" si="67"/>
        <v>RESULTADOS ACUMULADOS Superávit por revaluación de inversiones (procedente de la aplicación de normas ecuatorianas de contabilidad - NEC)</v>
      </c>
    </row>
    <row r="368" spans="1:27">
      <c r="A368" s="53"/>
      <c r="B368" s="53"/>
      <c r="C368" s="53"/>
      <c r="D368" s="235" t="s">
        <v>523</v>
      </c>
      <c r="E368" s="235"/>
      <c r="F368" s="235"/>
      <c r="G368" s="235"/>
      <c r="H368" s="235"/>
      <c r="I368" s="235"/>
      <c r="J368" s="235"/>
      <c r="K368" s="235"/>
      <c r="L368" s="235"/>
      <c r="M368" s="235"/>
      <c r="N368" s="9" t="s">
        <v>524</v>
      </c>
      <c r="O368" s="55" t="e">
        <f>VLOOKUP(N368,Casilleros!$A$4:$Q$830,17,FALSE)</f>
        <v>#REF!</v>
      </c>
      <c r="S368" s="61" t="str">
        <f t="shared" si="68"/>
        <v>611</v>
      </c>
      <c r="T368" s="64" t="str">
        <f t="shared" si="66"/>
        <v>ESTADO DE SITUACIÓN FINANCIERA</v>
      </c>
      <c r="U368" s="64" t="str">
        <f t="shared" si="63"/>
        <v>PATRIMONIO</v>
      </c>
      <c r="V368" s="64" t="str">
        <f t="shared" si="64"/>
        <v>RESULTADOS ACUMULADOS</v>
      </c>
      <c r="W368" s="64" t="str">
        <f t="shared" si="65"/>
        <v>Utilidades acumuladas de ejercicios anteriores</v>
      </c>
      <c r="X368" s="64" t="str">
        <f t="shared" ref="X368:X431" si="69">IF(W367&lt;&gt;W368,"",(IF(E368&lt;&gt;"",E368,X367)))</f>
        <v/>
      </c>
      <c r="Y368" s="64" t="str">
        <f t="shared" ref="Y368:Y431" si="70">IF(X367&lt;&gt;X368,"",(IF(F368&lt;&gt;"",F368,Y367)))</f>
        <v/>
      </c>
      <c r="Z368" s="64" t="str">
        <f t="shared" ref="Z368:Z431" si="71">IF(Y367&lt;&gt;Y368,"",(IF(G368&lt;&gt;"",G368,Z367)))</f>
        <v/>
      </c>
      <c r="AA368" s="63" t="str">
        <f t="shared" si="67"/>
        <v>RESULTADOS ACUMULADOS Utilidades acumuladas de ejercicios anteriores</v>
      </c>
    </row>
    <row r="369" spans="1:27">
      <c r="A369" s="53"/>
      <c r="B369" s="53"/>
      <c r="C369" s="53"/>
      <c r="D369" s="235" t="s">
        <v>525</v>
      </c>
      <c r="E369" s="235"/>
      <c r="F369" s="235"/>
      <c r="G369" s="235"/>
      <c r="H369" s="235"/>
      <c r="I369" s="235"/>
      <c r="J369" s="235"/>
      <c r="K369" s="235"/>
      <c r="L369" s="235"/>
      <c r="M369" s="235"/>
      <c r="N369" s="9" t="s">
        <v>526</v>
      </c>
      <c r="O369" s="55" t="e">
        <f>VLOOKUP(N369,Casilleros!$A$4:$Q$830,17,FALSE)</f>
        <v>#REF!</v>
      </c>
      <c r="S369" s="61" t="str">
        <f t="shared" si="68"/>
        <v>612</v>
      </c>
      <c r="T369" s="64" t="str">
        <f t="shared" si="66"/>
        <v>ESTADO DE SITUACIÓN FINANCIERA</v>
      </c>
      <c r="U369" s="64" t="str">
        <f t="shared" si="63"/>
        <v>PATRIMONIO</v>
      </c>
      <c r="V369" s="64" t="str">
        <f t="shared" si="64"/>
        <v>RESULTADOS ACUMULADOS</v>
      </c>
      <c r="W369" s="64" t="str">
        <f t="shared" si="65"/>
        <v>(-) Pérdidas acumuladas de ejercicios anteriores</v>
      </c>
      <c r="X369" s="64" t="str">
        <f t="shared" si="69"/>
        <v/>
      </c>
      <c r="Y369" s="64" t="str">
        <f t="shared" si="70"/>
        <v/>
      </c>
      <c r="Z369" s="64" t="str">
        <f t="shared" si="71"/>
        <v/>
      </c>
      <c r="AA369" s="63" t="str">
        <f t="shared" si="67"/>
        <v>RESULTADOS ACUMULADOS (-) Pérdidas acumuladas de ejercicios anteriores</v>
      </c>
    </row>
    <row r="370" spans="1:27">
      <c r="A370" s="53"/>
      <c r="B370" s="53"/>
      <c r="C370" s="53"/>
      <c r="D370" s="235" t="s">
        <v>527</v>
      </c>
      <c r="E370" s="235"/>
      <c r="F370" s="235"/>
      <c r="G370" s="235"/>
      <c r="H370" s="235"/>
      <c r="I370" s="235"/>
      <c r="J370" s="235"/>
      <c r="K370" s="235"/>
      <c r="L370" s="235"/>
      <c r="M370" s="235"/>
      <c r="N370" s="9" t="s">
        <v>528</v>
      </c>
      <c r="O370" s="55" t="e">
        <f>VLOOKUP(N370,Casilleros!$A$4:$Q$830,17,FALSE)</f>
        <v>#REF!</v>
      </c>
      <c r="S370" s="61" t="str">
        <f t="shared" si="68"/>
        <v>613</v>
      </c>
      <c r="T370" s="64" t="str">
        <f t="shared" si="66"/>
        <v>ESTADO DE SITUACIÓN FINANCIERA</v>
      </c>
      <c r="U370" s="64" t="str">
        <f t="shared" si="63"/>
        <v>PATRIMONIO</v>
      </c>
      <c r="V370" s="64" t="str">
        <f t="shared" si="64"/>
        <v>RESULTADOS ACUMULADOS</v>
      </c>
      <c r="W370" s="64" t="str">
        <f t="shared" si="65"/>
        <v>Excedente / pérdida del ejercicio anterior (con socios)</v>
      </c>
      <c r="X370" s="64" t="str">
        <f t="shared" si="69"/>
        <v/>
      </c>
      <c r="Y370" s="64" t="str">
        <f t="shared" si="70"/>
        <v/>
      </c>
      <c r="Z370" s="64" t="str">
        <f t="shared" si="71"/>
        <v/>
      </c>
      <c r="AA370" s="63" t="str">
        <f t="shared" si="67"/>
        <v>RESULTADOS ACUMULADOS Excedente / pérdida del ejercicio anterior (con socios)</v>
      </c>
    </row>
    <row r="371" spans="1:27">
      <c r="A371" s="53"/>
      <c r="B371" s="53"/>
      <c r="C371" s="53"/>
      <c r="D371" s="235" t="s">
        <v>529</v>
      </c>
      <c r="E371" s="235"/>
      <c r="F371" s="235"/>
      <c r="G371" s="235"/>
      <c r="H371" s="235"/>
      <c r="I371" s="235"/>
      <c r="J371" s="235"/>
      <c r="K371" s="235"/>
      <c r="L371" s="235"/>
      <c r="M371" s="235"/>
      <c r="N371" s="9" t="s">
        <v>530</v>
      </c>
      <c r="O371" s="55" t="e">
        <f>VLOOKUP(N371,Casilleros!$A$4:$Q$830,17,FALSE)</f>
        <v>#REF!</v>
      </c>
      <c r="S371" s="61" t="str">
        <f t="shared" si="68"/>
        <v>614</v>
      </c>
      <c r="T371" s="64" t="str">
        <f t="shared" si="66"/>
        <v>ESTADO DE SITUACIÓN FINANCIERA</v>
      </c>
      <c r="U371" s="64" t="str">
        <f t="shared" si="63"/>
        <v>PATRIMONIO</v>
      </c>
      <c r="V371" s="64" t="str">
        <f t="shared" si="64"/>
        <v>RESULTADOS ACUMULADOS</v>
      </c>
      <c r="W371" s="64" t="str">
        <f t="shared" si="65"/>
        <v>Resultados acumulados por adopción por primera vez de las NIIF</v>
      </c>
      <c r="X371" s="64" t="str">
        <f t="shared" si="69"/>
        <v/>
      </c>
      <c r="Y371" s="64" t="str">
        <f t="shared" si="70"/>
        <v/>
      </c>
      <c r="Z371" s="64" t="str">
        <f t="shared" si="71"/>
        <v/>
      </c>
      <c r="AA371" s="63" t="str">
        <f t="shared" si="67"/>
        <v>RESULTADOS ACUMULADOS Resultados acumulados por adopción por primera vez de las NIIF</v>
      </c>
    </row>
    <row r="372" spans="1:27">
      <c r="A372" s="53"/>
      <c r="B372" s="53"/>
      <c r="C372" s="53"/>
      <c r="D372" s="235" t="s">
        <v>531</v>
      </c>
      <c r="E372" s="235"/>
      <c r="F372" s="235"/>
      <c r="G372" s="235"/>
      <c r="H372" s="235"/>
      <c r="I372" s="235"/>
      <c r="J372" s="235"/>
      <c r="K372" s="235"/>
      <c r="L372" s="235"/>
      <c r="M372" s="235"/>
      <c r="N372" s="9" t="s">
        <v>532</v>
      </c>
      <c r="O372" s="55" t="e">
        <f>VLOOKUP(N372,Casilleros!$A$4:$Q$830,17,FALSE)</f>
        <v>#REF!</v>
      </c>
      <c r="S372" s="61" t="str">
        <f t="shared" si="68"/>
        <v>615</v>
      </c>
      <c r="T372" s="64" t="str">
        <f t="shared" si="66"/>
        <v>ESTADO DE SITUACIÓN FINANCIERA</v>
      </c>
      <c r="U372" s="64" t="str">
        <f t="shared" si="63"/>
        <v>PATRIMONIO</v>
      </c>
      <c r="V372" s="64" t="str">
        <f t="shared" si="64"/>
        <v>RESULTADOS ACUMULADOS</v>
      </c>
      <c r="W372" s="64" t="str">
        <f t="shared" si="65"/>
        <v>Utilidad del ejercicio</v>
      </c>
      <c r="X372" s="64" t="str">
        <f t="shared" si="69"/>
        <v/>
      </c>
      <c r="Y372" s="64" t="str">
        <f t="shared" si="70"/>
        <v/>
      </c>
      <c r="Z372" s="64" t="str">
        <f t="shared" si="71"/>
        <v/>
      </c>
      <c r="AA372" s="63" t="str">
        <f t="shared" si="67"/>
        <v>RESULTADOS ACUMULADOS Utilidad del ejercicio</v>
      </c>
    </row>
    <row r="373" spans="1:27">
      <c r="A373" s="53"/>
      <c r="B373" s="53"/>
      <c r="C373" s="53"/>
      <c r="D373" s="235" t="s">
        <v>533</v>
      </c>
      <c r="E373" s="235"/>
      <c r="F373" s="235"/>
      <c r="G373" s="235"/>
      <c r="H373" s="235"/>
      <c r="I373" s="235"/>
      <c r="J373" s="235"/>
      <c r="K373" s="235"/>
      <c r="L373" s="235"/>
      <c r="M373" s="235"/>
      <c r="N373" s="9" t="s">
        <v>534</v>
      </c>
      <c r="O373" s="74" t="e">
        <f>VLOOKUP(N373,Casilleros!$A$4:$Q$830,17,FALSE)</f>
        <v>#REF!</v>
      </c>
      <c r="S373" s="61" t="str">
        <f t="shared" si="68"/>
        <v>616</v>
      </c>
      <c r="T373" s="64" t="str">
        <f t="shared" si="66"/>
        <v>ESTADO DE SITUACIÓN FINANCIERA</v>
      </c>
      <c r="U373" s="64" t="str">
        <f t="shared" si="63"/>
        <v>PATRIMONIO</v>
      </c>
      <c r="V373" s="64" t="str">
        <f t="shared" si="64"/>
        <v>RESULTADOS ACUMULADOS</v>
      </c>
      <c r="W373" s="64" t="str">
        <f t="shared" si="65"/>
        <v>Pérdida del ejercicio</v>
      </c>
      <c r="X373" s="64" t="str">
        <f t="shared" si="69"/>
        <v/>
      </c>
      <c r="Y373" s="64" t="str">
        <f t="shared" si="70"/>
        <v/>
      </c>
      <c r="Z373" s="64" t="str">
        <f t="shared" si="71"/>
        <v/>
      </c>
      <c r="AA373" s="63" t="str">
        <f t="shared" si="67"/>
        <v>RESULTADOS ACUMULADOS Pérdida del ejercicio</v>
      </c>
    </row>
    <row r="374" spans="1:27">
      <c r="A374" s="53"/>
      <c r="B374" s="53"/>
      <c r="C374" s="53"/>
      <c r="D374" s="235" t="s">
        <v>535</v>
      </c>
      <c r="E374" s="235"/>
      <c r="F374" s="235"/>
      <c r="G374" s="235"/>
      <c r="H374" s="235"/>
      <c r="I374" s="235"/>
      <c r="J374" s="235"/>
      <c r="K374" s="235"/>
      <c r="L374" s="235"/>
      <c r="M374" s="235"/>
      <c r="N374" s="9" t="s">
        <v>536</v>
      </c>
      <c r="O374" s="55" t="e">
        <f>VLOOKUP(N374,Casilleros!$A$4:$Q$830,17,FALSE)</f>
        <v>#REF!</v>
      </c>
      <c r="S374" s="61" t="str">
        <f t="shared" si="68"/>
        <v>617</v>
      </c>
      <c r="T374" s="64" t="str">
        <f t="shared" si="66"/>
        <v>ESTADO DE SITUACIÓN FINANCIERA</v>
      </c>
      <c r="U374" s="64" t="str">
        <f t="shared" si="63"/>
        <v>PATRIMONIO</v>
      </c>
      <c r="V374" s="64" t="str">
        <f t="shared" si="64"/>
        <v>RESULTADOS ACUMULADOS</v>
      </c>
      <c r="W374" s="64" t="str">
        <f t="shared" si="65"/>
        <v>Excedente / pérdida del ejercicio económico (con socios)</v>
      </c>
      <c r="X374" s="64" t="str">
        <f t="shared" si="69"/>
        <v/>
      </c>
      <c r="Y374" s="64" t="str">
        <f t="shared" si="70"/>
        <v/>
      </c>
      <c r="Z374" s="64" t="str">
        <f t="shared" si="71"/>
        <v/>
      </c>
      <c r="AA374" s="63" t="str">
        <f t="shared" si="67"/>
        <v>RESULTADOS ACUMULADOS Excedente / pérdida del ejercicio económico (con socios)</v>
      </c>
    </row>
    <row r="375" spans="1:27">
      <c r="A375" s="53"/>
      <c r="B375" s="53"/>
      <c r="C375" s="239" t="s">
        <v>537</v>
      </c>
      <c r="D375" s="239"/>
      <c r="E375" s="239"/>
      <c r="F375" s="239"/>
      <c r="G375" s="239"/>
      <c r="H375" s="239"/>
      <c r="I375" s="239"/>
      <c r="J375" s="239"/>
      <c r="K375" s="239"/>
      <c r="L375" s="239"/>
      <c r="M375" s="239"/>
      <c r="N375" s="239"/>
      <c r="O375" s="239"/>
      <c r="S375" s="61">
        <f t="shared" si="68"/>
        <v>0</v>
      </c>
      <c r="T375" s="64" t="str">
        <f t="shared" si="66"/>
        <v>ESTADO DE SITUACIÓN FINANCIERA</v>
      </c>
      <c r="U375" s="64" t="str">
        <f t="shared" si="63"/>
        <v>PATRIMONIO</v>
      </c>
      <c r="V375" s="64" t="str">
        <f t="shared" si="64"/>
        <v>OTROS RESULTADOS INTEGRALES ACUMULADOS</v>
      </c>
      <c r="W375" s="64" t="str">
        <f t="shared" si="65"/>
        <v/>
      </c>
      <c r="X375" s="64" t="str">
        <f t="shared" si="69"/>
        <v/>
      </c>
      <c r="Y375" s="64" t="str">
        <f t="shared" si="70"/>
        <v/>
      </c>
      <c r="Z375" s="64" t="str">
        <f t="shared" si="71"/>
        <v/>
      </c>
      <c r="AA375" s="63" t="str">
        <f t="shared" si="67"/>
        <v xml:space="preserve">OTROS RESULTADOS INTEGRALES ACUMULADOS </v>
      </c>
    </row>
    <row r="376" spans="1:27">
      <c r="A376" s="53"/>
      <c r="B376" s="53"/>
      <c r="C376" s="53"/>
      <c r="D376" s="239" t="s">
        <v>538</v>
      </c>
      <c r="E376" s="239"/>
      <c r="F376" s="239"/>
      <c r="G376" s="239"/>
      <c r="H376" s="239"/>
      <c r="I376" s="239"/>
      <c r="J376" s="239"/>
      <c r="K376" s="239"/>
      <c r="L376" s="239"/>
      <c r="M376" s="239"/>
      <c r="N376" s="239"/>
      <c r="O376" s="239"/>
      <c r="S376" s="61">
        <f t="shared" si="68"/>
        <v>0</v>
      </c>
      <c r="T376" s="64" t="str">
        <f t="shared" si="66"/>
        <v>ESTADO DE SITUACIÓN FINANCIERA</v>
      </c>
      <c r="U376" s="64" t="str">
        <f t="shared" si="63"/>
        <v>PATRIMONIO</v>
      </c>
      <c r="V376" s="64" t="str">
        <f t="shared" si="64"/>
        <v>OTROS RESULTADOS INTEGRALES ACUMULADOS</v>
      </c>
      <c r="W376" s="64" t="str">
        <f t="shared" si="65"/>
        <v>SUPERÁVIT DE REVALUACIÓN ACUMULADO</v>
      </c>
      <c r="X376" s="64" t="str">
        <f t="shared" si="69"/>
        <v/>
      </c>
      <c r="Y376" s="64" t="str">
        <f t="shared" si="70"/>
        <v/>
      </c>
      <c r="Z376" s="64" t="str">
        <f t="shared" si="71"/>
        <v/>
      </c>
      <c r="AA376" s="63" t="str">
        <f t="shared" si="67"/>
        <v>OTROS RESULTADOS INTEGRALES ACUMULADOS SUPERÁVIT DE REVALUACIÓN ACUMULADO</v>
      </c>
    </row>
    <row r="377" spans="1:27">
      <c r="A377" s="53"/>
      <c r="B377" s="53"/>
      <c r="C377" s="53"/>
      <c r="D377" s="53"/>
      <c r="E377" s="235" t="s">
        <v>539</v>
      </c>
      <c r="F377" s="235"/>
      <c r="G377" s="235"/>
      <c r="H377" s="235"/>
      <c r="I377" s="235"/>
      <c r="J377" s="235"/>
      <c r="K377" s="235"/>
      <c r="L377" s="235"/>
      <c r="M377" s="235"/>
      <c r="N377" s="9" t="s">
        <v>540</v>
      </c>
      <c r="O377" s="55" t="e">
        <f>VLOOKUP(N377,Casilleros!$A$4:$Q$830,17,FALSE)</f>
        <v>#REF!</v>
      </c>
      <c r="S377" s="61" t="str">
        <f t="shared" si="68"/>
        <v>618</v>
      </c>
      <c r="T377" s="64" t="str">
        <f t="shared" si="66"/>
        <v>ESTADO DE SITUACIÓN FINANCIERA</v>
      </c>
      <c r="U377" s="64" t="str">
        <f t="shared" si="63"/>
        <v>PATRIMONIO</v>
      </c>
      <c r="V377" s="64" t="str">
        <f t="shared" si="64"/>
        <v>OTROS RESULTADOS INTEGRALES ACUMULADOS</v>
      </c>
      <c r="W377" s="64" t="str">
        <f t="shared" si="65"/>
        <v>SUPERÁVIT DE REVALUACIÓN ACUMULADO</v>
      </c>
      <c r="X377" s="64" t="str">
        <f t="shared" si="69"/>
        <v>Propiedades, Planta y Equipo</v>
      </c>
      <c r="Y377" s="64" t="str">
        <f t="shared" si="70"/>
        <v/>
      </c>
      <c r="Z377" s="64" t="str">
        <f t="shared" si="71"/>
        <v/>
      </c>
      <c r="AA377" s="63" t="str">
        <f t="shared" si="67"/>
        <v>SUPERÁVIT DE REVALUACIÓN ACUMULADO_Propiedades, Planta y Equipo__</v>
      </c>
    </row>
    <row r="378" spans="1:27">
      <c r="A378" s="53"/>
      <c r="B378" s="53"/>
      <c r="C378" s="53"/>
      <c r="D378" s="53"/>
      <c r="E378" s="235" t="s">
        <v>541</v>
      </c>
      <c r="F378" s="235"/>
      <c r="G378" s="235"/>
      <c r="H378" s="235"/>
      <c r="I378" s="235"/>
      <c r="J378" s="235"/>
      <c r="K378" s="235"/>
      <c r="L378" s="235"/>
      <c r="M378" s="235"/>
      <c r="N378" s="9" t="s">
        <v>542</v>
      </c>
      <c r="O378" s="55" t="e">
        <f>VLOOKUP(N378,Casilleros!$A$4:$Q$830,17,FALSE)</f>
        <v>#REF!</v>
      </c>
      <c r="S378" s="61" t="str">
        <f t="shared" si="68"/>
        <v>619</v>
      </c>
      <c r="T378" s="64" t="str">
        <f t="shared" si="66"/>
        <v>ESTADO DE SITUACIÓN FINANCIERA</v>
      </c>
      <c r="U378" s="64" t="str">
        <f t="shared" si="63"/>
        <v>PATRIMONIO</v>
      </c>
      <c r="V378" s="64" t="str">
        <f t="shared" si="64"/>
        <v>OTROS RESULTADOS INTEGRALES ACUMULADOS</v>
      </c>
      <c r="W378" s="64" t="str">
        <f t="shared" si="65"/>
        <v>SUPERÁVIT DE REVALUACIÓN ACUMULADO</v>
      </c>
      <c r="X378" s="64" t="str">
        <f t="shared" si="69"/>
        <v>Activos intangibles</v>
      </c>
      <c r="Y378" s="64" t="str">
        <f t="shared" si="70"/>
        <v/>
      </c>
      <c r="Z378" s="64" t="str">
        <f t="shared" si="71"/>
        <v/>
      </c>
      <c r="AA378" s="63" t="str">
        <f t="shared" si="67"/>
        <v>SUPERÁVIT DE REVALUACIÓN ACUMULADO_Activos intangibles__</v>
      </c>
    </row>
    <row r="379" spans="1:27">
      <c r="A379" s="53"/>
      <c r="B379" s="53"/>
      <c r="C379" s="53"/>
      <c r="D379" s="53"/>
      <c r="E379" s="235" t="s">
        <v>122</v>
      </c>
      <c r="F379" s="235"/>
      <c r="G379" s="235"/>
      <c r="H379" s="235"/>
      <c r="I379" s="235"/>
      <c r="J379" s="235"/>
      <c r="K379" s="235"/>
      <c r="L379" s="235"/>
      <c r="M379" s="235"/>
      <c r="N379" s="9" t="s">
        <v>543</v>
      </c>
      <c r="O379" s="55" t="e">
        <f>VLOOKUP(N379,Casilleros!$A$4:$Q$830,17,FALSE)</f>
        <v>#REF!</v>
      </c>
      <c r="S379" s="61" t="str">
        <f t="shared" si="68"/>
        <v>620</v>
      </c>
      <c r="T379" s="64" t="str">
        <f t="shared" si="66"/>
        <v>ESTADO DE SITUACIÓN FINANCIERA</v>
      </c>
      <c r="U379" s="64" t="str">
        <f t="shared" si="63"/>
        <v>PATRIMONIO</v>
      </c>
      <c r="V379" s="64" t="str">
        <f t="shared" si="64"/>
        <v>OTROS RESULTADOS INTEGRALES ACUMULADOS</v>
      </c>
      <c r="W379" s="64" t="str">
        <f t="shared" si="65"/>
        <v>SUPERÁVIT DE REVALUACIÓN ACUMULADO</v>
      </c>
      <c r="X379" s="64" t="str">
        <f t="shared" si="69"/>
        <v>Otros</v>
      </c>
      <c r="Y379" s="64" t="str">
        <f t="shared" si="70"/>
        <v/>
      </c>
      <c r="Z379" s="64" t="str">
        <f t="shared" si="71"/>
        <v/>
      </c>
      <c r="AA379" s="63" t="str">
        <f t="shared" si="67"/>
        <v>SUPERÁVIT DE REVALUACIÓN ACUMULADO_Otros__</v>
      </c>
    </row>
    <row r="380" spans="1:27">
      <c r="A380" s="53"/>
      <c r="B380" s="53"/>
      <c r="C380" s="53"/>
      <c r="D380" s="235" t="s">
        <v>544</v>
      </c>
      <c r="E380" s="235"/>
      <c r="F380" s="235"/>
      <c r="G380" s="235"/>
      <c r="H380" s="235"/>
      <c r="I380" s="235"/>
      <c r="J380" s="235"/>
      <c r="K380" s="235"/>
      <c r="L380" s="235"/>
      <c r="M380" s="235"/>
      <c r="N380" s="9" t="s">
        <v>545</v>
      </c>
      <c r="O380" s="55" t="e">
        <f>VLOOKUP(N380,Casilleros!$A$4:$Q$830,17,FALSE)</f>
        <v>#REF!</v>
      </c>
      <c r="S380" s="61" t="str">
        <f t="shared" si="68"/>
        <v>621</v>
      </c>
      <c r="T380" s="64" t="str">
        <f t="shared" si="66"/>
        <v>ESTADO DE SITUACIÓN FINANCIERA</v>
      </c>
      <c r="U380" s="64" t="str">
        <f t="shared" si="63"/>
        <v>PATRIMONIO</v>
      </c>
      <c r="V380" s="64" t="str">
        <f t="shared" si="64"/>
        <v>OTROS RESULTADOS INTEGRALES ACUMULADOS</v>
      </c>
      <c r="W380" s="64" t="str">
        <f t="shared" si="65"/>
        <v>Ganancias y pérdidas acumuladas por inversiones en instrumentos de patrimonio medidos a valor razonable con cambios en otro resultado integral</v>
      </c>
      <c r="X380" s="64" t="str">
        <f t="shared" si="69"/>
        <v/>
      </c>
      <c r="Y380" s="64" t="str">
        <f t="shared" si="70"/>
        <v/>
      </c>
      <c r="Z380" s="64" t="str">
        <f t="shared" si="71"/>
        <v/>
      </c>
      <c r="AA380" s="63" t="str">
        <f t="shared" si="67"/>
        <v>OTROS RESULTADOS INTEGRALES ACUMULADOS Ganancias y pérdidas acumuladas por inversiones en instrumentos de patrimonio medidos a valor razonable con cambios en otro resultado integral</v>
      </c>
    </row>
    <row r="381" spans="1:27">
      <c r="A381" s="53"/>
      <c r="B381" s="53"/>
      <c r="C381" s="53"/>
      <c r="D381" s="235" t="s">
        <v>546</v>
      </c>
      <c r="E381" s="235"/>
      <c r="F381" s="235"/>
      <c r="G381" s="235"/>
      <c r="H381" s="235"/>
      <c r="I381" s="235"/>
      <c r="J381" s="235"/>
      <c r="K381" s="235"/>
      <c r="L381" s="235"/>
      <c r="M381" s="235"/>
      <c r="N381" s="9" t="s">
        <v>547</v>
      </c>
      <c r="O381" s="55" t="e">
        <f>VLOOKUP(N381,Casilleros!$A$4:$Q$830,17,FALSE)</f>
        <v>#REF!</v>
      </c>
      <c r="S381" s="61" t="str">
        <f t="shared" si="68"/>
        <v>622</v>
      </c>
      <c r="T381" s="64" t="str">
        <f t="shared" si="66"/>
        <v>ESTADO DE SITUACIÓN FINANCIERA</v>
      </c>
      <c r="U381" s="64" t="str">
        <f t="shared" si="63"/>
        <v>PATRIMONIO</v>
      </c>
      <c r="V381" s="64" t="str">
        <f t="shared" si="64"/>
        <v>OTROS RESULTADOS INTEGRALES ACUMULADOS</v>
      </c>
      <c r="W381" s="64" t="str">
        <f t="shared" si="65"/>
        <v>Ganancias y pérdidas acumuladas por la conversión de estados financieros de un negocio en el extranjero</v>
      </c>
      <c r="X381" s="64" t="str">
        <f t="shared" si="69"/>
        <v/>
      </c>
      <c r="Y381" s="64" t="str">
        <f t="shared" si="70"/>
        <v/>
      </c>
      <c r="Z381" s="64" t="str">
        <f t="shared" si="71"/>
        <v/>
      </c>
      <c r="AA381" s="63" t="str">
        <f t="shared" si="67"/>
        <v>OTROS RESULTADOS INTEGRALES ACUMULADOS Ganancias y pérdidas acumuladas por la conversión de estados financieros de un negocio en el extranjero</v>
      </c>
    </row>
    <row r="382" spans="1:27">
      <c r="A382" s="53"/>
      <c r="B382" s="53"/>
      <c r="C382" s="53"/>
      <c r="D382" s="235" t="s">
        <v>548</v>
      </c>
      <c r="E382" s="235"/>
      <c r="F382" s="235"/>
      <c r="G382" s="235"/>
      <c r="H382" s="235"/>
      <c r="I382" s="235"/>
      <c r="J382" s="235"/>
      <c r="K382" s="235"/>
      <c r="L382" s="235"/>
      <c r="M382" s="235"/>
      <c r="N382" s="9" t="s">
        <v>549</v>
      </c>
      <c r="O382" s="55" t="e">
        <f>VLOOKUP(N382,Casilleros!$A$4:$Q$830,17,FALSE)</f>
        <v>#REF!</v>
      </c>
      <c r="S382" s="61" t="str">
        <f t="shared" si="68"/>
        <v>623</v>
      </c>
      <c r="T382" s="64" t="str">
        <f t="shared" si="66"/>
        <v>ESTADO DE SITUACIÓN FINANCIERA</v>
      </c>
      <c r="U382" s="64" t="str">
        <f t="shared" si="63"/>
        <v>PATRIMONIO</v>
      </c>
      <c r="V382" s="64" t="str">
        <f t="shared" si="64"/>
        <v>OTROS RESULTADOS INTEGRALES ACUMULADOS</v>
      </c>
      <c r="W382" s="64" t="str">
        <f t="shared" si="65"/>
        <v>Ganancias y pérdidas actuariales acumuladas</v>
      </c>
      <c r="X382" s="64" t="str">
        <f t="shared" si="69"/>
        <v/>
      </c>
      <c r="Y382" s="64" t="str">
        <f t="shared" si="70"/>
        <v/>
      </c>
      <c r="Z382" s="64" t="str">
        <f t="shared" si="71"/>
        <v/>
      </c>
      <c r="AA382" s="63" t="str">
        <f t="shared" si="67"/>
        <v>OTROS RESULTADOS INTEGRALES ACUMULADOS Ganancias y pérdidas actuariales acumuladas</v>
      </c>
    </row>
    <row r="383" spans="1:27">
      <c r="A383" s="53"/>
      <c r="B383" s="53"/>
      <c r="C383" s="53"/>
      <c r="D383" s="235" t="s">
        <v>550</v>
      </c>
      <c r="E383" s="235"/>
      <c r="F383" s="235"/>
      <c r="G383" s="235"/>
      <c r="H383" s="235"/>
      <c r="I383" s="235"/>
      <c r="J383" s="235"/>
      <c r="K383" s="235"/>
      <c r="L383" s="235"/>
      <c r="M383" s="235"/>
      <c r="N383" s="9" t="s">
        <v>551</v>
      </c>
      <c r="O383" s="55" t="e">
        <f>VLOOKUP(N383,Casilleros!$A$4:$Q$830,17,FALSE)</f>
        <v>#REF!</v>
      </c>
      <c r="S383" s="61" t="str">
        <f t="shared" si="68"/>
        <v>624</v>
      </c>
      <c r="T383" s="64" t="str">
        <f t="shared" si="66"/>
        <v>ESTADO DE SITUACIÓN FINANCIERA</v>
      </c>
      <c r="U383" s="64" t="str">
        <f t="shared" si="63"/>
        <v>PATRIMONIO</v>
      </c>
      <c r="V383" s="64" t="str">
        <f t="shared" si="64"/>
        <v>OTROS RESULTADOS INTEGRALES ACUMULADOS</v>
      </c>
      <c r="W383" s="64" t="str">
        <f t="shared" si="65"/>
        <v>La parte efectiva de las ganancias y pérdidas de los instrumentos de cobertura en una cobertura de flujos de efectivo</v>
      </c>
      <c r="X383" s="64" t="str">
        <f t="shared" si="69"/>
        <v/>
      </c>
      <c r="Y383" s="64" t="str">
        <f t="shared" si="70"/>
        <v/>
      </c>
      <c r="Z383" s="64" t="str">
        <f t="shared" si="71"/>
        <v/>
      </c>
      <c r="AA383" s="63" t="str">
        <f t="shared" si="67"/>
        <v>OTROS RESULTADOS INTEGRALES ACUMULADOS La parte efectiva de las ganancias y pérdidas de los instrumentos de cobertura en una cobertura de flujos de efectivo</v>
      </c>
    </row>
    <row r="384" spans="1:27">
      <c r="A384" s="53"/>
      <c r="B384" s="53"/>
      <c r="C384" s="53"/>
      <c r="D384" s="235" t="s">
        <v>122</v>
      </c>
      <c r="E384" s="235"/>
      <c r="F384" s="235"/>
      <c r="G384" s="235"/>
      <c r="H384" s="235"/>
      <c r="I384" s="235"/>
      <c r="J384" s="235"/>
      <c r="K384" s="235"/>
      <c r="L384" s="235"/>
      <c r="M384" s="235"/>
      <c r="N384" s="9" t="s">
        <v>552</v>
      </c>
      <c r="O384" s="55" t="e">
        <f>VLOOKUP(N384,Casilleros!$A$4:$Q$830,17,FALSE)</f>
        <v>#REF!</v>
      </c>
      <c r="S384" s="61" t="str">
        <f t="shared" si="68"/>
        <v>625</v>
      </c>
      <c r="T384" s="64" t="str">
        <f t="shared" si="66"/>
        <v>ESTADO DE SITUACIÓN FINANCIERA</v>
      </c>
      <c r="U384" s="64" t="str">
        <f t="shared" si="63"/>
        <v>PATRIMONIO</v>
      </c>
      <c r="V384" s="64" t="str">
        <f t="shared" si="64"/>
        <v>OTROS RESULTADOS INTEGRALES ACUMULADOS</v>
      </c>
      <c r="W384" s="64" t="str">
        <f t="shared" si="65"/>
        <v>Otros</v>
      </c>
      <c r="X384" s="64" t="str">
        <f t="shared" si="69"/>
        <v/>
      </c>
      <c r="Y384" s="64" t="str">
        <f t="shared" si="70"/>
        <v/>
      </c>
      <c r="Z384" s="64" t="str">
        <f t="shared" si="71"/>
        <v/>
      </c>
      <c r="AA384" s="63" t="str">
        <f t="shared" si="67"/>
        <v>OTROS RESULTADOS INTEGRALES ACUMULADOS Otros</v>
      </c>
    </row>
    <row r="385" spans="1:38">
      <c r="A385" s="53"/>
      <c r="B385" s="53"/>
      <c r="C385" s="235" t="s">
        <v>553</v>
      </c>
      <c r="D385" s="235"/>
      <c r="E385" s="235"/>
      <c r="F385" s="235"/>
      <c r="G385" s="235"/>
      <c r="H385" s="235"/>
      <c r="I385" s="235"/>
      <c r="J385" s="235"/>
      <c r="K385" s="235"/>
      <c r="L385" s="235"/>
      <c r="M385" s="235"/>
      <c r="N385" s="9" t="s">
        <v>554</v>
      </c>
      <c r="O385" s="55" t="e">
        <f>VLOOKUP(N385,Casilleros!$A$4:$Q$830,17,FALSE)</f>
        <v>#REF!</v>
      </c>
      <c r="S385" s="61" t="str">
        <f t="shared" si="68"/>
        <v>626</v>
      </c>
      <c r="T385" s="64" t="str">
        <f t="shared" si="66"/>
        <v>ESTADO DE SITUACIÓN FINANCIERA</v>
      </c>
      <c r="U385" s="64" t="str">
        <f t="shared" si="63"/>
        <v>PATRIMONIO</v>
      </c>
      <c r="V385" s="64" t="str">
        <f t="shared" si="64"/>
        <v xml:space="preserve">Dividendos declarados (distribuidos) a favor de titulares de derechos representativos de capital en el ejercicio fiscal  (Informativo) </v>
      </c>
      <c r="W385" s="64" t="str">
        <f t="shared" si="65"/>
        <v/>
      </c>
      <c r="X385" s="64" t="str">
        <f t="shared" si="69"/>
        <v/>
      </c>
      <c r="Y385" s="64" t="str">
        <f t="shared" si="70"/>
        <v/>
      </c>
      <c r="Z385" s="64" t="str">
        <f t="shared" si="71"/>
        <v/>
      </c>
      <c r="AA385" s="75" t="str">
        <f t="shared" si="67"/>
        <v xml:space="preserve">Dividendos declarados (distribuidos) a favor de titulares de derechos representativos de capital en el ejercicio fiscal  (Informativo)  </v>
      </c>
    </row>
    <row r="386" spans="1:38">
      <c r="A386" s="53"/>
      <c r="B386" s="53"/>
      <c r="C386" s="235" t="s">
        <v>555</v>
      </c>
      <c r="D386" s="235"/>
      <c r="E386" s="235"/>
      <c r="F386" s="235"/>
      <c r="G386" s="235"/>
      <c r="H386" s="235"/>
      <c r="I386" s="235"/>
      <c r="J386" s="235"/>
      <c r="K386" s="235"/>
      <c r="L386" s="235"/>
      <c r="M386" s="235"/>
      <c r="N386" s="9" t="s">
        <v>556</v>
      </c>
      <c r="O386" s="55" t="e">
        <f>VLOOKUP(N386,Casilleros!$A$4:$Q$830,17,FALSE)</f>
        <v>#REF!</v>
      </c>
      <c r="S386" s="61" t="str">
        <f t="shared" si="68"/>
        <v>627</v>
      </c>
      <c r="T386" s="64" t="str">
        <f t="shared" si="66"/>
        <v>ESTADO DE SITUACIÓN FINANCIERA</v>
      </c>
      <c r="U386" s="64" t="str">
        <f t="shared" si="63"/>
        <v>PATRIMONIO</v>
      </c>
      <c r="V386" s="64" t="str">
        <f t="shared" si="64"/>
        <v xml:space="preserve">Dividendos pagados (liquidados)  a titulares de derechos representativos de capital en el ejercicio fiscal  (Informativo) </v>
      </c>
      <c r="W386" s="64" t="str">
        <f t="shared" si="65"/>
        <v/>
      </c>
      <c r="X386" s="64" t="str">
        <f t="shared" si="69"/>
        <v/>
      </c>
      <c r="Y386" s="64" t="str">
        <f t="shared" si="70"/>
        <v/>
      </c>
      <c r="Z386" s="64" t="str">
        <f t="shared" si="71"/>
        <v/>
      </c>
      <c r="AA386" s="75" t="str">
        <f t="shared" si="67"/>
        <v xml:space="preserve">Dividendos pagados (liquidados)  a titulares de derechos representativos de capital en el ejercicio fiscal  (Informativo)  </v>
      </c>
    </row>
    <row r="387" spans="1:38">
      <c r="A387" s="53"/>
      <c r="B387" s="238" t="s">
        <v>557</v>
      </c>
      <c r="C387" s="238"/>
      <c r="D387" s="238"/>
      <c r="E387" s="238"/>
      <c r="F387" s="238"/>
      <c r="G387" s="238"/>
      <c r="H387" s="238"/>
      <c r="I387" s="238"/>
      <c r="J387" s="238"/>
      <c r="K387" s="238"/>
      <c r="L387" s="238"/>
      <c r="M387" s="238"/>
      <c r="N387" s="71" t="s">
        <v>558</v>
      </c>
      <c r="O387" s="72" t="e">
        <f>SUM(O355:O386)</f>
        <v>#REF!</v>
      </c>
      <c r="S387" s="61" t="str">
        <f t="shared" si="68"/>
        <v>698</v>
      </c>
      <c r="T387" s="64" t="str">
        <f t="shared" si="66"/>
        <v>ESTADO DE SITUACIÓN FINANCIERA</v>
      </c>
      <c r="U387" s="64" t="str">
        <f t="shared" si="63"/>
        <v>TOTAL DEL PATRIMONIO</v>
      </c>
      <c r="V387" s="64" t="str">
        <f t="shared" si="64"/>
        <v/>
      </c>
      <c r="W387" s="64" t="str">
        <f t="shared" si="65"/>
        <v/>
      </c>
      <c r="X387" s="64" t="str">
        <f t="shared" si="69"/>
        <v/>
      </c>
      <c r="Y387" s="64" t="str">
        <f t="shared" si="70"/>
        <v/>
      </c>
      <c r="Z387" s="64" t="str">
        <f t="shared" si="71"/>
        <v/>
      </c>
      <c r="AA387" s="69" t="str">
        <f>+U387</f>
        <v>TOTAL DEL PATRIMONIO</v>
      </c>
    </row>
    <row r="388" spans="1:38">
      <c r="A388" s="53"/>
      <c r="B388" s="238" t="s">
        <v>559</v>
      </c>
      <c r="C388" s="238"/>
      <c r="D388" s="238"/>
      <c r="E388" s="238"/>
      <c r="F388" s="238"/>
      <c r="G388" s="238"/>
      <c r="H388" s="238"/>
      <c r="I388" s="238"/>
      <c r="J388" s="238"/>
      <c r="K388" s="238"/>
      <c r="L388" s="238"/>
      <c r="M388" s="238"/>
      <c r="N388" s="71" t="s">
        <v>560</v>
      </c>
      <c r="O388" s="72" t="e">
        <f>+O387+O354</f>
        <v>#REF!</v>
      </c>
      <c r="P388" s="67" t="e">
        <f>+O388+O238</f>
        <v>#REF!</v>
      </c>
      <c r="S388" s="61" t="str">
        <f t="shared" si="68"/>
        <v>699</v>
      </c>
      <c r="T388" s="64" t="str">
        <f t="shared" si="66"/>
        <v>ESTADO DE SITUACIÓN FINANCIERA</v>
      </c>
      <c r="U388" s="64" t="str">
        <f t="shared" si="63"/>
        <v>TOTAL PASIVO Y PATRIMONIO</v>
      </c>
      <c r="V388" s="64" t="str">
        <f t="shared" si="64"/>
        <v/>
      </c>
      <c r="W388" s="64" t="str">
        <f t="shared" si="65"/>
        <v/>
      </c>
      <c r="X388" s="64" t="str">
        <f t="shared" si="69"/>
        <v/>
      </c>
      <c r="Y388" s="64" t="str">
        <f t="shared" si="70"/>
        <v/>
      </c>
      <c r="Z388" s="64" t="str">
        <f t="shared" si="71"/>
        <v/>
      </c>
      <c r="AA388" s="69" t="str">
        <f>+U388</f>
        <v>TOTAL PASIVO Y PATRIMONIO</v>
      </c>
    </row>
    <row r="389" spans="1:38">
      <c r="A389" s="236" t="s">
        <v>561</v>
      </c>
      <c r="B389" s="236"/>
      <c r="C389" s="236"/>
      <c r="D389" s="236"/>
      <c r="E389" s="236"/>
      <c r="F389" s="236"/>
      <c r="G389" s="236"/>
      <c r="H389" s="236"/>
      <c r="I389" s="236"/>
      <c r="J389" s="236"/>
      <c r="K389" s="236"/>
      <c r="L389" s="236"/>
      <c r="M389" s="236"/>
      <c r="N389" s="236"/>
      <c r="O389" s="236"/>
      <c r="T389" s="64" t="str">
        <f t="shared" si="66"/>
        <v>ESTADO DEL RESULTADO INTEGRAL</v>
      </c>
      <c r="U389" s="64" t="str">
        <f>IF(T388&lt;&gt;T389,"",(IF(B389&lt;&gt;"",B389,U388)))</f>
        <v/>
      </c>
      <c r="V389" s="64" t="str">
        <f t="shared" si="64"/>
        <v/>
      </c>
      <c r="W389" s="64" t="str">
        <f t="shared" si="65"/>
        <v/>
      </c>
      <c r="X389" s="64" t="str">
        <f t="shared" si="69"/>
        <v/>
      </c>
      <c r="Y389" s="64" t="str">
        <f t="shared" si="70"/>
        <v/>
      </c>
      <c r="Z389" s="64" t="str">
        <f t="shared" si="71"/>
        <v/>
      </c>
      <c r="AA389" s="64" t="str">
        <f t="shared" ref="AA389:AA403" si="72">IF(X389&lt;&gt;"",CONCATENATE(W389,"_",X389,"_",Y389,"_",Z389),W389)</f>
        <v/>
      </c>
    </row>
    <row r="390" spans="1:38">
      <c r="A390" s="53"/>
      <c r="B390" s="236" t="s">
        <v>562</v>
      </c>
      <c r="C390" s="236"/>
      <c r="D390" s="236"/>
      <c r="E390" s="236"/>
      <c r="F390" s="236"/>
      <c r="G390" s="236"/>
      <c r="H390" s="236"/>
      <c r="I390" s="236"/>
      <c r="J390" s="236"/>
      <c r="K390" s="236"/>
      <c r="L390" s="236"/>
      <c r="M390" s="236"/>
      <c r="N390" s="236"/>
      <c r="O390" s="236"/>
      <c r="T390" s="64" t="str">
        <f t="shared" si="66"/>
        <v>ESTADO DEL RESULTADO INTEGRAL</v>
      </c>
      <c r="U390" s="64" t="str">
        <f t="shared" ref="U390:U453" si="73">IF(T389&lt;&gt;T390,"",(IF(B390&lt;&gt;"",B390,U389)))</f>
        <v>INGRESOS</v>
      </c>
      <c r="V390" s="64" t="str">
        <f t="shared" si="64"/>
        <v/>
      </c>
      <c r="W390" s="64" t="str">
        <f t="shared" si="65"/>
        <v/>
      </c>
      <c r="X390" s="64" t="str">
        <f t="shared" si="69"/>
        <v/>
      </c>
      <c r="Y390" s="64" t="str">
        <f t="shared" si="70"/>
        <v/>
      </c>
      <c r="Z390" s="64" t="str">
        <f t="shared" si="71"/>
        <v/>
      </c>
      <c r="AA390" s="64" t="str">
        <f t="shared" si="72"/>
        <v/>
      </c>
    </row>
    <row r="391" spans="1:38">
      <c r="A391" s="53"/>
      <c r="B391" s="53"/>
      <c r="C391" s="236" t="s">
        <v>563</v>
      </c>
      <c r="D391" s="236"/>
      <c r="E391" s="236"/>
      <c r="F391" s="236"/>
      <c r="G391" s="236"/>
      <c r="H391" s="236"/>
      <c r="I391" s="236"/>
      <c r="J391" s="236"/>
      <c r="K391" s="236"/>
      <c r="L391" s="236"/>
      <c r="M391" s="236"/>
      <c r="N391" s="236"/>
      <c r="O391" s="236"/>
      <c r="T391" s="64" t="str">
        <f t="shared" si="66"/>
        <v>ESTADO DEL RESULTADO INTEGRAL</v>
      </c>
      <c r="U391" s="64" t="str">
        <f t="shared" si="73"/>
        <v>INGRESOS</v>
      </c>
      <c r="V391" s="64" t="str">
        <f t="shared" si="64"/>
        <v>INGRESOS DE ACTIVIDADES ORDINARIAS</v>
      </c>
      <c r="W391" s="64" t="str">
        <f t="shared" si="65"/>
        <v/>
      </c>
      <c r="X391" s="64" t="str">
        <f t="shared" si="69"/>
        <v/>
      </c>
      <c r="Y391" s="64" t="str">
        <f t="shared" si="70"/>
        <v/>
      </c>
      <c r="Z391" s="64" t="str">
        <f t="shared" si="71"/>
        <v/>
      </c>
      <c r="AA391" s="64" t="str">
        <f t="shared" si="72"/>
        <v/>
      </c>
    </row>
    <row r="392" spans="1:38">
      <c r="A392" s="53"/>
      <c r="B392" s="53"/>
      <c r="C392" s="53"/>
      <c r="D392" s="247" t="s">
        <v>564</v>
      </c>
      <c r="E392" s="247"/>
      <c r="F392" s="247"/>
      <c r="G392" s="247"/>
      <c r="H392" s="247"/>
      <c r="I392" s="247"/>
      <c r="J392" s="247"/>
      <c r="K392" s="247"/>
      <c r="L392" s="248" t="s">
        <v>565</v>
      </c>
      <c r="M392" s="248"/>
      <c r="N392" s="248" t="s">
        <v>566</v>
      </c>
      <c r="O392" s="248"/>
      <c r="T392" s="64" t="str">
        <f t="shared" si="66"/>
        <v>ESTADO DEL RESULTADO INTEGRAL</v>
      </c>
      <c r="U392" s="64" t="str">
        <f t="shared" si="73"/>
        <v>INGRESOS</v>
      </c>
      <c r="V392" s="64" t="str">
        <f t="shared" si="64"/>
        <v>INGRESOS DE ACTIVIDADES ORDINARIAS</v>
      </c>
      <c r="W392" s="64" t="str">
        <f t="shared" si="65"/>
        <v>VENTAS LOCALES DE BIENES</v>
      </c>
      <c r="X392" s="64" t="str">
        <f t="shared" si="69"/>
        <v/>
      </c>
      <c r="Y392" s="64" t="str">
        <f t="shared" si="70"/>
        <v/>
      </c>
      <c r="Z392" s="64" t="str">
        <f t="shared" si="71"/>
        <v/>
      </c>
      <c r="AA392" s="64" t="str">
        <f t="shared" si="72"/>
        <v>VENTAS LOCALES DE BIENES</v>
      </c>
    </row>
    <row r="393" spans="1:38">
      <c r="A393" s="53"/>
      <c r="B393" s="53"/>
      <c r="C393" s="53"/>
      <c r="D393" s="53"/>
      <c r="E393" s="242" t="s">
        <v>567</v>
      </c>
      <c r="F393" s="242"/>
      <c r="G393" s="242"/>
      <c r="H393" s="242"/>
      <c r="I393" s="242"/>
      <c r="J393" s="242"/>
      <c r="K393" s="242"/>
      <c r="L393" s="9" t="s">
        <v>568</v>
      </c>
      <c r="M393" s="55" t="e">
        <f>VLOOKUP(L393,Casilleros!$A$4:$Q$830,17,FALSE)</f>
        <v>#REF!</v>
      </c>
      <c r="N393" s="9" t="s">
        <v>569</v>
      </c>
      <c r="O393" s="55" t="e">
        <f>VLOOKUP(N393,Casilleros!$A$4:$Q$830,17,FALSE)</f>
        <v>#REF!</v>
      </c>
      <c r="S393" s="61" t="str">
        <f>+L393</f>
        <v>6001</v>
      </c>
      <c r="T393" s="64" t="str">
        <f t="shared" si="66"/>
        <v>ESTADO DEL RESULTADO INTEGRAL</v>
      </c>
      <c r="U393" s="64" t="str">
        <f t="shared" si="73"/>
        <v>INGRESOS</v>
      </c>
      <c r="V393" s="64" t="str">
        <f t="shared" si="64"/>
        <v>INGRESOS DE ACTIVIDADES ORDINARIAS</v>
      </c>
      <c r="W393" s="64" t="str">
        <f t="shared" si="65"/>
        <v>VENTAS LOCALES DE BIENES</v>
      </c>
      <c r="X393" s="64" t="str">
        <f t="shared" si="69"/>
        <v>Gravadas con tarifa diferente de 0% de IVA</v>
      </c>
      <c r="Y393" s="64" t="str">
        <f t="shared" si="70"/>
        <v/>
      </c>
      <c r="Z393" s="64" t="str">
        <f t="shared" si="71"/>
        <v/>
      </c>
      <c r="AA393" s="64" t="str">
        <f t="shared" si="72"/>
        <v>VENTAS LOCALES DE BIENES_Gravadas con tarifa diferente de 0% de IVA__</v>
      </c>
      <c r="AC393" s="76" t="s">
        <v>569</v>
      </c>
      <c r="AD393" s="76" t="s">
        <v>561</v>
      </c>
      <c r="AE393" s="76" t="s">
        <v>562</v>
      </c>
      <c r="AF393" s="76" t="s">
        <v>563</v>
      </c>
      <c r="AG393" s="76" t="s">
        <v>564</v>
      </c>
      <c r="AH393" s="76" t="s">
        <v>567</v>
      </c>
      <c r="AI393" s="76" t="s">
        <v>444</v>
      </c>
      <c r="AJ393" s="76" t="s">
        <v>444</v>
      </c>
      <c r="AK393" s="76" t="s">
        <v>1896</v>
      </c>
      <c r="AL393" s="76" t="str">
        <f t="shared" ref="AL393:AL403" si="74">CONCATENATE("IE/No Objeto_",AK393)</f>
        <v>IE/No Objeto_VENTAS LOCALES DE BIENES_Gravadas con tarifa diferente de 0% de IVA__</v>
      </c>
    </row>
    <row r="394" spans="1:38">
      <c r="A394" s="53"/>
      <c r="B394" s="53"/>
      <c r="C394" s="53"/>
      <c r="D394" s="53"/>
      <c r="E394" s="242" t="s">
        <v>570</v>
      </c>
      <c r="F394" s="242"/>
      <c r="G394" s="242"/>
      <c r="H394" s="242"/>
      <c r="I394" s="242"/>
      <c r="J394" s="242"/>
      <c r="K394" s="242"/>
      <c r="L394" s="9" t="s">
        <v>571</v>
      </c>
      <c r="M394" s="55" t="e">
        <f>VLOOKUP(L394,Casilleros!$A$4:$Q$830,17,FALSE)</f>
        <v>#REF!</v>
      </c>
      <c r="N394" s="9" t="s">
        <v>572</v>
      </c>
      <c r="O394" s="55" t="e">
        <f>VLOOKUP(N394,Casilleros!$A$4:$Q$830,17,FALSE)</f>
        <v>#REF!</v>
      </c>
      <c r="S394" s="61" t="str">
        <f t="shared" ref="S394:S457" si="75">+L394</f>
        <v>6003</v>
      </c>
      <c r="T394" s="64" t="str">
        <f t="shared" si="66"/>
        <v>ESTADO DEL RESULTADO INTEGRAL</v>
      </c>
      <c r="U394" s="64" t="str">
        <f t="shared" si="73"/>
        <v>INGRESOS</v>
      </c>
      <c r="V394" s="64" t="str">
        <f t="shared" si="64"/>
        <v>INGRESOS DE ACTIVIDADES ORDINARIAS</v>
      </c>
      <c r="W394" s="64" t="str">
        <f t="shared" si="65"/>
        <v>VENTAS LOCALES DE BIENES</v>
      </c>
      <c r="X394" s="64" t="str">
        <f t="shared" si="69"/>
        <v>Gravadas con tarifa 0% de iva o exentas de IVA</v>
      </c>
      <c r="Y394" s="64" t="str">
        <f t="shared" si="70"/>
        <v/>
      </c>
      <c r="Z394" s="64" t="str">
        <f t="shared" si="71"/>
        <v/>
      </c>
      <c r="AA394" s="64" t="str">
        <f t="shared" si="72"/>
        <v>VENTAS LOCALES DE BIENES_Gravadas con tarifa 0% de iva o exentas de IVA__</v>
      </c>
      <c r="AC394" s="76" t="s">
        <v>572</v>
      </c>
      <c r="AD394" s="76" t="s">
        <v>561</v>
      </c>
      <c r="AE394" s="76" t="s">
        <v>562</v>
      </c>
      <c r="AF394" s="76" t="s">
        <v>563</v>
      </c>
      <c r="AG394" s="76" t="s">
        <v>564</v>
      </c>
      <c r="AH394" s="76" t="s">
        <v>570</v>
      </c>
      <c r="AI394" s="76" t="s">
        <v>444</v>
      </c>
      <c r="AJ394" s="76" t="s">
        <v>444</v>
      </c>
      <c r="AK394" s="76" t="s">
        <v>1897</v>
      </c>
      <c r="AL394" s="76" t="str">
        <f t="shared" si="74"/>
        <v>IE/No Objeto_VENTAS LOCALES DE BIENES_Gravadas con tarifa 0% de iva o exentas de IVA__</v>
      </c>
    </row>
    <row r="395" spans="1:38">
      <c r="A395" s="53"/>
      <c r="B395" s="53"/>
      <c r="C395" s="53"/>
      <c r="D395" s="239" t="s">
        <v>573</v>
      </c>
      <c r="E395" s="239"/>
      <c r="F395" s="239"/>
      <c r="G395" s="239"/>
      <c r="H395" s="239"/>
      <c r="I395" s="239"/>
      <c r="J395" s="239"/>
      <c r="K395" s="239"/>
      <c r="L395" s="246" t="s">
        <v>565</v>
      </c>
      <c r="M395" s="246"/>
      <c r="N395" s="246" t="s">
        <v>566</v>
      </c>
      <c r="O395" s="246"/>
      <c r="S395" s="61" t="str">
        <f t="shared" si="75"/>
        <v>Total ingresos</v>
      </c>
      <c r="T395" s="64" t="str">
        <f t="shared" si="66"/>
        <v>ESTADO DEL RESULTADO INTEGRAL</v>
      </c>
      <c r="U395" s="64" t="str">
        <f t="shared" si="73"/>
        <v>INGRESOS</v>
      </c>
      <c r="V395" s="64" t="str">
        <f t="shared" si="64"/>
        <v>INGRESOS DE ACTIVIDADES ORDINARIAS</v>
      </c>
      <c r="W395" s="64" t="str">
        <f t="shared" si="65"/>
        <v>PRESTACIONES LOCALES DE SERVICIOS</v>
      </c>
      <c r="X395" s="64" t="str">
        <f t="shared" si="69"/>
        <v/>
      </c>
      <c r="Y395" s="64" t="str">
        <f t="shared" si="70"/>
        <v/>
      </c>
      <c r="Z395" s="64" t="str">
        <f t="shared" si="71"/>
        <v/>
      </c>
      <c r="AA395" s="64" t="str">
        <f t="shared" si="72"/>
        <v>PRESTACIONES LOCALES DE SERVICIOS</v>
      </c>
      <c r="AC395" s="76"/>
      <c r="AD395" s="76" t="s">
        <v>561</v>
      </c>
      <c r="AE395" s="76" t="s">
        <v>562</v>
      </c>
      <c r="AF395" s="76" t="s">
        <v>563</v>
      </c>
      <c r="AG395" s="76" t="s">
        <v>573</v>
      </c>
      <c r="AH395" s="76" t="s">
        <v>444</v>
      </c>
      <c r="AI395" s="76" t="s">
        <v>444</v>
      </c>
      <c r="AJ395" s="76" t="s">
        <v>444</v>
      </c>
      <c r="AK395" s="76" t="s">
        <v>573</v>
      </c>
      <c r="AL395" s="76" t="str">
        <f t="shared" si="74"/>
        <v>IE/No Objeto_PRESTACIONES LOCALES DE SERVICIOS</v>
      </c>
    </row>
    <row r="396" spans="1:38">
      <c r="A396" s="53"/>
      <c r="B396" s="53"/>
      <c r="C396" s="53"/>
      <c r="D396" s="53"/>
      <c r="E396" s="242" t="s">
        <v>567</v>
      </c>
      <c r="F396" s="242"/>
      <c r="G396" s="242"/>
      <c r="H396" s="242"/>
      <c r="I396" s="242"/>
      <c r="J396" s="242"/>
      <c r="K396" s="242"/>
      <c r="L396" s="9" t="s">
        <v>574</v>
      </c>
      <c r="M396" s="74" t="e">
        <f>VLOOKUP(L396,Casilleros!$A$4:$Q$830,17,FALSE)</f>
        <v>#REF!</v>
      </c>
      <c r="N396" s="9" t="s">
        <v>575</v>
      </c>
      <c r="O396" s="55" t="e">
        <f>VLOOKUP(N396,Casilleros!$A$4:$Q$830,17,FALSE)</f>
        <v>#REF!</v>
      </c>
      <c r="S396" s="61" t="str">
        <f t="shared" si="75"/>
        <v>6005</v>
      </c>
      <c r="T396" s="64" t="str">
        <f t="shared" si="66"/>
        <v>ESTADO DEL RESULTADO INTEGRAL</v>
      </c>
      <c r="U396" s="64" t="str">
        <f t="shared" si="73"/>
        <v>INGRESOS</v>
      </c>
      <c r="V396" s="64" t="str">
        <f t="shared" si="64"/>
        <v>INGRESOS DE ACTIVIDADES ORDINARIAS</v>
      </c>
      <c r="W396" s="64" t="str">
        <f t="shared" si="65"/>
        <v>PRESTACIONES LOCALES DE SERVICIOS</v>
      </c>
      <c r="X396" s="64" t="str">
        <f t="shared" si="69"/>
        <v>Gravadas con tarifa diferente de 0% de IVA</v>
      </c>
      <c r="Y396" s="64" t="str">
        <f t="shared" si="70"/>
        <v/>
      </c>
      <c r="Z396" s="64" t="str">
        <f t="shared" si="71"/>
        <v/>
      </c>
      <c r="AA396" s="64" t="str">
        <f t="shared" si="72"/>
        <v>PRESTACIONES LOCALES DE SERVICIOS_Gravadas con tarifa diferente de 0% de IVA__</v>
      </c>
      <c r="AC396" s="76" t="s">
        <v>575</v>
      </c>
      <c r="AD396" s="76" t="s">
        <v>561</v>
      </c>
      <c r="AE396" s="76" t="s">
        <v>562</v>
      </c>
      <c r="AF396" s="76" t="s">
        <v>563</v>
      </c>
      <c r="AG396" s="76" t="s">
        <v>573</v>
      </c>
      <c r="AH396" s="76" t="s">
        <v>567</v>
      </c>
      <c r="AI396" s="76" t="s">
        <v>444</v>
      </c>
      <c r="AJ396" s="76" t="s">
        <v>444</v>
      </c>
      <c r="AK396" s="76" t="s">
        <v>1898</v>
      </c>
      <c r="AL396" s="76" t="str">
        <f t="shared" si="74"/>
        <v>IE/No Objeto_PRESTACIONES LOCALES DE SERVICIOS_Gravadas con tarifa diferente de 0% de IVA__</v>
      </c>
    </row>
    <row r="397" spans="1:38">
      <c r="A397" s="53"/>
      <c r="B397" s="53"/>
      <c r="C397" s="53"/>
      <c r="D397" s="53"/>
      <c r="E397" s="242" t="s">
        <v>570</v>
      </c>
      <c r="F397" s="242"/>
      <c r="G397" s="242"/>
      <c r="H397" s="242"/>
      <c r="I397" s="242"/>
      <c r="J397" s="242"/>
      <c r="K397" s="242"/>
      <c r="L397" s="9" t="s">
        <v>576</v>
      </c>
      <c r="M397" s="74" t="e">
        <f>VLOOKUP(L397,Casilleros!$A$4:$Q$830,17,FALSE)</f>
        <v>#REF!</v>
      </c>
      <c r="N397" s="9" t="s">
        <v>577</v>
      </c>
      <c r="O397" s="55" t="e">
        <f>VLOOKUP(N397,Casilleros!$A$4:$Q$830,17,FALSE)</f>
        <v>#REF!</v>
      </c>
      <c r="S397" s="61" t="str">
        <f t="shared" si="75"/>
        <v>6007</v>
      </c>
      <c r="T397" s="64" t="str">
        <f t="shared" si="66"/>
        <v>ESTADO DEL RESULTADO INTEGRAL</v>
      </c>
      <c r="U397" s="64" t="str">
        <f t="shared" si="73"/>
        <v>INGRESOS</v>
      </c>
      <c r="V397" s="64" t="str">
        <f t="shared" si="64"/>
        <v>INGRESOS DE ACTIVIDADES ORDINARIAS</v>
      </c>
      <c r="W397" s="64" t="str">
        <f t="shared" si="65"/>
        <v>PRESTACIONES LOCALES DE SERVICIOS</v>
      </c>
      <c r="X397" s="64" t="str">
        <f t="shared" si="69"/>
        <v>Gravadas con tarifa 0% de iva o exentas de IVA</v>
      </c>
      <c r="Y397" s="64" t="str">
        <f t="shared" si="70"/>
        <v/>
      </c>
      <c r="Z397" s="64" t="str">
        <f t="shared" si="71"/>
        <v/>
      </c>
      <c r="AA397" s="64" t="str">
        <f t="shared" si="72"/>
        <v>PRESTACIONES LOCALES DE SERVICIOS_Gravadas con tarifa 0% de iva o exentas de IVA__</v>
      </c>
      <c r="AC397" s="76" t="s">
        <v>577</v>
      </c>
      <c r="AD397" s="76" t="s">
        <v>561</v>
      </c>
      <c r="AE397" s="76" t="s">
        <v>562</v>
      </c>
      <c r="AF397" s="76" t="s">
        <v>563</v>
      </c>
      <c r="AG397" s="76" t="s">
        <v>573</v>
      </c>
      <c r="AH397" s="76" t="s">
        <v>570</v>
      </c>
      <c r="AI397" s="76" t="s">
        <v>444</v>
      </c>
      <c r="AJ397" s="76" t="s">
        <v>444</v>
      </c>
      <c r="AK397" s="76" t="s">
        <v>1899</v>
      </c>
      <c r="AL397" s="76" t="str">
        <f t="shared" si="74"/>
        <v>IE/No Objeto_PRESTACIONES LOCALES DE SERVICIOS_Gravadas con tarifa 0% de iva o exentas de IVA__</v>
      </c>
    </row>
    <row r="398" spans="1:38">
      <c r="A398" s="53"/>
      <c r="B398" s="53"/>
      <c r="C398" s="53"/>
      <c r="D398" s="239" t="s">
        <v>578</v>
      </c>
      <c r="E398" s="239"/>
      <c r="F398" s="239"/>
      <c r="G398" s="239"/>
      <c r="H398" s="239"/>
      <c r="I398" s="239"/>
      <c r="J398" s="239"/>
      <c r="K398" s="239"/>
      <c r="L398" s="246" t="s">
        <v>565</v>
      </c>
      <c r="M398" s="246"/>
      <c r="N398" s="246" t="s">
        <v>566</v>
      </c>
      <c r="O398" s="246"/>
      <c r="S398" s="61" t="str">
        <f t="shared" si="75"/>
        <v>Total ingresos</v>
      </c>
      <c r="T398" s="64" t="str">
        <f t="shared" si="66"/>
        <v>ESTADO DEL RESULTADO INTEGRAL</v>
      </c>
      <c r="U398" s="64" t="str">
        <f t="shared" si="73"/>
        <v>INGRESOS</v>
      </c>
      <c r="V398" s="64" t="str">
        <f t="shared" si="64"/>
        <v>INGRESOS DE ACTIVIDADES ORDINARIAS</v>
      </c>
      <c r="W398" s="64" t="str">
        <f t="shared" si="65"/>
        <v>EXPORTACIONES NETAS (6009 - 6012)</v>
      </c>
      <c r="X398" s="64" t="str">
        <f t="shared" si="69"/>
        <v/>
      </c>
      <c r="Y398" s="64" t="str">
        <f t="shared" si="70"/>
        <v/>
      </c>
      <c r="Z398" s="64" t="str">
        <f t="shared" si="71"/>
        <v/>
      </c>
      <c r="AA398" s="64" t="str">
        <f t="shared" si="72"/>
        <v>EXPORTACIONES NETAS (6009 - 6012)</v>
      </c>
      <c r="AC398" s="76"/>
      <c r="AD398" s="76" t="s">
        <v>561</v>
      </c>
      <c r="AE398" s="76" t="s">
        <v>562</v>
      </c>
      <c r="AF398" s="76" t="s">
        <v>563</v>
      </c>
      <c r="AG398" s="76" t="s">
        <v>578</v>
      </c>
      <c r="AH398" s="76" t="s">
        <v>444</v>
      </c>
      <c r="AI398" s="76" t="s">
        <v>444</v>
      </c>
      <c r="AJ398" s="76" t="s">
        <v>444</v>
      </c>
      <c r="AK398" s="76" t="s">
        <v>578</v>
      </c>
      <c r="AL398" s="76" t="str">
        <f t="shared" si="74"/>
        <v>IE/No Objeto_EXPORTACIONES NETAS (6009 - 6012)</v>
      </c>
    </row>
    <row r="399" spans="1:38">
      <c r="A399" s="53"/>
      <c r="B399" s="53"/>
      <c r="C399" s="53"/>
      <c r="D399" s="53"/>
      <c r="E399" s="242" t="s">
        <v>579</v>
      </c>
      <c r="F399" s="242"/>
      <c r="G399" s="242"/>
      <c r="H399" s="242"/>
      <c r="I399" s="242"/>
      <c r="J399" s="242"/>
      <c r="K399" s="242"/>
      <c r="L399" s="9" t="s">
        <v>580</v>
      </c>
      <c r="M399" s="55" t="e">
        <f>VLOOKUP(L399,Casilleros!$A$4:$Q$830,17,FALSE)</f>
        <v>#REF!</v>
      </c>
      <c r="N399" s="9" t="s">
        <v>581</v>
      </c>
      <c r="O399" s="55" t="e">
        <f>VLOOKUP(N399,Casilleros!$A$4:$Q$830,17,FALSE)</f>
        <v>#REF!</v>
      </c>
      <c r="S399" s="61" t="str">
        <f t="shared" si="75"/>
        <v>6009</v>
      </c>
      <c r="T399" s="64" t="str">
        <f t="shared" si="66"/>
        <v>ESTADO DEL RESULTADO INTEGRAL</v>
      </c>
      <c r="U399" s="64" t="str">
        <f t="shared" si="73"/>
        <v>INGRESOS</v>
      </c>
      <c r="V399" s="64" t="str">
        <f t="shared" si="64"/>
        <v>INGRESOS DE ACTIVIDADES ORDINARIAS</v>
      </c>
      <c r="W399" s="64" t="str">
        <f t="shared" si="65"/>
        <v>EXPORTACIONES NETAS (6009 - 6012)</v>
      </c>
      <c r="X399" s="64" t="str">
        <f t="shared" si="69"/>
        <v>De bienes</v>
      </c>
      <c r="Y399" s="64" t="str">
        <f t="shared" si="70"/>
        <v/>
      </c>
      <c r="Z399" s="64" t="str">
        <f t="shared" si="71"/>
        <v/>
      </c>
      <c r="AA399" s="64" t="str">
        <f t="shared" si="72"/>
        <v>EXPORTACIONES NETAS (6009 - 6012)_De bienes__</v>
      </c>
      <c r="AC399" s="76" t="s">
        <v>581</v>
      </c>
      <c r="AD399" s="76" t="s">
        <v>561</v>
      </c>
      <c r="AE399" s="76" t="s">
        <v>562</v>
      </c>
      <c r="AF399" s="76" t="s">
        <v>563</v>
      </c>
      <c r="AG399" s="76" t="s">
        <v>578</v>
      </c>
      <c r="AH399" s="76" t="s">
        <v>579</v>
      </c>
      <c r="AI399" s="76" t="s">
        <v>444</v>
      </c>
      <c r="AJ399" s="76" t="s">
        <v>444</v>
      </c>
      <c r="AK399" s="76" t="s">
        <v>1900</v>
      </c>
      <c r="AL399" s="76" t="str">
        <f t="shared" si="74"/>
        <v>IE/No Objeto_EXPORTACIONES NETAS (6009 - 6012)_De bienes__</v>
      </c>
    </row>
    <row r="400" spans="1:38">
      <c r="A400" s="53"/>
      <c r="B400" s="53"/>
      <c r="C400" s="53"/>
      <c r="D400" s="53"/>
      <c r="E400" s="242" t="s">
        <v>582</v>
      </c>
      <c r="F400" s="242"/>
      <c r="G400" s="242"/>
      <c r="H400" s="242"/>
      <c r="I400" s="242"/>
      <c r="J400" s="242"/>
      <c r="K400" s="242"/>
      <c r="L400" s="9" t="s">
        <v>583</v>
      </c>
      <c r="M400" s="74" t="e">
        <f>VLOOKUP(L400,Casilleros!$A$4:$Q$830,17,FALSE)</f>
        <v>#REF!</v>
      </c>
      <c r="N400" s="9" t="s">
        <v>584</v>
      </c>
      <c r="O400" s="55" t="e">
        <f>VLOOKUP(N400,Casilleros!$A$4:$Q$830,17,FALSE)</f>
        <v>#REF!</v>
      </c>
      <c r="S400" s="61" t="str">
        <f t="shared" si="75"/>
        <v>6011</v>
      </c>
      <c r="T400" s="64" t="str">
        <f t="shared" si="66"/>
        <v>ESTADO DEL RESULTADO INTEGRAL</v>
      </c>
      <c r="U400" s="64" t="str">
        <f t="shared" si="73"/>
        <v>INGRESOS</v>
      </c>
      <c r="V400" s="64" t="str">
        <f t="shared" si="64"/>
        <v>INGRESOS DE ACTIVIDADES ORDINARIAS</v>
      </c>
      <c r="W400" s="64" t="str">
        <f t="shared" si="65"/>
        <v>EXPORTACIONES NETAS (6009 - 6012)</v>
      </c>
      <c r="X400" s="64" t="str">
        <f t="shared" si="69"/>
        <v>De servicios</v>
      </c>
      <c r="Y400" s="64" t="str">
        <f t="shared" si="70"/>
        <v/>
      </c>
      <c r="Z400" s="64" t="str">
        <f t="shared" si="71"/>
        <v/>
      </c>
      <c r="AA400" s="64" t="str">
        <f t="shared" si="72"/>
        <v>EXPORTACIONES NETAS (6009 - 6012)_De servicios__</v>
      </c>
      <c r="AC400" s="76" t="s">
        <v>584</v>
      </c>
      <c r="AD400" s="76" t="s">
        <v>561</v>
      </c>
      <c r="AE400" s="76" t="s">
        <v>562</v>
      </c>
      <c r="AF400" s="76" t="s">
        <v>563</v>
      </c>
      <c r="AG400" s="76" t="s">
        <v>578</v>
      </c>
      <c r="AH400" s="76" t="s">
        <v>582</v>
      </c>
      <c r="AI400" s="76" t="s">
        <v>444</v>
      </c>
      <c r="AJ400" s="76" t="s">
        <v>444</v>
      </c>
      <c r="AK400" s="76" t="s">
        <v>1901</v>
      </c>
      <c r="AL400" s="76" t="str">
        <f t="shared" si="74"/>
        <v>IE/No Objeto_EXPORTACIONES NETAS (6009 - 6012)_De servicios__</v>
      </c>
    </row>
    <row r="401" spans="1:425">
      <c r="A401" s="53"/>
      <c r="B401" s="53"/>
      <c r="C401" s="53"/>
      <c r="D401" s="242" t="s">
        <v>585</v>
      </c>
      <c r="E401" s="242"/>
      <c r="F401" s="242"/>
      <c r="G401" s="242"/>
      <c r="H401" s="242"/>
      <c r="I401" s="242"/>
      <c r="J401" s="242"/>
      <c r="K401" s="242"/>
      <c r="L401" s="9" t="s">
        <v>586</v>
      </c>
      <c r="M401" s="55" t="e">
        <f>VLOOKUP(L401,Casilleros!$A$4:$Q$830,17,FALSE)</f>
        <v>#REF!</v>
      </c>
      <c r="N401" s="9" t="s">
        <v>587</v>
      </c>
      <c r="O401" s="55" t="e">
        <f>VLOOKUP(N401,Casilleros!$A$4:$Q$830,17,FALSE)</f>
        <v>#REF!</v>
      </c>
      <c r="S401" s="61" t="str">
        <f t="shared" si="75"/>
        <v>6013</v>
      </c>
      <c r="T401" s="64" t="str">
        <f t="shared" si="66"/>
        <v>ESTADO DEL RESULTADO INTEGRAL</v>
      </c>
      <c r="U401" s="64" t="str">
        <f t="shared" si="73"/>
        <v>INGRESOS</v>
      </c>
      <c r="V401" s="64" t="str">
        <f t="shared" si="64"/>
        <v>INGRESOS DE ACTIVIDADES ORDINARIAS</v>
      </c>
      <c r="W401" s="64" t="str">
        <f t="shared" si="65"/>
        <v>Por prestación de servicios de construcción</v>
      </c>
      <c r="X401" s="64" t="str">
        <f t="shared" si="69"/>
        <v/>
      </c>
      <c r="Y401" s="64" t="str">
        <f t="shared" si="70"/>
        <v/>
      </c>
      <c r="Z401" s="64" t="str">
        <f t="shared" si="71"/>
        <v/>
      </c>
      <c r="AA401" s="64" t="str">
        <f t="shared" si="72"/>
        <v>Por prestación de servicios de construcción</v>
      </c>
      <c r="AC401" s="76" t="s">
        <v>587</v>
      </c>
      <c r="AD401" s="76" t="s">
        <v>561</v>
      </c>
      <c r="AE401" s="76" t="s">
        <v>562</v>
      </c>
      <c r="AF401" s="76" t="s">
        <v>563</v>
      </c>
      <c r="AG401" s="76" t="s">
        <v>585</v>
      </c>
      <c r="AH401" s="76" t="s">
        <v>444</v>
      </c>
      <c r="AI401" s="76" t="s">
        <v>444</v>
      </c>
      <c r="AJ401" s="76" t="s">
        <v>444</v>
      </c>
      <c r="AK401" s="76" t="s">
        <v>585</v>
      </c>
      <c r="AL401" s="76" t="str">
        <f t="shared" si="74"/>
        <v>IE/No Objeto_Por prestación de servicios de construcción</v>
      </c>
    </row>
    <row r="402" spans="1:425">
      <c r="A402" s="53"/>
      <c r="B402" s="53"/>
      <c r="C402" s="53"/>
      <c r="D402" s="242" t="s">
        <v>588</v>
      </c>
      <c r="E402" s="242"/>
      <c r="F402" s="242"/>
      <c r="G402" s="242"/>
      <c r="H402" s="242"/>
      <c r="I402" s="242"/>
      <c r="J402" s="242"/>
      <c r="K402" s="242"/>
      <c r="L402" s="9" t="s">
        <v>589</v>
      </c>
      <c r="M402" s="55" t="e">
        <f>VLOOKUP(L402,Casilleros!$A$4:$Q$830,17,FALSE)</f>
        <v>#REF!</v>
      </c>
      <c r="N402" s="9" t="s">
        <v>590</v>
      </c>
      <c r="O402" s="55" t="e">
        <f>VLOOKUP(N402,Casilleros!$A$4:$Q$830,17,FALSE)</f>
        <v>#REF!</v>
      </c>
      <c r="S402" s="61" t="str">
        <f t="shared" si="75"/>
        <v>6015</v>
      </c>
      <c r="T402" s="64" t="str">
        <f t="shared" si="66"/>
        <v>ESTADO DEL RESULTADO INTEGRAL</v>
      </c>
      <c r="U402" s="64" t="str">
        <f t="shared" si="73"/>
        <v>INGRESOS</v>
      </c>
      <c r="V402" s="64" t="str">
        <f t="shared" si="64"/>
        <v>INGRESOS DE ACTIVIDADES ORDINARIAS</v>
      </c>
      <c r="W402" s="64" t="str">
        <f t="shared" si="65"/>
        <v>Obtenidos bajo la modalidad de comisiones o similares (relaciones de agencia)</v>
      </c>
      <c r="X402" s="64" t="str">
        <f t="shared" si="69"/>
        <v/>
      </c>
      <c r="Y402" s="64" t="str">
        <f t="shared" si="70"/>
        <v/>
      </c>
      <c r="Z402" s="64" t="str">
        <f t="shared" si="71"/>
        <v/>
      </c>
      <c r="AA402" s="64" t="str">
        <f t="shared" si="72"/>
        <v>Obtenidos bajo la modalidad de comisiones o similares (relaciones de agencia)</v>
      </c>
      <c r="AC402" s="76" t="s">
        <v>590</v>
      </c>
      <c r="AD402" s="76" t="s">
        <v>561</v>
      </c>
      <c r="AE402" s="76" t="s">
        <v>562</v>
      </c>
      <c r="AF402" s="76" t="s">
        <v>563</v>
      </c>
      <c r="AG402" s="76" t="s">
        <v>588</v>
      </c>
      <c r="AH402" s="76" t="s">
        <v>444</v>
      </c>
      <c r="AI402" s="76" t="s">
        <v>444</v>
      </c>
      <c r="AJ402" s="76" t="s">
        <v>444</v>
      </c>
      <c r="AK402" s="76" t="s">
        <v>588</v>
      </c>
      <c r="AL402" s="76" t="str">
        <f t="shared" si="74"/>
        <v>IE/No Objeto_Obtenidos bajo la modalidad de comisiones o similares (relaciones de agencia)</v>
      </c>
    </row>
    <row r="403" spans="1:425">
      <c r="A403" s="53"/>
      <c r="B403" s="53"/>
      <c r="C403" s="53"/>
      <c r="D403" s="242" t="s">
        <v>591</v>
      </c>
      <c r="E403" s="242"/>
      <c r="F403" s="242"/>
      <c r="G403" s="242"/>
      <c r="H403" s="242"/>
      <c r="I403" s="242"/>
      <c r="J403" s="242"/>
      <c r="K403" s="242"/>
      <c r="L403" s="9" t="s">
        <v>592</v>
      </c>
      <c r="M403" s="55" t="e">
        <f>VLOOKUP(L403,Casilleros!$A$4:$Q$830,17,FALSE)</f>
        <v>#REF!</v>
      </c>
      <c r="N403" s="9" t="s">
        <v>593</v>
      </c>
      <c r="O403" s="55" t="e">
        <f>VLOOKUP(N403,Casilleros!$A$4:$Q$830,17,FALSE)</f>
        <v>#REF!</v>
      </c>
      <c r="S403" s="61" t="str">
        <f t="shared" si="75"/>
        <v>6017</v>
      </c>
      <c r="T403" s="64" t="str">
        <f t="shared" si="66"/>
        <v>ESTADO DEL RESULTADO INTEGRAL</v>
      </c>
      <c r="U403" s="64" t="str">
        <f t="shared" si="73"/>
        <v>INGRESOS</v>
      </c>
      <c r="V403" s="64" t="str">
        <f t="shared" si="64"/>
        <v>INGRESOS DE ACTIVIDADES ORDINARIAS</v>
      </c>
      <c r="W403" s="64" t="str">
        <f t="shared" si="65"/>
        <v>Obtenidos por arrendamientos operativos</v>
      </c>
      <c r="X403" s="64" t="str">
        <f t="shared" si="69"/>
        <v/>
      </c>
      <c r="Y403" s="64" t="str">
        <f t="shared" si="70"/>
        <v/>
      </c>
      <c r="Z403" s="64" t="str">
        <f t="shared" si="71"/>
        <v/>
      </c>
      <c r="AA403" s="64" t="str">
        <f t="shared" si="72"/>
        <v>Obtenidos por arrendamientos operativos</v>
      </c>
      <c r="AC403" s="76" t="s">
        <v>593</v>
      </c>
      <c r="AD403" s="76" t="s">
        <v>561</v>
      </c>
      <c r="AE403" s="76" t="s">
        <v>562</v>
      </c>
      <c r="AF403" s="76" t="s">
        <v>563</v>
      </c>
      <c r="AG403" s="76" t="s">
        <v>591</v>
      </c>
      <c r="AH403" s="76" t="s">
        <v>444</v>
      </c>
      <c r="AI403" s="76" t="s">
        <v>444</v>
      </c>
      <c r="AJ403" s="76" t="s">
        <v>444</v>
      </c>
      <c r="AK403" s="76" t="s">
        <v>591</v>
      </c>
      <c r="AL403" s="76" t="str">
        <f t="shared" si="74"/>
        <v>IE/No Objeto_Obtenidos por arrendamientos operativos</v>
      </c>
    </row>
    <row r="404" spans="1:425" s="80" customFormat="1">
      <c r="A404" s="77"/>
      <c r="B404" s="77"/>
      <c r="C404" s="249" t="s">
        <v>594</v>
      </c>
      <c r="D404" s="249"/>
      <c r="E404" s="249"/>
      <c r="F404" s="249"/>
      <c r="G404" s="249"/>
      <c r="H404" s="249"/>
      <c r="I404" s="249"/>
      <c r="J404" s="249"/>
      <c r="K404" s="249"/>
      <c r="L404" s="78" t="s">
        <v>595</v>
      </c>
      <c r="M404" s="79" t="e">
        <f>SUM(M393:M403)</f>
        <v>#REF!</v>
      </c>
      <c r="N404" s="250"/>
      <c r="O404" s="250"/>
      <c r="P404" s="67"/>
      <c r="Q404" s="67"/>
      <c r="R404" s="67"/>
      <c r="S404" s="61" t="str">
        <f t="shared" si="75"/>
        <v>1005</v>
      </c>
      <c r="T404" s="64" t="str">
        <f t="shared" si="66"/>
        <v>ESTADO DEL RESULTADO INTEGRAL</v>
      </c>
      <c r="U404" s="64" t="str">
        <f t="shared" si="73"/>
        <v>INGRESOS</v>
      </c>
      <c r="V404" s="64" t="str">
        <f t="shared" si="64"/>
        <v>TOTAL INGRESOS DE ACTIVIDADES ORDINARIAS</v>
      </c>
      <c r="W404" s="64" t="str">
        <f t="shared" si="65"/>
        <v/>
      </c>
      <c r="X404" s="64" t="str">
        <f t="shared" si="69"/>
        <v/>
      </c>
      <c r="Y404" s="64" t="str">
        <f t="shared" si="70"/>
        <v/>
      </c>
      <c r="Z404" s="64" t="str">
        <f t="shared" si="71"/>
        <v/>
      </c>
      <c r="AA404" s="69" t="str">
        <f>+V404</f>
        <v>TOTAL INGRESOS DE ACTIVIDADES ORDINARIAS</v>
      </c>
      <c r="AB404" s="64"/>
      <c r="AC404" s="64"/>
      <c r="AD404" s="64"/>
      <c r="AE404" s="64"/>
      <c r="AF404" s="64"/>
      <c r="AG404" s="64"/>
      <c r="AH404" s="64"/>
      <c r="AI404" s="64"/>
      <c r="AJ404" s="64"/>
      <c r="AK404" s="64"/>
      <c r="AL404" s="64"/>
      <c r="AM404" s="64"/>
      <c r="AN404" s="64"/>
      <c r="AO404" s="64"/>
      <c r="AP404" s="64"/>
      <c r="AQ404" s="64"/>
      <c r="AR404" s="64"/>
      <c r="AS404" s="64"/>
      <c r="AT404" s="64"/>
      <c r="AU404" s="64"/>
      <c r="AV404" s="64"/>
      <c r="AW404" s="64"/>
      <c r="AX404" s="64"/>
      <c r="AY404" s="64"/>
      <c r="AZ404" s="64"/>
      <c r="BA404" s="64"/>
      <c r="BB404" s="64"/>
      <c r="BC404" s="64"/>
      <c r="BD404" s="64"/>
      <c r="BE404" s="64"/>
      <c r="BF404" s="64"/>
      <c r="BG404" s="64"/>
      <c r="BH404" s="64"/>
      <c r="BI404" s="64"/>
      <c r="BJ404" s="64"/>
      <c r="BK404" s="64"/>
      <c r="BL404" s="64"/>
      <c r="BM404" s="64"/>
      <c r="BN404" s="64"/>
      <c r="BO404" s="64"/>
      <c r="BP404" s="64"/>
      <c r="BQ404" s="64"/>
      <c r="BR404" s="64"/>
      <c r="BS404" s="64"/>
      <c r="BT404" s="64"/>
      <c r="BU404" s="64"/>
      <c r="BV404" s="64"/>
      <c r="BW404" s="64"/>
      <c r="BX404" s="64"/>
      <c r="BY404" s="64"/>
      <c r="BZ404" s="64"/>
      <c r="CA404" s="64"/>
      <c r="CB404" s="64"/>
      <c r="CC404" s="64"/>
      <c r="CD404" s="64"/>
      <c r="CE404" s="64"/>
      <c r="CF404" s="64"/>
      <c r="CG404" s="64"/>
      <c r="CH404" s="64"/>
      <c r="CI404" s="64"/>
      <c r="CJ404" s="64"/>
      <c r="CK404" s="64"/>
      <c r="CL404" s="64"/>
      <c r="CM404" s="64"/>
      <c r="CN404" s="64"/>
      <c r="CO404" s="64"/>
      <c r="CP404" s="64"/>
      <c r="CQ404" s="64"/>
      <c r="CR404" s="64"/>
      <c r="CS404" s="64"/>
      <c r="CT404" s="64"/>
      <c r="CU404" s="64"/>
      <c r="CV404" s="64"/>
      <c r="CW404" s="64"/>
      <c r="CX404" s="64"/>
      <c r="CY404" s="64"/>
      <c r="CZ404" s="64"/>
      <c r="DA404" s="64"/>
      <c r="DB404" s="64"/>
      <c r="DC404" s="64"/>
      <c r="DD404" s="64"/>
      <c r="DE404" s="64"/>
      <c r="DF404" s="64"/>
      <c r="DG404" s="64"/>
      <c r="DH404" s="64"/>
      <c r="DI404" s="64"/>
      <c r="DJ404" s="64"/>
      <c r="DK404" s="64"/>
      <c r="DL404" s="64"/>
      <c r="DM404" s="64"/>
      <c r="DN404" s="64"/>
      <c r="DO404" s="64"/>
      <c r="DP404" s="64"/>
      <c r="DQ404" s="64"/>
      <c r="DR404" s="64"/>
      <c r="DS404" s="64"/>
      <c r="DT404" s="64"/>
      <c r="DU404" s="64"/>
      <c r="DV404" s="64"/>
      <c r="DW404" s="64"/>
      <c r="DX404" s="64"/>
      <c r="DY404" s="64"/>
      <c r="DZ404" s="64"/>
      <c r="EA404" s="64"/>
      <c r="EB404" s="64"/>
      <c r="EC404" s="64"/>
      <c r="ED404" s="64"/>
      <c r="EE404" s="64"/>
      <c r="EF404" s="64"/>
      <c r="EG404" s="64"/>
      <c r="EH404" s="64"/>
      <c r="EI404" s="64"/>
      <c r="EJ404" s="64"/>
      <c r="EK404" s="64"/>
      <c r="EL404" s="64"/>
      <c r="EM404" s="64"/>
      <c r="EN404" s="64"/>
      <c r="EO404" s="64"/>
      <c r="EP404" s="64"/>
      <c r="EQ404" s="64"/>
      <c r="ER404" s="64"/>
      <c r="ES404" s="64"/>
      <c r="ET404" s="64"/>
      <c r="EU404" s="64"/>
      <c r="EV404" s="64"/>
      <c r="EW404" s="64"/>
      <c r="EX404" s="64"/>
      <c r="EY404" s="64"/>
      <c r="EZ404" s="64"/>
      <c r="FA404" s="64"/>
      <c r="FB404" s="64"/>
      <c r="FC404" s="64"/>
      <c r="FD404" s="64"/>
      <c r="FE404" s="64"/>
      <c r="FF404" s="64"/>
      <c r="FG404" s="64"/>
      <c r="FH404" s="64"/>
      <c r="FI404" s="64"/>
      <c r="FJ404" s="64"/>
      <c r="FK404" s="64"/>
      <c r="FL404" s="64"/>
      <c r="FM404" s="64"/>
      <c r="FN404" s="64"/>
      <c r="FO404" s="64"/>
      <c r="FP404" s="64"/>
      <c r="FQ404" s="64"/>
      <c r="FR404" s="64"/>
      <c r="FS404" s="64"/>
      <c r="FT404" s="64"/>
      <c r="FU404" s="64"/>
      <c r="FV404" s="64"/>
      <c r="FW404" s="64"/>
      <c r="FX404" s="64"/>
      <c r="FY404" s="64"/>
      <c r="FZ404" s="64"/>
      <c r="GA404" s="64"/>
      <c r="GB404" s="64"/>
      <c r="GC404" s="64"/>
      <c r="GD404" s="64"/>
      <c r="GE404" s="64"/>
      <c r="GF404" s="64"/>
      <c r="GG404" s="64"/>
      <c r="GH404" s="64"/>
      <c r="GI404" s="64"/>
      <c r="GJ404" s="64"/>
      <c r="GK404" s="64"/>
      <c r="GL404" s="64"/>
      <c r="GM404" s="64"/>
      <c r="GN404" s="64"/>
      <c r="GO404" s="64"/>
      <c r="GP404" s="64"/>
      <c r="GQ404" s="64"/>
      <c r="GR404" s="64"/>
      <c r="GS404" s="64"/>
      <c r="GT404" s="64"/>
      <c r="GU404" s="64"/>
      <c r="GV404" s="64"/>
      <c r="GW404" s="64"/>
      <c r="GX404" s="64"/>
      <c r="GY404" s="64"/>
      <c r="GZ404" s="64"/>
      <c r="HA404" s="64"/>
      <c r="HB404" s="64"/>
      <c r="HC404" s="64"/>
      <c r="HD404" s="64"/>
      <c r="HE404" s="64"/>
      <c r="HF404" s="64"/>
      <c r="HG404" s="64"/>
      <c r="HH404" s="64"/>
      <c r="HI404" s="64"/>
      <c r="HJ404" s="64"/>
      <c r="HK404" s="64"/>
      <c r="HL404" s="64"/>
      <c r="HM404" s="64"/>
      <c r="HN404" s="64"/>
      <c r="HO404" s="64"/>
      <c r="HP404" s="64"/>
      <c r="HQ404" s="64"/>
      <c r="HR404" s="64"/>
      <c r="HS404" s="64"/>
      <c r="HT404" s="64"/>
      <c r="HU404" s="64"/>
      <c r="HV404" s="64"/>
      <c r="HW404" s="64"/>
      <c r="HX404" s="64"/>
      <c r="HY404" s="64"/>
      <c r="HZ404" s="64"/>
      <c r="IA404" s="64"/>
      <c r="IB404" s="64"/>
      <c r="IC404" s="64"/>
      <c r="ID404" s="64"/>
      <c r="IE404" s="64"/>
      <c r="IF404" s="64"/>
      <c r="IG404" s="64"/>
      <c r="IH404" s="64"/>
      <c r="II404" s="64"/>
      <c r="IJ404" s="64"/>
      <c r="IK404" s="64"/>
      <c r="IL404" s="64"/>
      <c r="IM404" s="64"/>
      <c r="IN404" s="64"/>
      <c r="IO404" s="64"/>
      <c r="IP404" s="64"/>
      <c r="IQ404" s="64"/>
      <c r="IR404" s="64"/>
      <c r="IS404" s="64"/>
      <c r="IT404" s="64"/>
      <c r="IU404" s="64"/>
      <c r="IV404" s="64"/>
      <c r="IW404" s="64"/>
      <c r="IX404" s="64"/>
      <c r="IY404" s="64"/>
      <c r="IZ404" s="64"/>
      <c r="JA404" s="64"/>
      <c r="JB404" s="64"/>
      <c r="JC404" s="64"/>
      <c r="JD404" s="64"/>
      <c r="JE404" s="64"/>
      <c r="JF404" s="64"/>
      <c r="JG404" s="64"/>
      <c r="JH404" s="64"/>
      <c r="JI404" s="64"/>
      <c r="JJ404" s="64"/>
      <c r="JK404" s="64"/>
      <c r="JL404" s="64"/>
      <c r="JM404" s="64"/>
      <c r="JN404" s="64"/>
      <c r="JO404" s="64"/>
      <c r="JP404" s="64"/>
      <c r="JQ404" s="64"/>
      <c r="JR404" s="64"/>
      <c r="JS404" s="64"/>
      <c r="JT404" s="64"/>
      <c r="JU404" s="64"/>
      <c r="JV404" s="64"/>
      <c r="JW404" s="64"/>
      <c r="JX404" s="64"/>
      <c r="JY404" s="64"/>
      <c r="JZ404" s="64"/>
      <c r="KA404" s="64"/>
      <c r="KB404" s="64"/>
      <c r="KC404" s="64"/>
      <c r="KD404" s="64"/>
      <c r="KE404" s="64"/>
      <c r="KF404" s="64"/>
      <c r="KG404" s="64"/>
      <c r="KH404" s="64"/>
      <c r="KI404" s="64"/>
      <c r="KJ404" s="64"/>
      <c r="KK404" s="64"/>
      <c r="KL404" s="64"/>
      <c r="KM404" s="64"/>
      <c r="KN404" s="64"/>
      <c r="KO404" s="64"/>
      <c r="KP404" s="64"/>
      <c r="KQ404" s="64"/>
      <c r="KR404" s="64"/>
      <c r="KS404" s="64"/>
      <c r="KT404" s="64"/>
      <c r="KU404" s="64"/>
      <c r="KV404" s="64"/>
      <c r="KW404" s="64"/>
      <c r="KX404" s="64"/>
      <c r="KY404" s="64"/>
      <c r="KZ404" s="64"/>
      <c r="LA404" s="64"/>
      <c r="LB404" s="64"/>
      <c r="LC404" s="64"/>
      <c r="LD404" s="64"/>
      <c r="LE404" s="64"/>
      <c r="LF404" s="64"/>
      <c r="LG404" s="64"/>
      <c r="LH404" s="64"/>
      <c r="LI404" s="64"/>
      <c r="LJ404" s="64"/>
      <c r="LK404" s="64"/>
      <c r="LL404" s="64"/>
      <c r="LM404" s="64"/>
      <c r="LN404" s="64"/>
      <c r="LO404" s="64"/>
      <c r="LP404" s="64"/>
      <c r="LQ404" s="64"/>
      <c r="LR404" s="64"/>
      <c r="LS404" s="64"/>
      <c r="LT404" s="64"/>
      <c r="LU404" s="64"/>
      <c r="LV404" s="64"/>
      <c r="LW404" s="64"/>
      <c r="LX404" s="64"/>
      <c r="LY404" s="64"/>
      <c r="LZ404" s="64"/>
      <c r="MA404" s="64"/>
      <c r="MB404" s="64"/>
      <c r="MC404" s="64"/>
      <c r="MD404" s="64"/>
      <c r="ME404" s="64"/>
      <c r="MF404" s="64"/>
      <c r="MG404" s="64"/>
      <c r="MH404" s="64"/>
      <c r="MI404" s="64"/>
      <c r="MJ404" s="64"/>
      <c r="MK404" s="64"/>
      <c r="ML404" s="64"/>
      <c r="MM404" s="64"/>
      <c r="MN404" s="64"/>
      <c r="MO404" s="64"/>
      <c r="MP404" s="64"/>
      <c r="MQ404" s="64"/>
      <c r="MR404" s="64"/>
      <c r="MS404" s="64"/>
      <c r="MT404" s="64"/>
      <c r="MU404" s="64"/>
      <c r="MV404" s="64"/>
      <c r="MW404" s="64"/>
      <c r="MX404" s="64"/>
      <c r="MY404" s="64"/>
      <c r="MZ404" s="64"/>
      <c r="NA404" s="64"/>
      <c r="NB404" s="64"/>
      <c r="NC404" s="64"/>
      <c r="ND404" s="64"/>
      <c r="NE404" s="64"/>
      <c r="NF404" s="64"/>
      <c r="NG404" s="64"/>
      <c r="NH404" s="64"/>
      <c r="NI404" s="64"/>
      <c r="NJ404" s="64"/>
      <c r="NK404" s="64"/>
      <c r="NL404" s="64"/>
      <c r="NM404" s="64"/>
      <c r="NN404" s="64"/>
      <c r="NO404" s="64"/>
      <c r="NP404" s="64"/>
      <c r="NQ404" s="64"/>
      <c r="NR404" s="64"/>
      <c r="NS404" s="64"/>
      <c r="NT404" s="64"/>
      <c r="NU404" s="64"/>
      <c r="NV404" s="64"/>
      <c r="NW404" s="64"/>
      <c r="NX404" s="64"/>
      <c r="NY404" s="64"/>
      <c r="NZ404" s="64"/>
      <c r="OA404" s="64"/>
      <c r="OB404" s="64"/>
      <c r="OC404" s="64"/>
      <c r="OD404" s="64"/>
      <c r="OE404" s="64"/>
      <c r="OF404" s="64"/>
      <c r="OG404" s="64"/>
      <c r="OH404" s="64"/>
      <c r="OI404" s="64"/>
      <c r="OJ404" s="64"/>
      <c r="OK404" s="64"/>
      <c r="OL404" s="64"/>
      <c r="OM404" s="64"/>
      <c r="ON404" s="64"/>
      <c r="OO404" s="64"/>
      <c r="OP404" s="64"/>
      <c r="OQ404" s="64"/>
      <c r="OR404" s="64"/>
      <c r="OS404" s="64"/>
      <c r="OT404" s="64"/>
      <c r="OU404" s="64"/>
      <c r="OV404" s="64"/>
      <c r="OW404" s="64"/>
      <c r="OX404" s="64"/>
      <c r="OY404" s="64"/>
      <c r="OZ404" s="64"/>
      <c r="PA404" s="64"/>
      <c r="PB404" s="64"/>
      <c r="PC404" s="64"/>
      <c r="PD404" s="64"/>
      <c r="PE404" s="64"/>
      <c r="PF404" s="64"/>
      <c r="PG404" s="64"/>
      <c r="PH404" s="64"/>
      <c r="PI404" s="64"/>
    </row>
    <row r="405" spans="1:425">
      <c r="A405" s="53"/>
      <c r="B405" s="53"/>
      <c r="C405" s="236" t="s">
        <v>10</v>
      </c>
      <c r="D405" s="236"/>
      <c r="E405" s="236"/>
      <c r="F405" s="236"/>
      <c r="G405" s="236"/>
      <c r="H405" s="236"/>
      <c r="I405" s="236"/>
      <c r="J405" s="236"/>
      <c r="K405" s="236"/>
      <c r="L405" s="236"/>
      <c r="M405" s="236"/>
      <c r="N405" s="236"/>
      <c r="O405" s="236"/>
      <c r="S405" s="61">
        <f t="shared" si="75"/>
        <v>0</v>
      </c>
      <c r="T405" s="64" t="str">
        <f t="shared" si="66"/>
        <v>ESTADO DEL RESULTADO INTEGRAL</v>
      </c>
      <c r="U405" s="64" t="str">
        <f t="shared" si="73"/>
        <v>INGRESOS</v>
      </c>
      <c r="V405" s="64" t="str">
        <f t="shared" si="64"/>
        <v>OTROS INGRESOS</v>
      </c>
      <c r="W405" s="64" t="str">
        <f t="shared" si="65"/>
        <v/>
      </c>
      <c r="X405" s="64" t="str">
        <f t="shared" si="69"/>
        <v/>
      </c>
      <c r="Y405" s="64" t="str">
        <f t="shared" si="70"/>
        <v/>
      </c>
      <c r="Z405" s="64" t="str">
        <f t="shared" si="71"/>
        <v/>
      </c>
      <c r="AA405" s="64" t="str">
        <f t="shared" ref="AA405:AA411" si="76">IF(X405&lt;&gt;"",CONCATENATE(W405,"_",X405,"_",Y405,"_",Z405),W405)</f>
        <v/>
      </c>
    </row>
    <row r="406" spans="1:425">
      <c r="A406" s="53"/>
      <c r="B406" s="53"/>
      <c r="C406" s="53"/>
      <c r="D406" s="239" t="s">
        <v>596</v>
      </c>
      <c r="E406" s="239"/>
      <c r="F406" s="239"/>
      <c r="G406" s="239"/>
      <c r="H406" s="239"/>
      <c r="I406" s="239"/>
      <c r="J406" s="239"/>
      <c r="K406" s="239"/>
      <c r="L406" s="246" t="s">
        <v>565</v>
      </c>
      <c r="M406" s="246"/>
      <c r="N406" s="246" t="s">
        <v>566</v>
      </c>
      <c r="O406" s="246"/>
      <c r="S406" s="61" t="str">
        <f t="shared" si="75"/>
        <v>Total ingresos</v>
      </c>
      <c r="T406" s="64" t="str">
        <f t="shared" si="66"/>
        <v>ESTADO DEL RESULTADO INTEGRAL</v>
      </c>
      <c r="U406" s="64" t="str">
        <f t="shared" si="73"/>
        <v>INGRESOS</v>
      </c>
      <c r="V406" s="64" t="str">
        <f t="shared" si="64"/>
        <v>OTROS INGRESOS</v>
      </c>
      <c r="W406" s="64" t="str">
        <f>IF(V405&lt;&gt;V406,"",(IF(D406&lt;&gt;"",D406,W405)))</f>
        <v>POR REGALÍAS Y OTRAS CESIONES DE DERECHOS</v>
      </c>
      <c r="X406" s="64" t="str">
        <f t="shared" si="69"/>
        <v/>
      </c>
      <c r="Y406" s="64" t="str">
        <f t="shared" si="70"/>
        <v/>
      </c>
      <c r="Z406" s="64" t="str">
        <f t="shared" si="71"/>
        <v/>
      </c>
      <c r="AA406" s="64" t="str">
        <f t="shared" si="76"/>
        <v>POR REGALÍAS Y OTRAS CESIONES DE DERECHOS</v>
      </c>
    </row>
    <row r="407" spans="1:425">
      <c r="A407" s="53"/>
      <c r="B407" s="53"/>
      <c r="C407" s="53"/>
      <c r="D407" s="53"/>
      <c r="E407" s="242" t="s">
        <v>108</v>
      </c>
      <c r="F407" s="242"/>
      <c r="G407" s="242"/>
      <c r="H407" s="242"/>
      <c r="I407" s="242"/>
      <c r="J407" s="242"/>
      <c r="K407" s="242"/>
      <c r="L407" s="9" t="s">
        <v>597</v>
      </c>
      <c r="M407" s="55" t="e">
        <f>VLOOKUP(L407,Casilleros!$A$4:$Q$830,17,FALSE)</f>
        <v>#REF!</v>
      </c>
      <c r="N407" s="9" t="s">
        <v>598</v>
      </c>
      <c r="O407" s="55" t="e">
        <f>VLOOKUP(N407,Casilleros!$A$4:$Q$830,17,FALSE)</f>
        <v>#REF!</v>
      </c>
      <c r="S407" s="61" t="str">
        <f t="shared" si="75"/>
        <v>6019</v>
      </c>
      <c r="T407" s="64" t="str">
        <f t="shared" si="66"/>
        <v>ESTADO DEL RESULTADO INTEGRAL</v>
      </c>
      <c r="U407" s="64" t="str">
        <f t="shared" si="73"/>
        <v>INGRESOS</v>
      </c>
      <c r="V407" s="64" t="str">
        <f t="shared" si="64"/>
        <v>OTROS INGRESOS</v>
      </c>
      <c r="W407" s="64" t="str">
        <f t="shared" si="65"/>
        <v>POR REGALÍAS Y OTRAS CESIONES DE DERECHOS</v>
      </c>
      <c r="X407" s="64" t="str">
        <f t="shared" si="69"/>
        <v>Relacionadas</v>
      </c>
      <c r="Y407" s="64" t="str">
        <f t="shared" si="70"/>
        <v/>
      </c>
      <c r="Z407" s="64" t="str">
        <f t="shared" si="71"/>
        <v/>
      </c>
      <c r="AA407" s="64" t="str">
        <f t="shared" si="76"/>
        <v>POR REGALÍAS Y OTRAS CESIONES DE DERECHOS_Relacionadas__</v>
      </c>
      <c r="AC407" s="76" t="s">
        <v>598</v>
      </c>
      <c r="AD407" s="76" t="s">
        <v>561</v>
      </c>
      <c r="AE407" s="76" t="s">
        <v>562</v>
      </c>
      <c r="AF407" s="76" t="s">
        <v>10</v>
      </c>
      <c r="AG407" s="76" t="s">
        <v>596</v>
      </c>
      <c r="AH407" s="76" t="s">
        <v>108</v>
      </c>
      <c r="AI407" s="76" t="s">
        <v>444</v>
      </c>
      <c r="AJ407" s="76" t="s">
        <v>444</v>
      </c>
      <c r="AK407" s="76" t="s">
        <v>1492</v>
      </c>
      <c r="AL407" s="76" t="str">
        <f>CONCATENATE("IE/No Objeto_",AK407)</f>
        <v>IE/No Objeto_POR REGALÍAS Y OTRAS CESIONES DE DERECHOS_Relacionadas__</v>
      </c>
    </row>
    <row r="408" spans="1:425">
      <c r="A408" s="53"/>
      <c r="B408" s="53"/>
      <c r="C408" s="53"/>
      <c r="D408" s="53"/>
      <c r="E408" s="242" t="s">
        <v>313</v>
      </c>
      <c r="F408" s="242"/>
      <c r="G408" s="242"/>
      <c r="H408" s="242"/>
      <c r="I408" s="242"/>
      <c r="J408" s="242"/>
      <c r="K408" s="242"/>
      <c r="L408" s="9" t="s">
        <v>599</v>
      </c>
      <c r="M408" s="55" t="e">
        <f>VLOOKUP(L408,Casilleros!$A$4:$Q$830,17,FALSE)</f>
        <v>#REF!</v>
      </c>
      <c r="N408" s="9" t="s">
        <v>600</v>
      </c>
      <c r="O408" s="55" t="e">
        <f>VLOOKUP(N408,Casilleros!$A$4:$Q$830,17,FALSE)</f>
        <v>#REF!</v>
      </c>
      <c r="S408" s="61" t="str">
        <f t="shared" si="75"/>
        <v>6021</v>
      </c>
      <c r="T408" s="64" t="str">
        <f t="shared" si="66"/>
        <v>ESTADO DEL RESULTADO INTEGRAL</v>
      </c>
      <c r="U408" s="64" t="str">
        <f t="shared" si="73"/>
        <v>INGRESOS</v>
      </c>
      <c r="V408" s="64" t="str">
        <f t="shared" si="64"/>
        <v>OTROS INGRESOS</v>
      </c>
      <c r="W408" s="64" t="str">
        <f t="shared" si="65"/>
        <v>POR REGALÍAS Y OTRAS CESIONES DE DERECHOS</v>
      </c>
      <c r="X408" s="64" t="str">
        <f t="shared" si="69"/>
        <v>No Relacionadas</v>
      </c>
      <c r="Y408" s="64" t="str">
        <f t="shared" si="70"/>
        <v/>
      </c>
      <c r="Z408" s="64" t="str">
        <f t="shared" si="71"/>
        <v/>
      </c>
      <c r="AA408" s="64" t="str">
        <f t="shared" si="76"/>
        <v>POR REGALÍAS Y OTRAS CESIONES DE DERECHOS_No Relacionadas__</v>
      </c>
      <c r="AC408" s="76" t="s">
        <v>600</v>
      </c>
      <c r="AD408" s="76" t="s">
        <v>561</v>
      </c>
      <c r="AE408" s="76" t="s">
        <v>562</v>
      </c>
      <c r="AF408" s="76" t="s">
        <v>10</v>
      </c>
      <c r="AG408" s="76" t="s">
        <v>596</v>
      </c>
      <c r="AH408" s="76" t="s">
        <v>313</v>
      </c>
      <c r="AI408" s="76" t="s">
        <v>444</v>
      </c>
      <c r="AJ408" s="76" t="s">
        <v>444</v>
      </c>
      <c r="AK408" s="76" t="s">
        <v>1493</v>
      </c>
      <c r="AL408" s="76" t="str">
        <f t="shared" ref="AL408:AL450" si="77">CONCATENATE("IE/No Objeto_",AK408)</f>
        <v>IE/No Objeto_POR REGALÍAS Y OTRAS CESIONES DE DERECHOS_No Relacionadas__</v>
      </c>
    </row>
    <row r="409" spans="1:425">
      <c r="A409" s="53"/>
      <c r="B409" s="53"/>
      <c r="C409" s="53"/>
      <c r="D409" s="239" t="s">
        <v>601</v>
      </c>
      <c r="E409" s="239"/>
      <c r="F409" s="239"/>
      <c r="G409" s="239"/>
      <c r="H409" s="239"/>
      <c r="I409" s="239"/>
      <c r="J409" s="239"/>
      <c r="K409" s="239"/>
      <c r="L409" s="246" t="s">
        <v>565</v>
      </c>
      <c r="M409" s="246"/>
      <c r="N409" s="246" t="s">
        <v>566</v>
      </c>
      <c r="O409" s="246"/>
      <c r="S409" s="61" t="str">
        <f t="shared" si="75"/>
        <v>Total ingresos</v>
      </c>
      <c r="T409" s="64" t="str">
        <f t="shared" si="66"/>
        <v>ESTADO DEL RESULTADO INTEGRAL</v>
      </c>
      <c r="U409" s="64" t="str">
        <f t="shared" si="73"/>
        <v>INGRESOS</v>
      </c>
      <c r="V409" s="64" t="str">
        <f t="shared" si="64"/>
        <v>OTROS INGRESOS</v>
      </c>
      <c r="W409" s="64" t="str">
        <f t="shared" si="65"/>
        <v>POR DIVIDENDOS</v>
      </c>
      <c r="X409" s="64" t="str">
        <f t="shared" si="69"/>
        <v/>
      </c>
      <c r="Y409" s="64" t="str">
        <f t="shared" si="70"/>
        <v/>
      </c>
      <c r="Z409" s="64" t="str">
        <f t="shared" si="71"/>
        <v/>
      </c>
      <c r="AA409" s="64" t="str">
        <f t="shared" si="76"/>
        <v>POR DIVIDENDOS</v>
      </c>
      <c r="AC409" s="76" t="s">
        <v>565</v>
      </c>
      <c r="AD409" s="76" t="s">
        <v>561</v>
      </c>
      <c r="AE409" s="76" t="s">
        <v>562</v>
      </c>
      <c r="AF409" s="76" t="s">
        <v>10</v>
      </c>
      <c r="AG409" s="76" t="s">
        <v>601</v>
      </c>
      <c r="AH409" s="76" t="s">
        <v>444</v>
      </c>
      <c r="AI409" s="76" t="s">
        <v>444</v>
      </c>
      <c r="AJ409" s="76" t="s">
        <v>444</v>
      </c>
      <c r="AK409" s="76" t="s">
        <v>601</v>
      </c>
      <c r="AL409" s="76" t="str">
        <f t="shared" si="77"/>
        <v>IE/No Objeto_POR DIVIDENDOS</v>
      </c>
    </row>
    <row r="410" spans="1:425">
      <c r="A410" s="53"/>
      <c r="B410" s="53"/>
      <c r="C410" s="53"/>
      <c r="D410" s="53"/>
      <c r="E410" s="242" t="s">
        <v>602</v>
      </c>
      <c r="F410" s="242"/>
      <c r="G410" s="242"/>
      <c r="H410" s="242"/>
      <c r="I410" s="242"/>
      <c r="J410" s="242"/>
      <c r="K410" s="242"/>
      <c r="L410" s="9" t="s">
        <v>603</v>
      </c>
      <c r="M410" s="55" t="e">
        <f>VLOOKUP(L410,Casilleros!$A$4:$Q$830,17,FALSE)</f>
        <v>#REF!</v>
      </c>
      <c r="N410" s="9" t="s">
        <v>604</v>
      </c>
      <c r="O410" s="55" t="e">
        <f>VLOOKUP(N410,Casilleros!$A$4:$Q$830,17,FALSE)</f>
        <v>#REF!</v>
      </c>
      <c r="S410" s="61" t="str">
        <f t="shared" si="75"/>
        <v>6023</v>
      </c>
      <c r="T410" s="64" t="str">
        <f t="shared" si="66"/>
        <v>ESTADO DEL RESULTADO INTEGRAL</v>
      </c>
      <c r="U410" s="64" t="str">
        <f t="shared" si="73"/>
        <v>INGRESOS</v>
      </c>
      <c r="V410" s="64" t="str">
        <f t="shared" si="64"/>
        <v>OTROS INGRESOS</v>
      </c>
      <c r="W410" s="64" t="str">
        <f t="shared" si="65"/>
        <v>POR DIVIDENDOS</v>
      </c>
      <c r="X410" s="64" t="str">
        <f t="shared" si="69"/>
        <v xml:space="preserve">Procedentes de sociedades residentes o establecidas en Ecuador </v>
      </c>
      <c r="Y410" s="64" t="str">
        <f t="shared" si="70"/>
        <v/>
      </c>
      <c r="Z410" s="64" t="str">
        <f t="shared" si="71"/>
        <v/>
      </c>
      <c r="AA410" s="64" t="str">
        <f t="shared" si="76"/>
        <v>POR DIVIDENDOS_Procedentes de sociedades residentes o establecidas en Ecuador __</v>
      </c>
      <c r="AC410" s="76" t="s">
        <v>604</v>
      </c>
      <c r="AD410" s="76" t="s">
        <v>561</v>
      </c>
      <c r="AE410" s="76" t="s">
        <v>562</v>
      </c>
      <c r="AF410" s="76" t="s">
        <v>10</v>
      </c>
      <c r="AG410" s="76" t="s">
        <v>601</v>
      </c>
      <c r="AH410" s="76" t="s">
        <v>602</v>
      </c>
      <c r="AI410" s="76" t="s">
        <v>444</v>
      </c>
      <c r="AJ410" s="76" t="s">
        <v>444</v>
      </c>
      <c r="AK410" s="76" t="s">
        <v>1494</v>
      </c>
      <c r="AL410" s="76" t="str">
        <f t="shared" si="77"/>
        <v>IE/No Objeto_POR DIVIDENDOS_Procedentes de sociedades residentes o establecidas en Ecuador __</v>
      </c>
    </row>
    <row r="411" spans="1:425">
      <c r="A411" s="53"/>
      <c r="B411" s="53"/>
      <c r="C411" s="53"/>
      <c r="D411" s="53"/>
      <c r="E411" s="242" t="s">
        <v>605</v>
      </c>
      <c r="F411" s="242"/>
      <c r="G411" s="242"/>
      <c r="H411" s="242"/>
      <c r="I411" s="242"/>
      <c r="J411" s="242"/>
      <c r="K411" s="242"/>
      <c r="L411" s="9" t="s">
        <v>606</v>
      </c>
      <c r="M411" s="55" t="e">
        <f>VLOOKUP(L411,Casilleros!$A$4:$Q$830,17,FALSE)</f>
        <v>#REF!</v>
      </c>
      <c r="N411" s="9" t="s">
        <v>607</v>
      </c>
      <c r="O411" s="55" t="e">
        <f>VLOOKUP(N411,Casilleros!$A$4:$Q$830,17,FALSE)</f>
        <v>#REF!</v>
      </c>
      <c r="S411" s="61" t="str">
        <f t="shared" si="75"/>
        <v>6025</v>
      </c>
      <c r="T411" s="64" t="str">
        <f t="shared" si="66"/>
        <v>ESTADO DEL RESULTADO INTEGRAL</v>
      </c>
      <c r="U411" s="64" t="str">
        <f t="shared" si="73"/>
        <v>INGRESOS</v>
      </c>
      <c r="V411" s="64" t="str">
        <f t="shared" si="64"/>
        <v>OTROS INGRESOS</v>
      </c>
      <c r="W411" s="64" t="str">
        <f t="shared" si="65"/>
        <v>POR DIVIDENDOS</v>
      </c>
      <c r="X411" s="64" t="str">
        <f t="shared" si="69"/>
        <v xml:space="preserve">Procedentes de sociedades no residentes ni establecidas en Ecuador </v>
      </c>
      <c r="Y411" s="64" t="str">
        <f t="shared" si="70"/>
        <v/>
      </c>
      <c r="Z411" s="64" t="str">
        <f t="shared" si="71"/>
        <v/>
      </c>
      <c r="AA411" s="64" t="str">
        <f t="shared" si="76"/>
        <v>POR DIVIDENDOS_Procedentes de sociedades no residentes ni establecidas en Ecuador __</v>
      </c>
      <c r="AC411" s="76" t="s">
        <v>607</v>
      </c>
      <c r="AD411" s="76" t="s">
        <v>561</v>
      </c>
      <c r="AE411" s="76" t="s">
        <v>562</v>
      </c>
      <c r="AF411" s="76" t="s">
        <v>10</v>
      </c>
      <c r="AG411" s="76" t="s">
        <v>601</v>
      </c>
      <c r="AH411" s="76" t="s">
        <v>605</v>
      </c>
      <c r="AI411" s="76" t="s">
        <v>444</v>
      </c>
      <c r="AJ411" s="76" t="s">
        <v>444</v>
      </c>
      <c r="AK411" s="76" t="s">
        <v>1495</v>
      </c>
      <c r="AL411" s="76" t="str">
        <f t="shared" si="77"/>
        <v>IE/No Objeto_POR DIVIDENDOS_Procedentes de sociedades no residentes ni establecidas en Ecuador __</v>
      </c>
    </row>
    <row r="412" spans="1:425">
      <c r="A412" s="53"/>
      <c r="B412" s="53"/>
      <c r="C412" s="53"/>
      <c r="D412" s="242" t="s">
        <v>608</v>
      </c>
      <c r="E412" s="242"/>
      <c r="F412" s="242"/>
      <c r="G412" s="242"/>
      <c r="H412" s="242"/>
      <c r="I412" s="242"/>
      <c r="J412" s="242"/>
      <c r="K412" s="242"/>
      <c r="L412" s="9" t="s">
        <v>609</v>
      </c>
      <c r="M412" s="55" t="e">
        <f>VLOOKUP(L412,Casilleros!$A$4:$Q$830,17,FALSE)</f>
        <v>#REF!</v>
      </c>
      <c r="N412" s="9" t="s">
        <v>610</v>
      </c>
      <c r="O412" s="55" t="e">
        <f>VLOOKUP(N412,Casilleros!$A$4:$Q$830,17,FALSE)</f>
        <v>#REF!</v>
      </c>
      <c r="S412" s="61" t="str">
        <f t="shared" si="75"/>
        <v>6027</v>
      </c>
      <c r="T412" s="64" t="str">
        <f t="shared" si="66"/>
        <v>ESTADO DEL RESULTADO INTEGRAL</v>
      </c>
      <c r="U412" s="64" t="str">
        <f t="shared" si="73"/>
        <v>INGRESOS</v>
      </c>
      <c r="V412" s="64" t="str">
        <f t="shared" ref="V412:V475" si="78">IF(U411&lt;&gt;U412,"",(IF(C412&lt;&gt;"",C412,V411)))</f>
        <v>OTROS INGRESOS</v>
      </c>
      <c r="W412" s="64" t="str">
        <f t="shared" ref="W412:W475" si="79">IF(V411&lt;&gt;V412,"",(IF(D412&lt;&gt;"",D412,W411)))</f>
        <v>Ganancias netas por mediciones de activos biológicos a valor razonable menos costos de venta</v>
      </c>
      <c r="X412" s="64" t="str">
        <f t="shared" si="69"/>
        <v/>
      </c>
      <c r="Y412" s="64" t="str">
        <f t="shared" si="70"/>
        <v/>
      </c>
      <c r="Z412" s="64" t="str">
        <f t="shared" si="71"/>
        <v/>
      </c>
      <c r="AA412" s="64" t="str">
        <f t="shared" ref="AA412:AA475" si="80">IF(X412&lt;&gt;"",CONCATENATE(W412,"_",X412,"_",Y412,"_",Z412),W412)</f>
        <v>Ganancias netas por mediciones de activos biológicos a valor razonable menos costos de venta</v>
      </c>
      <c r="AC412" s="76" t="s">
        <v>610</v>
      </c>
      <c r="AD412" s="76" t="s">
        <v>561</v>
      </c>
      <c r="AE412" s="76" t="s">
        <v>562</v>
      </c>
      <c r="AF412" s="76" t="s">
        <v>10</v>
      </c>
      <c r="AG412" s="76" t="s">
        <v>608</v>
      </c>
      <c r="AH412" s="76" t="s">
        <v>444</v>
      </c>
      <c r="AI412" s="76" t="s">
        <v>444</v>
      </c>
      <c r="AJ412" s="76" t="s">
        <v>444</v>
      </c>
      <c r="AK412" s="76" t="s">
        <v>608</v>
      </c>
      <c r="AL412" s="76" t="str">
        <f t="shared" si="77"/>
        <v>IE/No Objeto_Ganancias netas por mediciones de activos biológicos a valor razonable menos costos de venta</v>
      </c>
    </row>
    <row r="413" spans="1:425">
      <c r="A413" s="53"/>
      <c r="B413" s="53"/>
      <c r="C413" s="53"/>
      <c r="D413" s="242" t="s">
        <v>611</v>
      </c>
      <c r="E413" s="242"/>
      <c r="F413" s="242"/>
      <c r="G413" s="242"/>
      <c r="H413" s="242"/>
      <c r="I413" s="242"/>
      <c r="J413" s="242"/>
      <c r="K413" s="242"/>
      <c r="L413" s="9" t="s">
        <v>612</v>
      </c>
      <c r="M413" s="55" t="e">
        <f>VLOOKUP(L413,Casilleros!$A$4:$Q$830,17,FALSE)</f>
        <v>#REF!</v>
      </c>
      <c r="N413" s="9" t="s">
        <v>613</v>
      </c>
      <c r="O413" s="55" t="e">
        <f>VLOOKUP(N413,Casilleros!$A$4:$Q$830,17,FALSE)</f>
        <v>#REF!</v>
      </c>
      <c r="S413" s="61" t="str">
        <f t="shared" si="75"/>
        <v>6029</v>
      </c>
      <c r="T413" s="64" t="str">
        <f t="shared" ref="T413:T476" si="81">IF(A413&lt;&gt;"",A413,T412)</f>
        <v>ESTADO DEL RESULTADO INTEGRAL</v>
      </c>
      <c r="U413" s="64" t="str">
        <f t="shared" si="73"/>
        <v>INGRESOS</v>
      </c>
      <c r="V413" s="64" t="str">
        <f t="shared" si="78"/>
        <v>OTROS INGRESOS</v>
      </c>
      <c r="W413" s="64" t="str">
        <f t="shared" si="79"/>
        <v>Ganancias netas por medición de propiedades de inversión a valor razonable</v>
      </c>
      <c r="X413" s="64" t="str">
        <f t="shared" si="69"/>
        <v/>
      </c>
      <c r="Y413" s="64" t="str">
        <f t="shared" si="70"/>
        <v/>
      </c>
      <c r="Z413" s="64" t="str">
        <f t="shared" si="71"/>
        <v/>
      </c>
      <c r="AA413" s="64" t="str">
        <f t="shared" si="80"/>
        <v>Ganancias netas por medición de propiedades de inversión a valor razonable</v>
      </c>
      <c r="AC413" s="76" t="s">
        <v>613</v>
      </c>
      <c r="AD413" s="76" t="s">
        <v>561</v>
      </c>
      <c r="AE413" s="76" t="s">
        <v>562</v>
      </c>
      <c r="AF413" s="76" t="s">
        <v>10</v>
      </c>
      <c r="AG413" s="76" t="s">
        <v>611</v>
      </c>
      <c r="AH413" s="76" t="s">
        <v>444</v>
      </c>
      <c r="AI413" s="76" t="s">
        <v>444</v>
      </c>
      <c r="AJ413" s="76" t="s">
        <v>444</v>
      </c>
      <c r="AK413" s="76" t="s">
        <v>611</v>
      </c>
      <c r="AL413" s="76" t="str">
        <f t="shared" si="77"/>
        <v>IE/No Objeto_Ganancias netas por medición de propiedades de inversión a valor razonable</v>
      </c>
    </row>
    <row r="414" spans="1:425">
      <c r="A414" s="53"/>
      <c r="B414" s="53"/>
      <c r="C414" s="53"/>
      <c r="D414" s="242" t="s">
        <v>614</v>
      </c>
      <c r="E414" s="242"/>
      <c r="F414" s="242"/>
      <c r="G414" s="242"/>
      <c r="H414" s="242"/>
      <c r="I414" s="242"/>
      <c r="J414" s="242"/>
      <c r="K414" s="242"/>
      <c r="L414" s="9" t="s">
        <v>615</v>
      </c>
      <c r="M414" s="55" t="e">
        <f>VLOOKUP(L414,Casilleros!$A$4:$Q$830,17,FALSE)</f>
        <v>#REF!</v>
      </c>
      <c r="N414" s="9" t="s">
        <v>616</v>
      </c>
      <c r="O414" s="55" t="e">
        <f>VLOOKUP(N414,Casilleros!$A$4:$Q$830,17,FALSE)</f>
        <v>#REF!</v>
      </c>
      <c r="S414" s="61" t="str">
        <f t="shared" si="75"/>
        <v>6031</v>
      </c>
      <c r="T414" s="64" t="str">
        <f t="shared" si="81"/>
        <v>ESTADO DEL RESULTADO INTEGRAL</v>
      </c>
      <c r="U414" s="64" t="str">
        <f t="shared" si="73"/>
        <v>INGRESOS</v>
      </c>
      <c r="V414" s="64" t="str">
        <f t="shared" si="78"/>
        <v>OTROS INGRESOS</v>
      </c>
      <c r="W414" s="64" t="str">
        <f t="shared" si="79"/>
        <v>Ganancias netas por medición de instrumentos financieros a valor razonable</v>
      </c>
      <c r="X414" s="64" t="str">
        <f t="shared" si="69"/>
        <v/>
      </c>
      <c r="Y414" s="64" t="str">
        <f t="shared" si="70"/>
        <v/>
      </c>
      <c r="Z414" s="64" t="str">
        <f t="shared" si="71"/>
        <v/>
      </c>
      <c r="AA414" s="64" t="str">
        <f t="shared" si="80"/>
        <v>Ganancias netas por medición de instrumentos financieros a valor razonable</v>
      </c>
      <c r="AC414" s="76" t="s">
        <v>616</v>
      </c>
      <c r="AD414" s="76" t="s">
        <v>561</v>
      </c>
      <c r="AE414" s="76" t="s">
        <v>562</v>
      </c>
      <c r="AF414" s="76" t="s">
        <v>10</v>
      </c>
      <c r="AG414" s="76" t="s">
        <v>614</v>
      </c>
      <c r="AH414" s="76" t="s">
        <v>444</v>
      </c>
      <c r="AI414" s="76" t="s">
        <v>444</v>
      </c>
      <c r="AJ414" s="76" t="s">
        <v>444</v>
      </c>
      <c r="AK414" s="76" t="s">
        <v>614</v>
      </c>
      <c r="AL414" s="76" t="str">
        <f t="shared" si="77"/>
        <v>IE/No Objeto_Ganancias netas por medición de instrumentos financieros a valor razonable</v>
      </c>
    </row>
    <row r="415" spans="1:425">
      <c r="A415" s="53"/>
      <c r="B415" s="53"/>
      <c r="C415" s="53"/>
      <c r="D415" s="242" t="s">
        <v>617</v>
      </c>
      <c r="E415" s="242"/>
      <c r="F415" s="242"/>
      <c r="G415" s="242"/>
      <c r="H415" s="242"/>
      <c r="I415" s="242"/>
      <c r="J415" s="242"/>
      <c r="K415" s="242"/>
      <c r="L415" s="9" t="s">
        <v>618</v>
      </c>
      <c r="M415" s="55" t="e">
        <f>VLOOKUP(L415,Casilleros!$A$4:$Q$830,17,FALSE)</f>
        <v>#REF!</v>
      </c>
      <c r="N415" s="9" t="s">
        <v>619</v>
      </c>
      <c r="O415" s="55" t="e">
        <f>VLOOKUP(N415,Casilleros!$A$4:$Q$830,17,FALSE)</f>
        <v>#REF!</v>
      </c>
      <c r="S415" s="61" t="str">
        <f t="shared" si="75"/>
        <v>6033</v>
      </c>
      <c r="T415" s="64" t="str">
        <f t="shared" si="81"/>
        <v>ESTADO DEL RESULTADO INTEGRAL</v>
      </c>
      <c r="U415" s="64" t="str">
        <f t="shared" si="73"/>
        <v>INGRESOS</v>
      </c>
      <c r="V415" s="64" t="str">
        <f t="shared" si="78"/>
        <v>OTROS INGRESOS</v>
      </c>
      <c r="W415" s="64" t="str">
        <f t="shared" si="79"/>
        <v>Ganancias netas por diferencias de cambios</v>
      </c>
      <c r="X415" s="64" t="str">
        <f t="shared" si="69"/>
        <v/>
      </c>
      <c r="Y415" s="64" t="str">
        <f t="shared" si="70"/>
        <v/>
      </c>
      <c r="Z415" s="64" t="str">
        <f t="shared" si="71"/>
        <v/>
      </c>
      <c r="AA415" s="64" t="str">
        <f t="shared" si="80"/>
        <v>Ganancias netas por diferencias de cambios</v>
      </c>
      <c r="AC415" s="76" t="s">
        <v>619</v>
      </c>
      <c r="AD415" s="76" t="s">
        <v>561</v>
      </c>
      <c r="AE415" s="76" t="s">
        <v>562</v>
      </c>
      <c r="AF415" s="76" t="s">
        <v>10</v>
      </c>
      <c r="AG415" s="76" t="s">
        <v>617</v>
      </c>
      <c r="AH415" s="76" t="s">
        <v>444</v>
      </c>
      <c r="AI415" s="76" t="s">
        <v>444</v>
      </c>
      <c r="AJ415" s="76" t="s">
        <v>444</v>
      </c>
      <c r="AK415" s="76" t="s">
        <v>617</v>
      </c>
      <c r="AL415" s="76" t="str">
        <f t="shared" si="77"/>
        <v>IE/No Objeto_Ganancias netas por diferencias de cambios</v>
      </c>
    </row>
    <row r="416" spans="1:425">
      <c r="A416" s="53"/>
      <c r="B416" s="53"/>
      <c r="C416" s="53"/>
      <c r="D416" s="242" t="s">
        <v>620</v>
      </c>
      <c r="E416" s="242"/>
      <c r="F416" s="242"/>
      <c r="G416" s="242"/>
      <c r="H416" s="242"/>
      <c r="I416" s="242"/>
      <c r="J416" s="242"/>
      <c r="K416" s="242"/>
      <c r="L416" s="9" t="s">
        <v>621</v>
      </c>
      <c r="M416" s="55" t="e">
        <f>VLOOKUP(L416,Casilleros!$A$4:$Q$830,17,FALSE)</f>
        <v>#REF!</v>
      </c>
      <c r="N416" s="9" t="s">
        <v>622</v>
      </c>
      <c r="O416" s="55" t="e">
        <f>VLOOKUP(N416,Casilleros!$A$4:$Q$830,17,FALSE)</f>
        <v>#REF!</v>
      </c>
      <c r="S416" s="61" t="str">
        <f t="shared" si="75"/>
        <v>6035</v>
      </c>
      <c r="T416" s="64" t="str">
        <f t="shared" si="81"/>
        <v>ESTADO DEL RESULTADO INTEGRAL</v>
      </c>
      <c r="U416" s="64" t="str">
        <f t="shared" si="73"/>
        <v>INGRESOS</v>
      </c>
      <c r="V416" s="64" t="str">
        <f t="shared" si="78"/>
        <v>OTROS INGRESOS</v>
      </c>
      <c r="W416" s="64" t="str">
        <f t="shared" si="79"/>
        <v>Utilidad en venta de propiedades, planta y equipo</v>
      </c>
      <c r="X416" s="64" t="str">
        <f t="shared" si="69"/>
        <v/>
      </c>
      <c r="Y416" s="64" t="str">
        <f t="shared" si="70"/>
        <v/>
      </c>
      <c r="Z416" s="64" t="str">
        <f t="shared" si="71"/>
        <v/>
      </c>
      <c r="AA416" s="64" t="str">
        <f t="shared" si="80"/>
        <v>Utilidad en venta de propiedades, planta y equipo</v>
      </c>
      <c r="AC416" s="76" t="s">
        <v>622</v>
      </c>
      <c r="AD416" s="76" t="s">
        <v>561</v>
      </c>
      <c r="AE416" s="76" t="s">
        <v>562</v>
      </c>
      <c r="AF416" s="76" t="s">
        <v>10</v>
      </c>
      <c r="AG416" s="76" t="s">
        <v>620</v>
      </c>
      <c r="AH416" s="76" t="s">
        <v>444</v>
      </c>
      <c r="AI416" s="76" t="s">
        <v>444</v>
      </c>
      <c r="AJ416" s="76" t="s">
        <v>444</v>
      </c>
      <c r="AK416" s="76" t="s">
        <v>620</v>
      </c>
      <c r="AL416" s="76" t="str">
        <f t="shared" si="77"/>
        <v>IE/No Objeto_Utilidad en venta de propiedades, planta y equipo</v>
      </c>
    </row>
    <row r="417" spans="1:38">
      <c r="A417" s="53"/>
      <c r="B417" s="53"/>
      <c r="C417" s="53"/>
      <c r="D417" s="242" t="s">
        <v>623</v>
      </c>
      <c r="E417" s="242"/>
      <c r="F417" s="242"/>
      <c r="G417" s="242"/>
      <c r="H417" s="242"/>
      <c r="I417" s="242"/>
      <c r="J417" s="242"/>
      <c r="K417" s="242"/>
      <c r="L417" s="9" t="s">
        <v>624</v>
      </c>
      <c r="M417" s="55" t="e">
        <f>VLOOKUP(L417,Casilleros!$A$4:$Q$830,17,FALSE)</f>
        <v>#REF!</v>
      </c>
      <c r="N417" s="9" t="s">
        <v>625</v>
      </c>
      <c r="O417" s="55" t="e">
        <f>VLOOKUP(N417,Casilleros!$A$4:$Q$830,17,FALSE)</f>
        <v>#REF!</v>
      </c>
      <c r="S417" s="61" t="str">
        <f t="shared" si="75"/>
        <v>6037</v>
      </c>
      <c r="T417" s="64" t="str">
        <f t="shared" si="81"/>
        <v>ESTADO DEL RESULTADO INTEGRAL</v>
      </c>
      <c r="U417" s="64" t="str">
        <f t="shared" si="73"/>
        <v>INGRESOS</v>
      </c>
      <c r="V417" s="64" t="str">
        <f t="shared" si="78"/>
        <v>OTROS INGRESOS</v>
      </c>
      <c r="W417" s="64" t="str">
        <f t="shared" si="79"/>
        <v>Utilidad en la enajenación de derechos representativos de capital</v>
      </c>
      <c r="X417" s="64" t="str">
        <f t="shared" si="69"/>
        <v/>
      </c>
      <c r="Y417" s="64" t="str">
        <f t="shared" si="70"/>
        <v/>
      </c>
      <c r="Z417" s="64" t="str">
        <f t="shared" si="71"/>
        <v/>
      </c>
      <c r="AA417" s="64" t="str">
        <f t="shared" si="80"/>
        <v>Utilidad en la enajenación de derechos representativos de capital</v>
      </c>
      <c r="AC417" s="76" t="s">
        <v>625</v>
      </c>
      <c r="AD417" s="76" t="s">
        <v>561</v>
      </c>
      <c r="AE417" s="76" t="s">
        <v>562</v>
      </c>
      <c r="AF417" s="76" t="s">
        <v>10</v>
      </c>
      <c r="AG417" s="76" t="s">
        <v>623</v>
      </c>
      <c r="AH417" s="76" t="s">
        <v>444</v>
      </c>
      <c r="AI417" s="76" t="s">
        <v>444</v>
      </c>
      <c r="AJ417" s="76" t="s">
        <v>444</v>
      </c>
      <c r="AK417" s="76" t="s">
        <v>623</v>
      </c>
      <c r="AL417" s="76" t="str">
        <f t="shared" si="77"/>
        <v>IE/No Objeto_Utilidad en la enajenación de derechos representativos de capital</v>
      </c>
    </row>
    <row r="418" spans="1:38">
      <c r="A418" s="53"/>
      <c r="B418" s="53"/>
      <c r="C418" s="53"/>
      <c r="D418" s="242" t="s">
        <v>626</v>
      </c>
      <c r="E418" s="242"/>
      <c r="F418" s="242"/>
      <c r="G418" s="242"/>
      <c r="H418" s="242"/>
      <c r="I418" s="242"/>
      <c r="J418" s="242"/>
      <c r="K418" s="242"/>
      <c r="L418" s="9" t="s">
        <v>627</v>
      </c>
      <c r="M418" s="55" t="e">
        <f>VLOOKUP(L418,Casilleros!$A$4:$Q$830,17,FALSE)</f>
        <v>#REF!</v>
      </c>
      <c r="N418" s="9" t="s">
        <v>628</v>
      </c>
      <c r="O418" s="55" t="e">
        <f>VLOOKUP(N418,Casilleros!$A$4:$Q$830,17,FALSE)</f>
        <v>#REF!</v>
      </c>
      <c r="S418" s="61" t="str">
        <f t="shared" si="75"/>
        <v>6039</v>
      </c>
      <c r="T418" s="64" t="str">
        <f t="shared" si="81"/>
        <v>ESTADO DEL RESULTADO INTEGRAL</v>
      </c>
      <c r="U418" s="64" t="str">
        <f t="shared" si="73"/>
        <v>INGRESOS</v>
      </c>
      <c r="V418" s="64" t="str">
        <f t="shared" si="78"/>
        <v>OTROS INGRESOS</v>
      </c>
      <c r="W418" s="64" t="str">
        <f t="shared" si="79"/>
        <v>Ingresos devengados por subvenciones del gobierno y otras ayudas gubernamentales</v>
      </c>
      <c r="X418" s="64" t="str">
        <f t="shared" si="69"/>
        <v/>
      </c>
      <c r="Y418" s="64" t="str">
        <f t="shared" si="70"/>
        <v/>
      </c>
      <c r="Z418" s="64" t="str">
        <f t="shared" si="71"/>
        <v/>
      </c>
      <c r="AA418" s="64" t="str">
        <f t="shared" si="80"/>
        <v>Ingresos devengados por subvenciones del gobierno y otras ayudas gubernamentales</v>
      </c>
      <c r="AC418" s="76" t="s">
        <v>628</v>
      </c>
      <c r="AD418" s="76" t="s">
        <v>561</v>
      </c>
      <c r="AE418" s="76" t="s">
        <v>562</v>
      </c>
      <c r="AF418" s="76" t="s">
        <v>10</v>
      </c>
      <c r="AG418" s="76" t="s">
        <v>626</v>
      </c>
      <c r="AH418" s="76" t="s">
        <v>444</v>
      </c>
      <c r="AI418" s="76" t="s">
        <v>444</v>
      </c>
      <c r="AJ418" s="76" t="s">
        <v>444</v>
      </c>
      <c r="AK418" s="76" t="s">
        <v>626</v>
      </c>
      <c r="AL418" s="76" t="str">
        <f t="shared" si="77"/>
        <v>IE/No Objeto_Ingresos devengados por subvenciones del gobierno y otras ayudas gubernamentales</v>
      </c>
    </row>
    <row r="419" spans="1:38">
      <c r="A419" s="53"/>
      <c r="B419" s="53"/>
      <c r="C419" s="53"/>
      <c r="D419" s="239" t="s">
        <v>629</v>
      </c>
      <c r="E419" s="239"/>
      <c r="F419" s="239"/>
      <c r="G419" s="239"/>
      <c r="H419" s="239"/>
      <c r="I419" s="239"/>
      <c r="J419" s="239"/>
      <c r="K419" s="239"/>
      <c r="L419" s="246" t="s">
        <v>565</v>
      </c>
      <c r="M419" s="246"/>
      <c r="N419" s="246" t="s">
        <v>566</v>
      </c>
      <c r="O419" s="246"/>
      <c r="S419" s="61" t="str">
        <f t="shared" si="75"/>
        <v>Total ingresos</v>
      </c>
      <c r="T419" s="64" t="str">
        <f t="shared" si="81"/>
        <v>ESTADO DEL RESULTADO INTEGRAL</v>
      </c>
      <c r="U419" s="64" t="str">
        <f t="shared" si="73"/>
        <v>INGRESOS</v>
      </c>
      <c r="V419" s="64" t="str">
        <f t="shared" si="78"/>
        <v>OTROS INGRESOS</v>
      </c>
      <c r="W419" s="64" t="str">
        <f t="shared" si="79"/>
        <v>GANANCIAS NETAS POR REVERSIONES DE DETERIORO EN EL VALOR</v>
      </c>
      <c r="X419" s="64" t="str">
        <f t="shared" si="69"/>
        <v/>
      </c>
      <c r="Y419" s="64" t="str">
        <f t="shared" si="70"/>
        <v/>
      </c>
      <c r="Z419" s="64" t="str">
        <f t="shared" si="71"/>
        <v/>
      </c>
      <c r="AA419" s="64" t="str">
        <f t="shared" si="80"/>
        <v>GANANCIAS NETAS POR REVERSIONES DE DETERIORO EN EL VALOR</v>
      </c>
      <c r="AC419" s="76" t="s">
        <v>565</v>
      </c>
      <c r="AD419" s="76" t="s">
        <v>561</v>
      </c>
      <c r="AE419" s="76" t="s">
        <v>562</v>
      </c>
      <c r="AF419" s="76" t="s">
        <v>10</v>
      </c>
      <c r="AG419" s="76" t="s">
        <v>629</v>
      </c>
      <c r="AH419" s="76" t="s">
        <v>444</v>
      </c>
      <c r="AI419" s="76" t="s">
        <v>444</v>
      </c>
      <c r="AJ419" s="76" t="s">
        <v>444</v>
      </c>
      <c r="AK419" s="76" t="s">
        <v>629</v>
      </c>
      <c r="AL419" s="76" t="str">
        <f t="shared" si="77"/>
        <v>IE/No Objeto_GANANCIAS NETAS POR REVERSIONES DE DETERIORO EN EL VALOR</v>
      </c>
    </row>
    <row r="420" spans="1:38">
      <c r="A420" s="53"/>
      <c r="B420" s="53"/>
      <c r="C420" s="53"/>
      <c r="D420" s="53"/>
      <c r="E420" s="242" t="s">
        <v>630</v>
      </c>
      <c r="F420" s="242"/>
      <c r="G420" s="242"/>
      <c r="H420" s="242"/>
      <c r="I420" s="242"/>
      <c r="J420" s="242"/>
      <c r="K420" s="242"/>
      <c r="L420" s="9" t="s">
        <v>631</v>
      </c>
      <c r="M420" s="55" t="e">
        <f>VLOOKUP(L420,Casilleros!$A$4:$Q$830,17,FALSE)</f>
        <v>#REF!</v>
      </c>
      <c r="N420" s="9" t="s">
        <v>632</v>
      </c>
      <c r="O420" s="55" t="e">
        <f>VLOOKUP(N420,Casilleros!$A$4:$Q$830,17,FALSE)</f>
        <v>#REF!</v>
      </c>
      <c r="S420" s="61" t="str">
        <f t="shared" si="75"/>
        <v>6041</v>
      </c>
      <c r="T420" s="64" t="str">
        <f t="shared" si="81"/>
        <v>ESTADO DEL RESULTADO INTEGRAL</v>
      </c>
      <c r="U420" s="64" t="str">
        <f t="shared" si="73"/>
        <v>INGRESOS</v>
      </c>
      <c r="V420" s="64" t="str">
        <f t="shared" si="78"/>
        <v>OTROS INGRESOS</v>
      </c>
      <c r="W420" s="64" t="str">
        <f t="shared" si="79"/>
        <v>GANANCIAS NETAS POR REVERSIONES DE DETERIORO EN EL VALOR</v>
      </c>
      <c r="X420" s="64" t="str">
        <f t="shared" si="69"/>
        <v>De activos financieros (reversión de provisiones para créditos incobrables)</v>
      </c>
      <c r="Y420" s="64" t="str">
        <f t="shared" si="70"/>
        <v/>
      </c>
      <c r="Z420" s="64" t="str">
        <f t="shared" si="71"/>
        <v/>
      </c>
      <c r="AA420" s="64" t="str">
        <f t="shared" si="80"/>
        <v>GANANCIAS NETAS POR REVERSIONES DE DETERIORO EN EL VALOR_De activos financieros (reversión de provisiones para créditos incobrables)__</v>
      </c>
      <c r="AC420" s="76" t="s">
        <v>632</v>
      </c>
      <c r="AD420" s="76" t="s">
        <v>561</v>
      </c>
      <c r="AE420" s="76" t="s">
        <v>562</v>
      </c>
      <c r="AF420" s="76" t="s">
        <v>10</v>
      </c>
      <c r="AG420" s="76" t="s">
        <v>629</v>
      </c>
      <c r="AH420" s="76" t="s">
        <v>630</v>
      </c>
      <c r="AI420" s="76" t="s">
        <v>444</v>
      </c>
      <c r="AJ420" s="76" t="s">
        <v>444</v>
      </c>
      <c r="AK420" s="76" t="s">
        <v>1496</v>
      </c>
      <c r="AL420" s="76" t="str">
        <f t="shared" si="77"/>
        <v>IE/No Objeto_GANANCIAS NETAS POR REVERSIONES DE DETERIORO EN EL VALOR_De activos financieros (reversión de provisiones para créditos incobrables)__</v>
      </c>
    </row>
    <row r="421" spans="1:38">
      <c r="A421" s="53"/>
      <c r="B421" s="53"/>
      <c r="C421" s="53"/>
      <c r="D421" s="53"/>
      <c r="E421" s="242" t="s">
        <v>633</v>
      </c>
      <c r="F421" s="242"/>
      <c r="G421" s="242"/>
      <c r="H421" s="242"/>
      <c r="I421" s="242"/>
      <c r="J421" s="242"/>
      <c r="K421" s="242"/>
      <c r="L421" s="9" t="s">
        <v>634</v>
      </c>
      <c r="M421" s="55" t="e">
        <f>VLOOKUP(L421,Casilleros!$A$4:$Q$830,17,FALSE)</f>
        <v>#REF!</v>
      </c>
      <c r="N421" s="9" t="s">
        <v>635</v>
      </c>
      <c r="O421" s="55" t="e">
        <f>VLOOKUP(N421,Casilleros!$A$4:$Q$830,17,FALSE)</f>
        <v>#REF!</v>
      </c>
      <c r="S421" s="61" t="str">
        <f t="shared" si="75"/>
        <v>6043</v>
      </c>
      <c r="T421" s="64" t="str">
        <f t="shared" si="81"/>
        <v>ESTADO DEL RESULTADO INTEGRAL</v>
      </c>
      <c r="U421" s="64" t="str">
        <f t="shared" si="73"/>
        <v>INGRESOS</v>
      </c>
      <c r="V421" s="64" t="str">
        <f t="shared" si="78"/>
        <v>OTROS INGRESOS</v>
      </c>
      <c r="W421" s="64" t="str">
        <f t="shared" si="79"/>
        <v>GANANCIAS NETAS POR REVERSIONES DE DETERIORO EN EL VALOR</v>
      </c>
      <c r="X421" s="64" t="str">
        <f t="shared" si="69"/>
        <v>De inventarios</v>
      </c>
      <c r="Y421" s="64" t="str">
        <f t="shared" si="70"/>
        <v/>
      </c>
      <c r="Z421" s="64" t="str">
        <f t="shared" si="71"/>
        <v/>
      </c>
      <c r="AA421" s="64" t="str">
        <f t="shared" si="80"/>
        <v>GANANCIAS NETAS POR REVERSIONES DE DETERIORO EN EL VALOR_De inventarios__</v>
      </c>
      <c r="AC421" s="76" t="s">
        <v>635</v>
      </c>
      <c r="AD421" s="76" t="s">
        <v>561</v>
      </c>
      <c r="AE421" s="76" t="s">
        <v>562</v>
      </c>
      <c r="AF421" s="76" t="s">
        <v>10</v>
      </c>
      <c r="AG421" s="76" t="s">
        <v>629</v>
      </c>
      <c r="AH421" s="76" t="s">
        <v>633</v>
      </c>
      <c r="AI421" s="76" t="s">
        <v>444</v>
      </c>
      <c r="AJ421" s="76" t="s">
        <v>444</v>
      </c>
      <c r="AK421" s="76" t="s">
        <v>1497</v>
      </c>
      <c r="AL421" s="76" t="str">
        <f t="shared" si="77"/>
        <v>IE/No Objeto_GANANCIAS NETAS POR REVERSIONES DE DETERIORO EN EL VALOR_De inventarios__</v>
      </c>
    </row>
    <row r="422" spans="1:38">
      <c r="A422" s="53"/>
      <c r="B422" s="53"/>
      <c r="C422" s="53"/>
      <c r="D422" s="53"/>
      <c r="E422" s="242" t="s">
        <v>636</v>
      </c>
      <c r="F422" s="242"/>
      <c r="G422" s="242"/>
      <c r="H422" s="242"/>
      <c r="I422" s="242"/>
      <c r="J422" s="242"/>
      <c r="K422" s="242"/>
      <c r="L422" s="9" t="s">
        <v>637</v>
      </c>
      <c r="M422" s="55" t="e">
        <f>VLOOKUP(L422,Casilleros!$A$4:$Q$830,17,FALSE)</f>
        <v>#REF!</v>
      </c>
      <c r="N422" s="9" t="s">
        <v>638</v>
      </c>
      <c r="O422" s="55" t="e">
        <f>VLOOKUP(N422,Casilleros!$A$4:$Q$830,17,FALSE)</f>
        <v>#REF!</v>
      </c>
      <c r="S422" s="61" t="str">
        <f t="shared" si="75"/>
        <v>6045</v>
      </c>
      <c r="T422" s="64" t="str">
        <f t="shared" si="81"/>
        <v>ESTADO DEL RESULTADO INTEGRAL</v>
      </c>
      <c r="U422" s="64" t="str">
        <f t="shared" si="73"/>
        <v>INGRESOS</v>
      </c>
      <c r="V422" s="64" t="str">
        <f t="shared" si="78"/>
        <v>OTROS INGRESOS</v>
      </c>
      <c r="W422" s="64" t="str">
        <f t="shared" si="79"/>
        <v>GANANCIAS NETAS POR REVERSIONES DE DETERIORO EN EL VALOR</v>
      </c>
      <c r="X422" s="64" t="str">
        <f t="shared" si="69"/>
        <v>De activos no corrientes mantenidos para la venta</v>
      </c>
      <c r="Y422" s="64" t="str">
        <f t="shared" si="70"/>
        <v/>
      </c>
      <c r="Z422" s="64" t="str">
        <f t="shared" si="71"/>
        <v/>
      </c>
      <c r="AA422" s="64" t="str">
        <f t="shared" si="80"/>
        <v>GANANCIAS NETAS POR REVERSIONES DE DETERIORO EN EL VALOR_De activos no corrientes mantenidos para la venta__</v>
      </c>
      <c r="AC422" s="76" t="s">
        <v>638</v>
      </c>
      <c r="AD422" s="76" t="s">
        <v>561</v>
      </c>
      <c r="AE422" s="76" t="s">
        <v>562</v>
      </c>
      <c r="AF422" s="76" t="s">
        <v>10</v>
      </c>
      <c r="AG422" s="76" t="s">
        <v>629</v>
      </c>
      <c r="AH422" s="76" t="s">
        <v>636</v>
      </c>
      <c r="AI422" s="76" t="s">
        <v>444</v>
      </c>
      <c r="AJ422" s="76" t="s">
        <v>444</v>
      </c>
      <c r="AK422" s="76" t="s">
        <v>1498</v>
      </c>
      <c r="AL422" s="76" t="str">
        <f t="shared" si="77"/>
        <v>IE/No Objeto_GANANCIAS NETAS POR REVERSIONES DE DETERIORO EN EL VALOR_De activos no corrientes mantenidos para la venta__</v>
      </c>
    </row>
    <row r="423" spans="1:38">
      <c r="A423" s="53"/>
      <c r="B423" s="53"/>
      <c r="C423" s="53"/>
      <c r="D423" s="53"/>
      <c r="E423" s="242" t="s">
        <v>639</v>
      </c>
      <c r="F423" s="242"/>
      <c r="G423" s="242"/>
      <c r="H423" s="242"/>
      <c r="I423" s="242"/>
      <c r="J423" s="242"/>
      <c r="K423" s="242"/>
      <c r="L423" s="9" t="s">
        <v>640</v>
      </c>
      <c r="M423" s="55" t="e">
        <f>VLOOKUP(L423,Casilleros!$A$4:$Q$830,17,FALSE)</f>
        <v>#REF!</v>
      </c>
      <c r="N423" s="9" t="s">
        <v>641</v>
      </c>
      <c r="O423" s="55" t="e">
        <f>VLOOKUP(N423,Casilleros!$A$4:$Q$830,17,FALSE)</f>
        <v>#REF!</v>
      </c>
      <c r="S423" s="61" t="str">
        <f t="shared" si="75"/>
        <v>6047</v>
      </c>
      <c r="T423" s="64" t="str">
        <f t="shared" si="81"/>
        <v>ESTADO DEL RESULTADO INTEGRAL</v>
      </c>
      <c r="U423" s="64" t="str">
        <f t="shared" si="73"/>
        <v>INGRESOS</v>
      </c>
      <c r="V423" s="64" t="str">
        <f t="shared" si="78"/>
        <v>OTROS INGRESOS</v>
      </c>
      <c r="W423" s="64" t="str">
        <f t="shared" si="79"/>
        <v>GANANCIAS NETAS POR REVERSIONES DE DETERIORO EN EL VALOR</v>
      </c>
      <c r="X423" s="64" t="str">
        <f t="shared" si="69"/>
        <v>De activos biológicos</v>
      </c>
      <c r="Y423" s="64" t="str">
        <f t="shared" si="70"/>
        <v/>
      </c>
      <c r="Z423" s="64" t="str">
        <f t="shared" si="71"/>
        <v/>
      </c>
      <c r="AA423" s="64" t="str">
        <f t="shared" si="80"/>
        <v>GANANCIAS NETAS POR REVERSIONES DE DETERIORO EN EL VALOR_De activos biológicos__</v>
      </c>
      <c r="AC423" s="76" t="s">
        <v>641</v>
      </c>
      <c r="AD423" s="76" t="s">
        <v>561</v>
      </c>
      <c r="AE423" s="76" t="s">
        <v>562</v>
      </c>
      <c r="AF423" s="76" t="s">
        <v>10</v>
      </c>
      <c r="AG423" s="76" t="s">
        <v>629</v>
      </c>
      <c r="AH423" s="76" t="s">
        <v>639</v>
      </c>
      <c r="AI423" s="76" t="s">
        <v>444</v>
      </c>
      <c r="AJ423" s="76" t="s">
        <v>444</v>
      </c>
      <c r="AK423" s="76" t="s">
        <v>1499</v>
      </c>
      <c r="AL423" s="76" t="str">
        <f t="shared" si="77"/>
        <v>IE/No Objeto_GANANCIAS NETAS POR REVERSIONES DE DETERIORO EN EL VALOR_De activos biológicos__</v>
      </c>
    </row>
    <row r="424" spans="1:38">
      <c r="A424" s="53"/>
      <c r="B424" s="53"/>
      <c r="C424" s="53"/>
      <c r="D424" s="53"/>
      <c r="E424" s="242" t="s">
        <v>642</v>
      </c>
      <c r="F424" s="242"/>
      <c r="G424" s="242"/>
      <c r="H424" s="242"/>
      <c r="I424" s="242"/>
      <c r="J424" s="242"/>
      <c r="K424" s="242"/>
      <c r="L424" s="9" t="s">
        <v>643</v>
      </c>
      <c r="M424" s="55" t="e">
        <f>VLOOKUP(L424,Casilleros!$A$4:$Q$830,17,FALSE)</f>
        <v>#REF!</v>
      </c>
      <c r="N424" s="9" t="s">
        <v>644</v>
      </c>
      <c r="O424" s="55" t="e">
        <f>VLOOKUP(N424,Casilleros!$A$4:$Q$830,17,FALSE)</f>
        <v>#REF!</v>
      </c>
      <c r="S424" s="61" t="str">
        <f t="shared" si="75"/>
        <v>6049</v>
      </c>
      <c r="T424" s="64" t="str">
        <f t="shared" si="81"/>
        <v>ESTADO DEL RESULTADO INTEGRAL</v>
      </c>
      <c r="U424" s="64" t="str">
        <f t="shared" si="73"/>
        <v>INGRESOS</v>
      </c>
      <c r="V424" s="64" t="str">
        <f t="shared" si="78"/>
        <v>OTROS INGRESOS</v>
      </c>
      <c r="W424" s="64" t="str">
        <f t="shared" si="79"/>
        <v>GANANCIAS NETAS POR REVERSIONES DE DETERIORO EN EL VALOR</v>
      </c>
      <c r="X424" s="64" t="str">
        <f t="shared" si="69"/>
        <v>De propiedades, planta y equipo</v>
      </c>
      <c r="Y424" s="64" t="str">
        <f t="shared" si="70"/>
        <v/>
      </c>
      <c r="Z424" s="64" t="str">
        <f t="shared" si="71"/>
        <v/>
      </c>
      <c r="AA424" s="64" t="str">
        <f t="shared" si="80"/>
        <v>GANANCIAS NETAS POR REVERSIONES DE DETERIORO EN EL VALOR_De propiedades, planta y equipo__</v>
      </c>
      <c r="AC424" s="76" t="s">
        <v>644</v>
      </c>
      <c r="AD424" s="76" t="s">
        <v>561</v>
      </c>
      <c r="AE424" s="76" t="s">
        <v>562</v>
      </c>
      <c r="AF424" s="76" t="s">
        <v>10</v>
      </c>
      <c r="AG424" s="76" t="s">
        <v>629</v>
      </c>
      <c r="AH424" s="76" t="s">
        <v>642</v>
      </c>
      <c r="AI424" s="76" t="s">
        <v>444</v>
      </c>
      <c r="AJ424" s="76" t="s">
        <v>444</v>
      </c>
      <c r="AK424" s="76" t="s">
        <v>1500</v>
      </c>
      <c r="AL424" s="76" t="str">
        <f t="shared" si="77"/>
        <v>IE/No Objeto_GANANCIAS NETAS POR REVERSIONES DE DETERIORO EN EL VALOR_De propiedades, planta y equipo__</v>
      </c>
    </row>
    <row r="425" spans="1:38">
      <c r="A425" s="53"/>
      <c r="B425" s="53"/>
      <c r="C425" s="53"/>
      <c r="D425" s="53"/>
      <c r="E425" s="242" t="s">
        <v>645</v>
      </c>
      <c r="F425" s="242"/>
      <c r="G425" s="242"/>
      <c r="H425" s="242"/>
      <c r="I425" s="242"/>
      <c r="J425" s="242"/>
      <c r="K425" s="242"/>
      <c r="L425" s="9" t="s">
        <v>646</v>
      </c>
      <c r="M425" s="55" t="e">
        <f>VLOOKUP(L425,Casilleros!$A$4:$Q$830,17,FALSE)</f>
        <v>#REF!</v>
      </c>
      <c r="N425" s="9" t="s">
        <v>647</v>
      </c>
      <c r="O425" s="55" t="e">
        <f>VLOOKUP(N425,Casilleros!$A$4:$Q$830,17,FALSE)</f>
        <v>#REF!</v>
      </c>
      <c r="S425" s="61" t="str">
        <f t="shared" si="75"/>
        <v>6051</v>
      </c>
      <c r="T425" s="64" t="str">
        <f t="shared" si="81"/>
        <v>ESTADO DEL RESULTADO INTEGRAL</v>
      </c>
      <c r="U425" s="64" t="str">
        <f t="shared" si="73"/>
        <v>INGRESOS</v>
      </c>
      <c r="V425" s="64" t="str">
        <f t="shared" si="78"/>
        <v>OTROS INGRESOS</v>
      </c>
      <c r="W425" s="64" t="str">
        <f t="shared" si="79"/>
        <v>GANANCIAS NETAS POR REVERSIONES DE DETERIORO EN EL VALOR</v>
      </c>
      <c r="X425" s="64" t="str">
        <f t="shared" si="69"/>
        <v>De activos intangibles</v>
      </c>
      <c r="Y425" s="64" t="str">
        <f t="shared" si="70"/>
        <v/>
      </c>
      <c r="Z425" s="64" t="str">
        <f t="shared" si="71"/>
        <v/>
      </c>
      <c r="AA425" s="64" t="str">
        <f t="shared" si="80"/>
        <v>GANANCIAS NETAS POR REVERSIONES DE DETERIORO EN EL VALOR_De activos intangibles__</v>
      </c>
      <c r="AC425" s="76" t="s">
        <v>647</v>
      </c>
      <c r="AD425" s="76" t="s">
        <v>561</v>
      </c>
      <c r="AE425" s="76" t="s">
        <v>562</v>
      </c>
      <c r="AF425" s="76" t="s">
        <v>10</v>
      </c>
      <c r="AG425" s="76" t="s">
        <v>629</v>
      </c>
      <c r="AH425" s="76" t="s">
        <v>645</v>
      </c>
      <c r="AI425" s="76" t="s">
        <v>444</v>
      </c>
      <c r="AJ425" s="76" t="s">
        <v>444</v>
      </c>
      <c r="AK425" s="76" t="s">
        <v>1501</v>
      </c>
      <c r="AL425" s="76" t="str">
        <f t="shared" si="77"/>
        <v>IE/No Objeto_GANANCIAS NETAS POR REVERSIONES DE DETERIORO EN EL VALOR_De activos intangibles__</v>
      </c>
    </row>
    <row r="426" spans="1:38">
      <c r="A426" s="53"/>
      <c r="B426" s="53"/>
      <c r="C426" s="53"/>
      <c r="D426" s="53"/>
      <c r="E426" s="242" t="s">
        <v>648</v>
      </c>
      <c r="F426" s="242"/>
      <c r="G426" s="242"/>
      <c r="H426" s="242"/>
      <c r="I426" s="242"/>
      <c r="J426" s="242"/>
      <c r="K426" s="242"/>
      <c r="L426" s="9" t="s">
        <v>649</v>
      </c>
      <c r="M426" s="55" t="e">
        <f>VLOOKUP(L426,Casilleros!$A$4:$Q$830,17,FALSE)</f>
        <v>#REF!</v>
      </c>
      <c r="N426" s="9" t="s">
        <v>650</v>
      </c>
      <c r="O426" s="55" t="e">
        <f>VLOOKUP(N426,Casilleros!$A$4:$Q$830,17,FALSE)</f>
        <v>#REF!</v>
      </c>
      <c r="S426" s="61" t="str">
        <f t="shared" si="75"/>
        <v>6053</v>
      </c>
      <c r="T426" s="64" t="str">
        <f t="shared" si="81"/>
        <v>ESTADO DEL RESULTADO INTEGRAL</v>
      </c>
      <c r="U426" s="64" t="str">
        <f t="shared" si="73"/>
        <v>INGRESOS</v>
      </c>
      <c r="V426" s="64" t="str">
        <f t="shared" si="78"/>
        <v>OTROS INGRESOS</v>
      </c>
      <c r="W426" s="64" t="str">
        <f t="shared" si="79"/>
        <v>GANANCIAS NETAS POR REVERSIONES DE DETERIORO EN EL VALOR</v>
      </c>
      <c r="X426" s="64" t="str">
        <f t="shared" si="69"/>
        <v>De propiedades de inversión</v>
      </c>
      <c r="Y426" s="64" t="str">
        <f t="shared" si="70"/>
        <v/>
      </c>
      <c r="Z426" s="64" t="str">
        <f t="shared" si="71"/>
        <v/>
      </c>
      <c r="AA426" s="64" t="str">
        <f t="shared" si="80"/>
        <v>GANANCIAS NETAS POR REVERSIONES DE DETERIORO EN EL VALOR_De propiedades de inversión__</v>
      </c>
      <c r="AC426" s="76" t="s">
        <v>650</v>
      </c>
      <c r="AD426" s="76" t="s">
        <v>561</v>
      </c>
      <c r="AE426" s="76" t="s">
        <v>562</v>
      </c>
      <c r="AF426" s="76" t="s">
        <v>10</v>
      </c>
      <c r="AG426" s="76" t="s">
        <v>629</v>
      </c>
      <c r="AH426" s="76" t="s">
        <v>648</v>
      </c>
      <c r="AI426" s="76" t="s">
        <v>444</v>
      </c>
      <c r="AJ426" s="76" t="s">
        <v>444</v>
      </c>
      <c r="AK426" s="76" t="s">
        <v>1502</v>
      </c>
      <c r="AL426" s="76" t="str">
        <f t="shared" si="77"/>
        <v>IE/No Objeto_GANANCIAS NETAS POR REVERSIONES DE DETERIORO EN EL VALOR_De propiedades de inversión__</v>
      </c>
    </row>
    <row r="427" spans="1:38">
      <c r="A427" s="53"/>
      <c r="B427" s="53"/>
      <c r="C427" s="53"/>
      <c r="D427" s="53"/>
      <c r="E427" s="242" t="s">
        <v>651</v>
      </c>
      <c r="F427" s="242"/>
      <c r="G427" s="242"/>
      <c r="H427" s="242"/>
      <c r="I427" s="242"/>
      <c r="J427" s="242"/>
      <c r="K427" s="242"/>
      <c r="L427" s="9" t="s">
        <v>652</v>
      </c>
      <c r="M427" s="55" t="e">
        <f>VLOOKUP(L427,Casilleros!$A$4:$Q$830,17,FALSE)</f>
        <v>#REF!</v>
      </c>
      <c r="N427" s="9" t="s">
        <v>653</v>
      </c>
      <c r="O427" s="55" t="e">
        <f>VLOOKUP(N427,Casilleros!$A$4:$Q$830,17,FALSE)</f>
        <v>#REF!</v>
      </c>
      <c r="S427" s="61" t="str">
        <f t="shared" si="75"/>
        <v>6055</v>
      </c>
      <c r="T427" s="64" t="str">
        <f t="shared" si="81"/>
        <v>ESTADO DEL RESULTADO INTEGRAL</v>
      </c>
      <c r="U427" s="64" t="str">
        <f t="shared" si="73"/>
        <v>INGRESOS</v>
      </c>
      <c r="V427" s="64" t="str">
        <f t="shared" si="78"/>
        <v>OTROS INGRESOS</v>
      </c>
      <c r="W427" s="64" t="str">
        <f t="shared" si="79"/>
        <v>GANANCIAS NETAS POR REVERSIONES DE DETERIORO EN EL VALOR</v>
      </c>
      <c r="X427" s="64" t="str">
        <f t="shared" si="69"/>
        <v>De activos de exploración, evaluación y explotación de recursos minerales</v>
      </c>
      <c r="Y427" s="64" t="str">
        <f t="shared" si="70"/>
        <v/>
      </c>
      <c r="Z427" s="64" t="str">
        <f t="shared" si="71"/>
        <v/>
      </c>
      <c r="AA427" s="64" t="str">
        <f t="shared" si="80"/>
        <v>GANANCIAS NETAS POR REVERSIONES DE DETERIORO EN EL VALOR_De activos de exploración, evaluación y explotación de recursos minerales__</v>
      </c>
      <c r="AC427" s="76" t="s">
        <v>653</v>
      </c>
      <c r="AD427" s="76" t="s">
        <v>561</v>
      </c>
      <c r="AE427" s="76" t="s">
        <v>562</v>
      </c>
      <c r="AF427" s="76" t="s">
        <v>10</v>
      </c>
      <c r="AG427" s="76" t="s">
        <v>629</v>
      </c>
      <c r="AH427" s="76" t="s">
        <v>651</v>
      </c>
      <c r="AI427" s="76" t="s">
        <v>444</v>
      </c>
      <c r="AJ427" s="76" t="s">
        <v>444</v>
      </c>
      <c r="AK427" s="76" t="s">
        <v>1503</v>
      </c>
      <c r="AL427" s="76" t="str">
        <f t="shared" si="77"/>
        <v>IE/No Objeto_GANANCIAS NETAS POR REVERSIONES DE DETERIORO EN EL VALOR_De activos de exploración, evaluación y explotación de recursos minerales__</v>
      </c>
    </row>
    <row r="428" spans="1:38">
      <c r="A428" s="53"/>
      <c r="B428" s="53"/>
      <c r="C428" s="53"/>
      <c r="D428" s="53"/>
      <c r="E428" s="242" t="s">
        <v>654</v>
      </c>
      <c r="F428" s="242"/>
      <c r="G428" s="242"/>
      <c r="H428" s="242"/>
      <c r="I428" s="242"/>
      <c r="J428" s="242"/>
      <c r="K428" s="242"/>
      <c r="L428" s="9" t="s">
        <v>655</v>
      </c>
      <c r="M428" s="55" t="e">
        <f>VLOOKUP(L428,Casilleros!$A$4:$Q$830,17,FALSE)</f>
        <v>#REF!</v>
      </c>
      <c r="N428" s="9" t="s">
        <v>656</v>
      </c>
      <c r="O428" s="55" t="e">
        <f>VLOOKUP(N428,Casilleros!$A$4:$Q$830,17,FALSE)</f>
        <v>#REF!</v>
      </c>
      <c r="S428" s="61" t="str">
        <f t="shared" si="75"/>
        <v>6057</v>
      </c>
      <c r="T428" s="64" t="str">
        <f t="shared" si="81"/>
        <v>ESTADO DEL RESULTADO INTEGRAL</v>
      </c>
      <c r="U428" s="64" t="str">
        <f t="shared" si="73"/>
        <v>INGRESOS</v>
      </c>
      <c r="V428" s="64" t="str">
        <f t="shared" si="78"/>
        <v>OTROS INGRESOS</v>
      </c>
      <c r="W428" s="64" t="str">
        <f t="shared" si="79"/>
        <v>GANANCIAS NETAS POR REVERSIONES DE DETERIORO EN EL VALOR</v>
      </c>
      <c r="X428" s="64" t="str">
        <f t="shared" si="69"/>
        <v>De inversiones no corrientes</v>
      </c>
      <c r="Y428" s="64" t="str">
        <f t="shared" si="70"/>
        <v/>
      </c>
      <c r="Z428" s="64" t="str">
        <f t="shared" si="71"/>
        <v/>
      </c>
      <c r="AA428" s="64" t="str">
        <f t="shared" si="80"/>
        <v>GANANCIAS NETAS POR REVERSIONES DE DETERIORO EN EL VALOR_De inversiones no corrientes__</v>
      </c>
      <c r="AC428" s="76" t="s">
        <v>656</v>
      </c>
      <c r="AD428" s="76" t="s">
        <v>561</v>
      </c>
      <c r="AE428" s="76" t="s">
        <v>562</v>
      </c>
      <c r="AF428" s="76" t="s">
        <v>10</v>
      </c>
      <c r="AG428" s="76" t="s">
        <v>629</v>
      </c>
      <c r="AH428" s="76" t="s">
        <v>654</v>
      </c>
      <c r="AI428" s="76" t="s">
        <v>444</v>
      </c>
      <c r="AJ428" s="76" t="s">
        <v>444</v>
      </c>
      <c r="AK428" s="76" t="s">
        <v>1504</v>
      </c>
      <c r="AL428" s="76" t="str">
        <f t="shared" si="77"/>
        <v>IE/No Objeto_GANANCIAS NETAS POR REVERSIONES DE DETERIORO EN EL VALOR_De inversiones no corrientes__</v>
      </c>
    </row>
    <row r="429" spans="1:38">
      <c r="A429" s="53"/>
      <c r="B429" s="53"/>
      <c r="C429" s="53"/>
      <c r="D429" s="53"/>
      <c r="E429" s="242" t="s">
        <v>425</v>
      </c>
      <c r="F429" s="242"/>
      <c r="G429" s="242"/>
      <c r="H429" s="242"/>
      <c r="I429" s="242"/>
      <c r="J429" s="242"/>
      <c r="K429" s="242"/>
      <c r="L429" s="9" t="s">
        <v>657</v>
      </c>
      <c r="M429" s="55" t="e">
        <f>VLOOKUP(L429,Casilleros!$A$4:$Q$830,17,FALSE)</f>
        <v>#REF!</v>
      </c>
      <c r="N429" s="9" t="s">
        <v>658</v>
      </c>
      <c r="O429" s="55" t="e">
        <f>VLOOKUP(N429,Casilleros!$A$4:$Q$830,17,FALSE)</f>
        <v>#REF!</v>
      </c>
      <c r="S429" s="61" t="str">
        <f t="shared" si="75"/>
        <v>6059</v>
      </c>
      <c r="T429" s="64" t="str">
        <f t="shared" si="81"/>
        <v>ESTADO DEL RESULTADO INTEGRAL</v>
      </c>
      <c r="U429" s="64" t="str">
        <f t="shared" si="73"/>
        <v>INGRESOS</v>
      </c>
      <c r="V429" s="64" t="str">
        <f t="shared" si="78"/>
        <v>OTROS INGRESOS</v>
      </c>
      <c r="W429" s="64" t="str">
        <f t="shared" si="79"/>
        <v>GANANCIAS NETAS POR REVERSIONES DE DETERIORO EN EL VALOR</v>
      </c>
      <c r="X429" s="64" t="str">
        <f t="shared" si="69"/>
        <v>Otras</v>
      </c>
      <c r="Y429" s="64" t="str">
        <f t="shared" si="70"/>
        <v/>
      </c>
      <c r="Z429" s="64" t="str">
        <f t="shared" si="71"/>
        <v/>
      </c>
      <c r="AA429" s="64" t="str">
        <f t="shared" si="80"/>
        <v>GANANCIAS NETAS POR REVERSIONES DE DETERIORO EN EL VALOR_Otras__</v>
      </c>
      <c r="AC429" s="76" t="s">
        <v>658</v>
      </c>
      <c r="AD429" s="76" t="s">
        <v>561</v>
      </c>
      <c r="AE429" s="76" t="s">
        <v>562</v>
      </c>
      <c r="AF429" s="76" t="s">
        <v>10</v>
      </c>
      <c r="AG429" s="76" t="s">
        <v>629</v>
      </c>
      <c r="AH429" s="76" t="s">
        <v>425</v>
      </c>
      <c r="AI429" s="76" t="s">
        <v>444</v>
      </c>
      <c r="AJ429" s="76" t="s">
        <v>444</v>
      </c>
      <c r="AK429" s="76" t="s">
        <v>1505</v>
      </c>
      <c r="AL429" s="76" t="str">
        <f t="shared" si="77"/>
        <v>IE/No Objeto_GANANCIAS NETAS POR REVERSIONES DE DETERIORO EN EL VALOR_Otras__</v>
      </c>
    </row>
    <row r="430" spans="1:38">
      <c r="A430" s="53"/>
      <c r="B430" s="53"/>
      <c r="C430" s="53"/>
      <c r="D430" s="239" t="s">
        <v>659</v>
      </c>
      <c r="E430" s="239"/>
      <c r="F430" s="239"/>
      <c r="G430" s="239"/>
      <c r="H430" s="239"/>
      <c r="I430" s="239"/>
      <c r="J430" s="239"/>
      <c r="K430" s="239"/>
      <c r="L430" s="246" t="s">
        <v>565</v>
      </c>
      <c r="M430" s="246"/>
      <c r="N430" s="246" t="s">
        <v>566</v>
      </c>
      <c r="O430" s="246"/>
      <c r="S430" s="61" t="str">
        <f t="shared" si="75"/>
        <v>Total ingresos</v>
      </c>
      <c r="T430" s="64" t="str">
        <f t="shared" si="81"/>
        <v>ESTADO DEL RESULTADO INTEGRAL</v>
      </c>
      <c r="U430" s="64" t="str">
        <f t="shared" si="73"/>
        <v>INGRESOS</v>
      </c>
      <c r="V430" s="64" t="str">
        <f t="shared" si="78"/>
        <v>OTROS INGRESOS</v>
      </c>
      <c r="W430" s="64" t="str">
        <f t="shared" si="79"/>
        <v>GANANCIAS NETAS POR REVERSIONES DE PROVISIONES</v>
      </c>
      <c r="X430" s="64" t="str">
        <f t="shared" si="69"/>
        <v/>
      </c>
      <c r="Y430" s="64" t="str">
        <f t="shared" si="70"/>
        <v/>
      </c>
      <c r="Z430" s="64" t="str">
        <f t="shared" si="71"/>
        <v/>
      </c>
      <c r="AA430" s="64" t="str">
        <f t="shared" si="80"/>
        <v>GANANCIAS NETAS POR REVERSIONES DE PROVISIONES</v>
      </c>
      <c r="AC430" s="76" t="s">
        <v>565</v>
      </c>
      <c r="AD430" s="76" t="s">
        <v>561</v>
      </c>
      <c r="AE430" s="76" t="s">
        <v>562</v>
      </c>
      <c r="AF430" s="76" t="s">
        <v>10</v>
      </c>
      <c r="AG430" s="76" t="s">
        <v>659</v>
      </c>
      <c r="AH430" s="76" t="s">
        <v>444</v>
      </c>
      <c r="AI430" s="76" t="s">
        <v>444</v>
      </c>
      <c r="AJ430" s="76" t="s">
        <v>444</v>
      </c>
      <c r="AK430" s="76" t="s">
        <v>659</v>
      </c>
      <c r="AL430" s="76" t="str">
        <f t="shared" si="77"/>
        <v>IE/No Objeto_GANANCIAS NETAS POR REVERSIONES DE PROVISIONES</v>
      </c>
    </row>
    <row r="431" spans="1:38">
      <c r="A431" s="53"/>
      <c r="B431" s="53"/>
      <c r="C431" s="53"/>
      <c r="D431" s="53"/>
      <c r="E431" s="242" t="s">
        <v>411</v>
      </c>
      <c r="F431" s="242"/>
      <c r="G431" s="242"/>
      <c r="H431" s="242"/>
      <c r="I431" s="242"/>
      <c r="J431" s="242"/>
      <c r="K431" s="242"/>
      <c r="L431" s="9" t="s">
        <v>660</v>
      </c>
      <c r="M431" s="55" t="e">
        <f>VLOOKUP(L431,Casilleros!$A$4:$Q$830,17,FALSE)</f>
        <v>#REF!</v>
      </c>
      <c r="N431" s="9" t="s">
        <v>661</v>
      </c>
      <c r="O431" s="55" t="e">
        <f>VLOOKUP(N431,Casilleros!$A$4:$Q$830,17,FALSE)</f>
        <v>#REF!</v>
      </c>
      <c r="S431" s="61" t="str">
        <f t="shared" si="75"/>
        <v>6061</v>
      </c>
      <c r="T431" s="64" t="str">
        <f t="shared" si="81"/>
        <v>ESTADO DEL RESULTADO INTEGRAL</v>
      </c>
      <c r="U431" s="64" t="str">
        <f t="shared" si="73"/>
        <v>INGRESOS</v>
      </c>
      <c r="V431" s="64" t="str">
        <f t="shared" si="78"/>
        <v>OTROS INGRESOS</v>
      </c>
      <c r="W431" s="64" t="str">
        <f t="shared" si="79"/>
        <v>GANANCIAS NETAS POR REVERSIONES DE PROVISIONES</v>
      </c>
      <c r="X431" s="64" t="str">
        <f t="shared" si="69"/>
        <v>Por garantías</v>
      </c>
      <c r="Y431" s="64" t="str">
        <f t="shared" si="70"/>
        <v/>
      </c>
      <c r="Z431" s="64" t="str">
        <f t="shared" si="71"/>
        <v/>
      </c>
      <c r="AA431" s="64" t="str">
        <f t="shared" si="80"/>
        <v>GANANCIAS NETAS POR REVERSIONES DE PROVISIONES_Por garantías__</v>
      </c>
      <c r="AC431" s="76" t="s">
        <v>661</v>
      </c>
      <c r="AD431" s="76" t="s">
        <v>561</v>
      </c>
      <c r="AE431" s="76" t="s">
        <v>562</v>
      </c>
      <c r="AF431" s="76" t="s">
        <v>10</v>
      </c>
      <c r="AG431" s="76" t="s">
        <v>659</v>
      </c>
      <c r="AH431" s="76" t="s">
        <v>411</v>
      </c>
      <c r="AI431" s="76" t="s">
        <v>444</v>
      </c>
      <c r="AJ431" s="76" t="s">
        <v>444</v>
      </c>
      <c r="AK431" s="76" t="s">
        <v>1506</v>
      </c>
      <c r="AL431" s="76" t="str">
        <f t="shared" si="77"/>
        <v>IE/No Objeto_GANANCIAS NETAS POR REVERSIONES DE PROVISIONES_Por garantías__</v>
      </c>
    </row>
    <row r="432" spans="1:38">
      <c r="A432" s="53"/>
      <c r="B432" s="53"/>
      <c r="C432" s="53"/>
      <c r="D432" s="53"/>
      <c r="E432" s="242" t="s">
        <v>662</v>
      </c>
      <c r="F432" s="242"/>
      <c r="G432" s="242"/>
      <c r="H432" s="242"/>
      <c r="I432" s="242"/>
      <c r="J432" s="242"/>
      <c r="K432" s="242"/>
      <c r="L432" s="9" t="s">
        <v>663</v>
      </c>
      <c r="M432" s="55" t="e">
        <f>VLOOKUP(L432,Casilleros!$A$4:$Q$830,17,FALSE)</f>
        <v>#REF!</v>
      </c>
      <c r="N432" s="9" t="s">
        <v>664</v>
      </c>
      <c r="O432" s="55" t="e">
        <f>VLOOKUP(N432,Casilleros!$A$4:$Q$830,17,FALSE)</f>
        <v>#REF!</v>
      </c>
      <c r="S432" s="61" t="str">
        <f t="shared" si="75"/>
        <v>6063</v>
      </c>
      <c r="T432" s="64" t="str">
        <f t="shared" si="81"/>
        <v>ESTADO DEL RESULTADO INTEGRAL</v>
      </c>
      <c r="U432" s="64" t="str">
        <f t="shared" si="73"/>
        <v>INGRESOS</v>
      </c>
      <c r="V432" s="64" t="str">
        <f t="shared" si="78"/>
        <v>OTROS INGRESOS</v>
      </c>
      <c r="W432" s="64" t="str">
        <f t="shared" si="79"/>
        <v>GANANCIAS NETAS POR REVERSIONES DE PROVISIONES</v>
      </c>
      <c r="X432" s="64" t="str">
        <f t="shared" ref="X432:X495" si="82">IF(W431&lt;&gt;W432,"",(IF(E432&lt;&gt;"",E432,X431)))</f>
        <v>Por desmantelamientos</v>
      </c>
      <c r="Y432" s="64" t="str">
        <f t="shared" ref="Y432:Y495" si="83">IF(X431&lt;&gt;X432,"",(IF(F432&lt;&gt;"",F432,Y431)))</f>
        <v/>
      </c>
      <c r="Z432" s="64" t="str">
        <f t="shared" ref="Z432:Z495" si="84">IF(Y431&lt;&gt;Y432,"",(IF(G432&lt;&gt;"",G432,Z431)))</f>
        <v/>
      </c>
      <c r="AA432" s="64" t="str">
        <f t="shared" si="80"/>
        <v>GANANCIAS NETAS POR REVERSIONES DE PROVISIONES_Por desmantelamientos__</v>
      </c>
      <c r="AC432" s="76" t="s">
        <v>664</v>
      </c>
      <c r="AD432" s="76" t="s">
        <v>561</v>
      </c>
      <c r="AE432" s="76" t="s">
        <v>562</v>
      </c>
      <c r="AF432" s="76" t="s">
        <v>10</v>
      </c>
      <c r="AG432" s="76" t="s">
        <v>659</v>
      </c>
      <c r="AH432" s="76" t="s">
        <v>662</v>
      </c>
      <c r="AI432" s="76" t="s">
        <v>444</v>
      </c>
      <c r="AJ432" s="76" t="s">
        <v>444</v>
      </c>
      <c r="AK432" s="76" t="s">
        <v>1507</v>
      </c>
      <c r="AL432" s="76" t="str">
        <f t="shared" si="77"/>
        <v>IE/No Objeto_GANANCIAS NETAS POR REVERSIONES DE PROVISIONES_Por desmantelamientos__</v>
      </c>
    </row>
    <row r="433" spans="1:38">
      <c r="A433" s="53"/>
      <c r="B433" s="53"/>
      <c r="C433" s="53"/>
      <c r="D433" s="53"/>
      <c r="E433" s="242" t="s">
        <v>415</v>
      </c>
      <c r="F433" s="242"/>
      <c r="G433" s="242"/>
      <c r="H433" s="242"/>
      <c r="I433" s="242"/>
      <c r="J433" s="242"/>
      <c r="K433" s="242"/>
      <c r="L433" s="9" t="s">
        <v>665</v>
      </c>
      <c r="M433" s="55" t="e">
        <f>VLOOKUP(L433,Casilleros!$A$4:$Q$830,17,FALSE)</f>
        <v>#REF!</v>
      </c>
      <c r="N433" s="9" t="s">
        <v>666</v>
      </c>
      <c r="O433" s="55" t="e">
        <f>VLOOKUP(N433,Casilleros!$A$4:$Q$830,17,FALSE)</f>
        <v>#REF!</v>
      </c>
      <c r="S433" s="61" t="str">
        <f t="shared" si="75"/>
        <v>6065</v>
      </c>
      <c r="T433" s="64" t="str">
        <f t="shared" si="81"/>
        <v>ESTADO DEL RESULTADO INTEGRAL</v>
      </c>
      <c r="U433" s="64" t="str">
        <f t="shared" si="73"/>
        <v>INGRESOS</v>
      </c>
      <c r="V433" s="64" t="str">
        <f t="shared" si="78"/>
        <v>OTROS INGRESOS</v>
      </c>
      <c r="W433" s="64" t="str">
        <f t="shared" si="79"/>
        <v>GANANCIAS NETAS POR REVERSIONES DE PROVISIONES</v>
      </c>
      <c r="X433" s="64" t="str">
        <f t="shared" si="82"/>
        <v>Por contratos onerosos</v>
      </c>
      <c r="Y433" s="64" t="str">
        <f t="shared" si="83"/>
        <v/>
      </c>
      <c r="Z433" s="64" t="str">
        <f t="shared" si="84"/>
        <v/>
      </c>
      <c r="AA433" s="64" t="str">
        <f t="shared" si="80"/>
        <v>GANANCIAS NETAS POR REVERSIONES DE PROVISIONES_Por contratos onerosos__</v>
      </c>
      <c r="AC433" s="76" t="s">
        <v>666</v>
      </c>
      <c r="AD433" s="76" t="s">
        <v>561</v>
      </c>
      <c r="AE433" s="76" t="s">
        <v>562</v>
      </c>
      <c r="AF433" s="76" t="s">
        <v>10</v>
      </c>
      <c r="AG433" s="76" t="s">
        <v>659</v>
      </c>
      <c r="AH433" s="76" t="s">
        <v>415</v>
      </c>
      <c r="AI433" s="76" t="s">
        <v>444</v>
      </c>
      <c r="AJ433" s="76" t="s">
        <v>444</v>
      </c>
      <c r="AK433" s="76" t="s">
        <v>1508</v>
      </c>
      <c r="AL433" s="76" t="str">
        <f t="shared" si="77"/>
        <v>IE/No Objeto_GANANCIAS NETAS POR REVERSIONES DE PROVISIONES_Por contratos onerosos__</v>
      </c>
    </row>
    <row r="434" spans="1:38">
      <c r="A434" s="53"/>
      <c r="B434" s="53"/>
      <c r="C434" s="53"/>
      <c r="D434" s="53"/>
      <c r="E434" s="242" t="s">
        <v>417</v>
      </c>
      <c r="F434" s="242"/>
      <c r="G434" s="242"/>
      <c r="H434" s="242"/>
      <c r="I434" s="242"/>
      <c r="J434" s="242"/>
      <c r="K434" s="242"/>
      <c r="L434" s="9" t="s">
        <v>667</v>
      </c>
      <c r="M434" s="55" t="e">
        <f>VLOOKUP(L434,Casilleros!$A$4:$Q$830,17,FALSE)</f>
        <v>#REF!</v>
      </c>
      <c r="N434" s="9" t="s">
        <v>668</v>
      </c>
      <c r="O434" s="55" t="e">
        <f>VLOOKUP(N434,Casilleros!$A$4:$Q$830,17,FALSE)</f>
        <v>#REF!</v>
      </c>
      <c r="S434" s="61" t="str">
        <f t="shared" si="75"/>
        <v>6067</v>
      </c>
      <c r="T434" s="64" t="str">
        <f t="shared" si="81"/>
        <v>ESTADO DEL RESULTADO INTEGRAL</v>
      </c>
      <c r="U434" s="64" t="str">
        <f t="shared" si="73"/>
        <v>INGRESOS</v>
      </c>
      <c r="V434" s="64" t="str">
        <f t="shared" si="78"/>
        <v>OTROS INGRESOS</v>
      </c>
      <c r="W434" s="64" t="str">
        <f t="shared" si="79"/>
        <v>GANANCIAS NETAS POR REVERSIONES DE PROVISIONES</v>
      </c>
      <c r="X434" s="64" t="str">
        <f t="shared" si="82"/>
        <v>Por reestructuraciones de negocios</v>
      </c>
      <c r="Y434" s="64" t="str">
        <f t="shared" si="83"/>
        <v/>
      </c>
      <c r="Z434" s="64" t="str">
        <f t="shared" si="84"/>
        <v/>
      </c>
      <c r="AA434" s="64" t="str">
        <f t="shared" si="80"/>
        <v>GANANCIAS NETAS POR REVERSIONES DE PROVISIONES_Por reestructuraciones de negocios__</v>
      </c>
      <c r="AC434" s="76" t="s">
        <v>668</v>
      </c>
      <c r="AD434" s="76" t="s">
        <v>561</v>
      </c>
      <c r="AE434" s="76" t="s">
        <v>562</v>
      </c>
      <c r="AF434" s="76" t="s">
        <v>10</v>
      </c>
      <c r="AG434" s="76" t="s">
        <v>659</v>
      </c>
      <c r="AH434" s="76" t="s">
        <v>417</v>
      </c>
      <c r="AI434" s="76" t="s">
        <v>444</v>
      </c>
      <c r="AJ434" s="76" t="s">
        <v>444</v>
      </c>
      <c r="AK434" s="76" t="s">
        <v>1509</v>
      </c>
      <c r="AL434" s="76" t="str">
        <f t="shared" si="77"/>
        <v>IE/No Objeto_GANANCIAS NETAS POR REVERSIONES DE PROVISIONES_Por reestructuraciones de negocios__</v>
      </c>
    </row>
    <row r="435" spans="1:38">
      <c r="A435" s="53"/>
      <c r="B435" s="53"/>
      <c r="C435" s="53"/>
      <c r="D435" s="53"/>
      <c r="E435" s="242" t="s">
        <v>419</v>
      </c>
      <c r="F435" s="242"/>
      <c r="G435" s="242"/>
      <c r="H435" s="242"/>
      <c r="I435" s="242"/>
      <c r="J435" s="242"/>
      <c r="K435" s="242"/>
      <c r="L435" s="9" t="s">
        <v>669</v>
      </c>
      <c r="M435" s="55" t="e">
        <f>VLOOKUP(L435,Casilleros!$A$4:$Q$830,17,FALSE)</f>
        <v>#REF!</v>
      </c>
      <c r="N435" s="9" t="s">
        <v>670</v>
      </c>
      <c r="O435" s="55" t="e">
        <f>VLOOKUP(N435,Casilleros!$A$4:$Q$830,17,FALSE)</f>
        <v>#REF!</v>
      </c>
      <c r="S435" s="61" t="str">
        <f t="shared" si="75"/>
        <v>6069</v>
      </c>
      <c r="T435" s="64" t="str">
        <f t="shared" si="81"/>
        <v>ESTADO DEL RESULTADO INTEGRAL</v>
      </c>
      <c r="U435" s="64" t="str">
        <f t="shared" si="73"/>
        <v>INGRESOS</v>
      </c>
      <c r="V435" s="64" t="str">
        <f t="shared" si="78"/>
        <v>OTROS INGRESOS</v>
      </c>
      <c r="W435" s="64" t="str">
        <f t="shared" si="79"/>
        <v>GANANCIAS NETAS POR REVERSIONES DE PROVISIONES</v>
      </c>
      <c r="X435" s="64" t="str">
        <f t="shared" si="82"/>
        <v>Por reembolsos a clientes</v>
      </c>
      <c r="Y435" s="64" t="str">
        <f t="shared" si="83"/>
        <v/>
      </c>
      <c r="Z435" s="64" t="str">
        <f t="shared" si="84"/>
        <v/>
      </c>
      <c r="AA435" s="64" t="str">
        <f t="shared" si="80"/>
        <v>GANANCIAS NETAS POR REVERSIONES DE PROVISIONES_Por reembolsos a clientes__</v>
      </c>
      <c r="AC435" s="76" t="s">
        <v>670</v>
      </c>
      <c r="AD435" s="76" t="s">
        <v>561</v>
      </c>
      <c r="AE435" s="76" t="s">
        <v>562</v>
      </c>
      <c r="AF435" s="76" t="s">
        <v>10</v>
      </c>
      <c r="AG435" s="76" t="s">
        <v>659</v>
      </c>
      <c r="AH435" s="76" t="s">
        <v>419</v>
      </c>
      <c r="AI435" s="76" t="s">
        <v>444</v>
      </c>
      <c r="AJ435" s="76" t="s">
        <v>444</v>
      </c>
      <c r="AK435" s="76" t="s">
        <v>1510</v>
      </c>
      <c r="AL435" s="76" t="str">
        <f t="shared" si="77"/>
        <v>IE/No Objeto_GANANCIAS NETAS POR REVERSIONES DE PROVISIONES_Por reembolsos a clientes__</v>
      </c>
    </row>
    <row r="436" spans="1:38">
      <c r="A436" s="53"/>
      <c r="B436" s="53"/>
      <c r="C436" s="53"/>
      <c r="D436" s="53"/>
      <c r="E436" s="242" t="s">
        <v>421</v>
      </c>
      <c r="F436" s="242"/>
      <c r="G436" s="242"/>
      <c r="H436" s="242"/>
      <c r="I436" s="242"/>
      <c r="J436" s="242"/>
      <c r="K436" s="242"/>
      <c r="L436" s="9" t="s">
        <v>671</v>
      </c>
      <c r="M436" s="55" t="e">
        <f>VLOOKUP(L436,Casilleros!$A$4:$Q$830,17,FALSE)</f>
        <v>#REF!</v>
      </c>
      <c r="N436" s="9" t="s">
        <v>672</v>
      </c>
      <c r="O436" s="55" t="e">
        <f>VLOOKUP(N436,Casilleros!$A$4:$Q$830,17,FALSE)</f>
        <v>#REF!</v>
      </c>
      <c r="S436" s="61" t="str">
        <f t="shared" si="75"/>
        <v>6071</v>
      </c>
      <c r="T436" s="64" t="str">
        <f t="shared" si="81"/>
        <v>ESTADO DEL RESULTADO INTEGRAL</v>
      </c>
      <c r="U436" s="64" t="str">
        <f t="shared" si="73"/>
        <v>INGRESOS</v>
      </c>
      <c r="V436" s="64" t="str">
        <f t="shared" si="78"/>
        <v>OTROS INGRESOS</v>
      </c>
      <c r="W436" s="64" t="str">
        <f t="shared" si="79"/>
        <v>GANANCIAS NETAS POR REVERSIONES DE PROVISIONES</v>
      </c>
      <c r="X436" s="64" t="str">
        <f t="shared" si="82"/>
        <v>Por litigios</v>
      </c>
      <c r="Y436" s="64" t="str">
        <f t="shared" si="83"/>
        <v/>
      </c>
      <c r="Z436" s="64" t="str">
        <f t="shared" si="84"/>
        <v/>
      </c>
      <c r="AA436" s="64" t="str">
        <f t="shared" si="80"/>
        <v>GANANCIAS NETAS POR REVERSIONES DE PROVISIONES_Por litigios__</v>
      </c>
      <c r="AC436" s="76" t="s">
        <v>672</v>
      </c>
      <c r="AD436" s="76" t="s">
        <v>561</v>
      </c>
      <c r="AE436" s="76" t="s">
        <v>562</v>
      </c>
      <c r="AF436" s="76" t="s">
        <v>10</v>
      </c>
      <c r="AG436" s="76" t="s">
        <v>659</v>
      </c>
      <c r="AH436" s="76" t="s">
        <v>421</v>
      </c>
      <c r="AI436" s="76" t="s">
        <v>444</v>
      </c>
      <c r="AJ436" s="76" t="s">
        <v>444</v>
      </c>
      <c r="AK436" s="76" t="s">
        <v>1511</v>
      </c>
      <c r="AL436" s="76" t="str">
        <f t="shared" si="77"/>
        <v>IE/No Objeto_GANANCIAS NETAS POR REVERSIONES DE PROVISIONES_Por litigios__</v>
      </c>
    </row>
    <row r="437" spans="1:38">
      <c r="A437" s="53"/>
      <c r="B437" s="53"/>
      <c r="C437" s="53"/>
      <c r="D437" s="53"/>
      <c r="E437" s="242" t="s">
        <v>423</v>
      </c>
      <c r="F437" s="242"/>
      <c r="G437" s="242"/>
      <c r="H437" s="242"/>
      <c r="I437" s="242"/>
      <c r="J437" s="242"/>
      <c r="K437" s="242"/>
      <c r="L437" s="9" t="s">
        <v>673</v>
      </c>
      <c r="M437" s="55" t="e">
        <f>VLOOKUP(L437,Casilleros!$A$4:$Q$830,17,FALSE)</f>
        <v>#REF!</v>
      </c>
      <c r="N437" s="9" t="s">
        <v>674</v>
      </c>
      <c r="O437" s="55" t="e">
        <f>VLOOKUP(N437,Casilleros!$A$4:$Q$830,17,FALSE)</f>
        <v>#REF!</v>
      </c>
      <c r="S437" s="61" t="str">
        <f t="shared" si="75"/>
        <v>6073</v>
      </c>
      <c r="T437" s="64" t="str">
        <f t="shared" si="81"/>
        <v>ESTADO DEL RESULTADO INTEGRAL</v>
      </c>
      <c r="U437" s="64" t="str">
        <f t="shared" si="73"/>
        <v>INGRESOS</v>
      </c>
      <c r="V437" s="64" t="str">
        <f t="shared" si="78"/>
        <v>OTROS INGRESOS</v>
      </c>
      <c r="W437" s="64" t="str">
        <f t="shared" si="79"/>
        <v>GANANCIAS NETAS POR REVERSIONES DE PROVISIONES</v>
      </c>
      <c r="X437" s="64" t="str">
        <f t="shared" si="82"/>
        <v>Por pasivos contingentes asumidos en una combinación de negocios</v>
      </c>
      <c r="Y437" s="64" t="str">
        <f t="shared" si="83"/>
        <v/>
      </c>
      <c r="Z437" s="64" t="str">
        <f t="shared" si="84"/>
        <v/>
      </c>
      <c r="AA437" s="64" t="str">
        <f t="shared" si="80"/>
        <v>GANANCIAS NETAS POR REVERSIONES DE PROVISIONES_Por pasivos contingentes asumidos en una combinación de negocios__</v>
      </c>
      <c r="AC437" s="76" t="s">
        <v>674</v>
      </c>
      <c r="AD437" s="76" t="s">
        <v>561</v>
      </c>
      <c r="AE437" s="76" t="s">
        <v>562</v>
      </c>
      <c r="AF437" s="76" t="s">
        <v>10</v>
      </c>
      <c r="AG437" s="76" t="s">
        <v>659</v>
      </c>
      <c r="AH437" s="76" t="s">
        <v>423</v>
      </c>
      <c r="AI437" s="76" t="s">
        <v>444</v>
      </c>
      <c r="AJ437" s="76" t="s">
        <v>444</v>
      </c>
      <c r="AK437" s="76" t="s">
        <v>1512</v>
      </c>
      <c r="AL437" s="76" t="str">
        <f t="shared" si="77"/>
        <v>IE/No Objeto_GANANCIAS NETAS POR REVERSIONES DE PROVISIONES_Por pasivos contingentes asumidos en una combinación de negocios__</v>
      </c>
    </row>
    <row r="438" spans="1:38">
      <c r="A438" s="53"/>
      <c r="B438" s="53"/>
      <c r="C438" s="53"/>
      <c r="D438" s="53"/>
      <c r="E438" s="242" t="s">
        <v>425</v>
      </c>
      <c r="F438" s="242"/>
      <c r="G438" s="242"/>
      <c r="H438" s="242"/>
      <c r="I438" s="242"/>
      <c r="J438" s="242"/>
      <c r="K438" s="242"/>
      <c r="L438" s="9" t="s">
        <v>675</v>
      </c>
      <c r="M438" s="55" t="e">
        <f>VLOOKUP(L438,Casilleros!$A$4:$Q$830,17,FALSE)</f>
        <v>#REF!</v>
      </c>
      <c r="N438" s="9" t="s">
        <v>676</v>
      </c>
      <c r="O438" s="55" t="e">
        <f>VLOOKUP(N438,Casilleros!$A$4:$Q$830,17,FALSE)</f>
        <v>#REF!</v>
      </c>
      <c r="S438" s="61" t="str">
        <f t="shared" si="75"/>
        <v>6075</v>
      </c>
      <c r="T438" s="64" t="str">
        <f t="shared" si="81"/>
        <v>ESTADO DEL RESULTADO INTEGRAL</v>
      </c>
      <c r="U438" s="64" t="str">
        <f t="shared" si="73"/>
        <v>INGRESOS</v>
      </c>
      <c r="V438" s="64" t="str">
        <f t="shared" si="78"/>
        <v>OTROS INGRESOS</v>
      </c>
      <c r="W438" s="64" t="str">
        <f t="shared" si="79"/>
        <v>GANANCIAS NETAS POR REVERSIONES DE PROVISIONES</v>
      </c>
      <c r="X438" s="64" t="str">
        <f t="shared" si="82"/>
        <v>Otras</v>
      </c>
      <c r="Y438" s="64" t="str">
        <f t="shared" si="83"/>
        <v/>
      </c>
      <c r="Z438" s="64" t="str">
        <f t="shared" si="84"/>
        <v/>
      </c>
      <c r="AA438" s="64" t="str">
        <f t="shared" si="80"/>
        <v>GANANCIAS NETAS POR REVERSIONES DE PROVISIONES_Otras__</v>
      </c>
      <c r="AC438" s="76" t="s">
        <v>676</v>
      </c>
      <c r="AD438" s="76" t="s">
        <v>561</v>
      </c>
      <c r="AE438" s="76" t="s">
        <v>562</v>
      </c>
      <c r="AF438" s="76" t="s">
        <v>10</v>
      </c>
      <c r="AG438" s="76" t="s">
        <v>659</v>
      </c>
      <c r="AH438" s="76" t="s">
        <v>425</v>
      </c>
      <c r="AI438" s="76" t="s">
        <v>444</v>
      </c>
      <c r="AJ438" s="76" t="s">
        <v>444</v>
      </c>
      <c r="AK438" s="76" t="s">
        <v>1513</v>
      </c>
      <c r="AL438" s="76" t="str">
        <f t="shared" si="77"/>
        <v>IE/No Objeto_GANANCIAS NETAS POR REVERSIONES DE PROVISIONES_Otras__</v>
      </c>
    </row>
    <row r="439" spans="1:38">
      <c r="A439" s="53"/>
      <c r="B439" s="53"/>
      <c r="C439" s="53"/>
      <c r="D439" s="239" t="s">
        <v>677</v>
      </c>
      <c r="E439" s="239"/>
      <c r="F439" s="239"/>
      <c r="G439" s="239"/>
      <c r="H439" s="239"/>
      <c r="I439" s="239"/>
      <c r="J439" s="239"/>
      <c r="K439" s="239"/>
      <c r="L439" s="246" t="s">
        <v>565</v>
      </c>
      <c r="M439" s="246"/>
      <c r="N439" s="246" t="s">
        <v>566</v>
      </c>
      <c r="O439" s="246"/>
      <c r="S439" s="61" t="str">
        <f t="shared" si="75"/>
        <v>Total ingresos</v>
      </c>
      <c r="T439" s="64" t="str">
        <f t="shared" si="81"/>
        <v>ESTADO DEL RESULTADO INTEGRAL</v>
      </c>
      <c r="U439" s="64" t="str">
        <f t="shared" si="73"/>
        <v>INGRESOS</v>
      </c>
      <c r="V439" s="64" t="str">
        <f t="shared" si="78"/>
        <v>OTROS INGRESOS</v>
      </c>
      <c r="W439" s="64" t="str">
        <f t="shared" si="79"/>
        <v>GANANCIAS NETAS POR REVERSIONES DE PASIVOS POR BENEFICIOS A LOS EMPLEADOS</v>
      </c>
      <c r="X439" s="64" t="str">
        <f t="shared" si="82"/>
        <v/>
      </c>
      <c r="Y439" s="64" t="str">
        <f t="shared" si="83"/>
        <v/>
      </c>
      <c r="Z439" s="64" t="str">
        <f t="shared" si="84"/>
        <v/>
      </c>
      <c r="AA439" s="64" t="str">
        <f t="shared" si="80"/>
        <v>GANANCIAS NETAS POR REVERSIONES DE PASIVOS POR BENEFICIOS A LOS EMPLEADOS</v>
      </c>
      <c r="AC439" s="76" t="s">
        <v>565</v>
      </c>
      <c r="AD439" s="76" t="s">
        <v>561</v>
      </c>
      <c r="AE439" s="76" t="s">
        <v>562</v>
      </c>
      <c r="AF439" s="76" t="s">
        <v>10</v>
      </c>
      <c r="AG439" s="76" t="s">
        <v>677</v>
      </c>
      <c r="AH439" s="76" t="s">
        <v>444</v>
      </c>
      <c r="AI439" s="76" t="s">
        <v>444</v>
      </c>
      <c r="AJ439" s="76" t="s">
        <v>444</v>
      </c>
      <c r="AK439" s="76" t="s">
        <v>677</v>
      </c>
      <c r="AL439" s="76" t="str">
        <f t="shared" si="77"/>
        <v>IE/No Objeto_GANANCIAS NETAS POR REVERSIONES DE PASIVOS POR BENEFICIOS A LOS EMPLEADOS</v>
      </c>
    </row>
    <row r="440" spans="1:38">
      <c r="A440" s="53"/>
      <c r="B440" s="53"/>
      <c r="C440" s="53"/>
      <c r="D440" s="53"/>
      <c r="E440" s="242" t="s">
        <v>678</v>
      </c>
      <c r="F440" s="242"/>
      <c r="G440" s="242"/>
      <c r="H440" s="242"/>
      <c r="I440" s="242"/>
      <c r="J440" s="242"/>
      <c r="K440" s="242"/>
      <c r="L440" s="9" t="s">
        <v>679</v>
      </c>
      <c r="M440" s="74" t="e">
        <f>VLOOKUP(L440,Casilleros!$A$4:$Q$830,17,FALSE)</f>
        <v>#REF!</v>
      </c>
      <c r="N440" s="9" t="s">
        <v>680</v>
      </c>
      <c r="O440" s="74" t="e">
        <f>VLOOKUP(N440,Casilleros!$A$4:$Q$830,17,FALSE)</f>
        <v>#REF!</v>
      </c>
      <c r="S440" s="61" t="str">
        <f t="shared" si="75"/>
        <v>6077</v>
      </c>
      <c r="T440" s="64" t="str">
        <f t="shared" si="81"/>
        <v>ESTADO DEL RESULTADO INTEGRAL</v>
      </c>
      <c r="U440" s="64" t="str">
        <f t="shared" si="73"/>
        <v>INGRESOS</v>
      </c>
      <c r="V440" s="64" t="str">
        <f t="shared" si="78"/>
        <v>OTROS INGRESOS</v>
      </c>
      <c r="W440" s="64" t="str">
        <f t="shared" si="79"/>
        <v>GANANCIAS NETAS POR REVERSIONES DE PASIVOS POR BENEFICIOS A LOS EMPLEADOS</v>
      </c>
      <c r="X440" s="64" t="str">
        <f t="shared" si="82"/>
        <v>Jubilación patronal y desahucio</v>
      </c>
      <c r="Y440" s="64" t="str">
        <f t="shared" si="83"/>
        <v/>
      </c>
      <c r="Z440" s="64" t="str">
        <f t="shared" si="84"/>
        <v/>
      </c>
      <c r="AA440" s="64" t="str">
        <f t="shared" si="80"/>
        <v>GANANCIAS NETAS POR REVERSIONES DE PASIVOS POR BENEFICIOS A LOS EMPLEADOS_Jubilación patronal y desahucio__</v>
      </c>
      <c r="AC440" s="76" t="s">
        <v>680</v>
      </c>
      <c r="AD440" s="76" t="s">
        <v>561</v>
      </c>
      <c r="AE440" s="76" t="s">
        <v>562</v>
      </c>
      <c r="AF440" s="76" t="s">
        <v>10</v>
      </c>
      <c r="AG440" s="76" t="s">
        <v>677</v>
      </c>
      <c r="AH440" s="76" t="s">
        <v>678</v>
      </c>
      <c r="AI440" s="76" t="s">
        <v>444</v>
      </c>
      <c r="AJ440" s="76" t="s">
        <v>444</v>
      </c>
      <c r="AK440" s="76" t="s">
        <v>1514</v>
      </c>
      <c r="AL440" s="76" t="str">
        <f t="shared" si="77"/>
        <v>IE/No Objeto_GANANCIAS NETAS POR REVERSIONES DE PASIVOS POR BENEFICIOS A LOS EMPLEADOS_Jubilación patronal y desahucio__</v>
      </c>
    </row>
    <row r="441" spans="1:38">
      <c r="A441" s="53"/>
      <c r="B441" s="53"/>
      <c r="C441" s="53"/>
      <c r="D441" s="53"/>
      <c r="E441" s="242" t="s">
        <v>122</v>
      </c>
      <c r="F441" s="242"/>
      <c r="G441" s="242"/>
      <c r="H441" s="242"/>
      <c r="I441" s="242"/>
      <c r="J441" s="242"/>
      <c r="K441" s="242"/>
      <c r="L441" s="9" t="s">
        <v>681</v>
      </c>
      <c r="M441" s="74" t="e">
        <f>VLOOKUP(L441,Casilleros!$A$4:$Q$830,17,FALSE)</f>
        <v>#REF!</v>
      </c>
      <c r="N441" s="9" t="s">
        <v>682</v>
      </c>
      <c r="O441" s="55" t="e">
        <f>VLOOKUP(N441,Casilleros!$A$4:$Q$830,17,FALSE)</f>
        <v>#REF!</v>
      </c>
      <c r="S441" s="61" t="str">
        <f t="shared" si="75"/>
        <v>6079</v>
      </c>
      <c r="T441" s="64" t="str">
        <f t="shared" si="81"/>
        <v>ESTADO DEL RESULTADO INTEGRAL</v>
      </c>
      <c r="U441" s="64" t="str">
        <f t="shared" si="73"/>
        <v>INGRESOS</v>
      </c>
      <c r="V441" s="64" t="str">
        <f t="shared" si="78"/>
        <v>OTROS INGRESOS</v>
      </c>
      <c r="W441" s="64" t="str">
        <f t="shared" si="79"/>
        <v>GANANCIAS NETAS POR REVERSIONES DE PASIVOS POR BENEFICIOS A LOS EMPLEADOS</v>
      </c>
      <c r="X441" s="64" t="str">
        <f t="shared" si="82"/>
        <v>Otros</v>
      </c>
      <c r="Y441" s="64" t="str">
        <f t="shared" si="83"/>
        <v/>
      </c>
      <c r="Z441" s="64" t="str">
        <f t="shared" si="84"/>
        <v/>
      </c>
      <c r="AA441" s="64" t="str">
        <f t="shared" si="80"/>
        <v>GANANCIAS NETAS POR REVERSIONES DE PASIVOS POR BENEFICIOS A LOS EMPLEADOS_Otros__</v>
      </c>
      <c r="AC441" s="76" t="s">
        <v>682</v>
      </c>
      <c r="AD441" s="76" t="s">
        <v>561</v>
      </c>
      <c r="AE441" s="76" t="s">
        <v>562</v>
      </c>
      <c r="AF441" s="76" t="s">
        <v>10</v>
      </c>
      <c r="AG441" s="76" t="s">
        <v>677</v>
      </c>
      <c r="AH441" s="76" t="s">
        <v>122</v>
      </c>
      <c r="AI441" s="76" t="s">
        <v>444</v>
      </c>
      <c r="AJ441" s="76" t="s">
        <v>444</v>
      </c>
      <c r="AK441" s="76" t="s">
        <v>1515</v>
      </c>
      <c r="AL441" s="76" t="str">
        <f t="shared" si="77"/>
        <v>IE/No Objeto_GANANCIAS NETAS POR REVERSIONES DE PASIVOS POR BENEFICIOS A LOS EMPLEADOS_Otros__</v>
      </c>
    </row>
    <row r="442" spans="1:38">
      <c r="A442" s="53"/>
      <c r="B442" s="53"/>
      <c r="C442" s="53"/>
      <c r="D442" s="239" t="s">
        <v>683</v>
      </c>
      <c r="E442" s="239"/>
      <c r="F442" s="239"/>
      <c r="G442" s="239"/>
      <c r="H442" s="239"/>
      <c r="I442" s="239"/>
      <c r="J442" s="239"/>
      <c r="K442" s="239"/>
      <c r="L442" s="246" t="s">
        <v>565</v>
      </c>
      <c r="M442" s="246"/>
      <c r="N442" s="246" t="s">
        <v>566</v>
      </c>
      <c r="O442" s="246"/>
      <c r="S442" s="61" t="str">
        <f t="shared" si="75"/>
        <v>Total ingresos</v>
      </c>
      <c r="T442" s="64" t="str">
        <f t="shared" si="81"/>
        <v>ESTADO DEL RESULTADO INTEGRAL</v>
      </c>
      <c r="U442" s="64" t="str">
        <f t="shared" si="73"/>
        <v>INGRESOS</v>
      </c>
      <c r="V442" s="64" t="str">
        <f t="shared" si="78"/>
        <v>OTROS INGRESOS</v>
      </c>
      <c r="W442" s="64" t="str">
        <f t="shared" si="79"/>
        <v>RENTAS NETAS PROVENIENTES DE DONACIONES Y APORTACIONES (PARA USO DE INSTITUCIONES DE CARÁCTER PRIVADOS SIN FINES DE LUCRO)</v>
      </c>
      <c r="X442" s="64" t="str">
        <f t="shared" si="82"/>
        <v/>
      </c>
      <c r="Y442" s="64" t="str">
        <f t="shared" si="83"/>
        <v/>
      </c>
      <c r="Z442" s="64" t="str">
        <f t="shared" si="84"/>
        <v/>
      </c>
      <c r="AA442" s="64" t="str">
        <f t="shared" si="80"/>
        <v>RENTAS NETAS PROVENIENTES DE DONACIONES Y APORTACIONES (PARA USO DE INSTITUCIONES DE CARÁCTER PRIVADOS SIN FINES DE LUCRO)</v>
      </c>
      <c r="AC442" s="76" t="s">
        <v>565</v>
      </c>
      <c r="AD442" s="76" t="s">
        <v>561</v>
      </c>
      <c r="AE442" s="76" t="s">
        <v>562</v>
      </c>
      <c r="AF442" s="76" t="s">
        <v>10</v>
      </c>
      <c r="AG442" s="76" t="s">
        <v>683</v>
      </c>
      <c r="AH442" s="76" t="s">
        <v>444</v>
      </c>
      <c r="AI442" s="76" t="s">
        <v>444</v>
      </c>
      <c r="AJ442" s="76" t="s">
        <v>444</v>
      </c>
      <c r="AK442" s="76" t="s">
        <v>683</v>
      </c>
      <c r="AL442" s="76" t="str">
        <f t="shared" si="77"/>
        <v>IE/No Objeto_RENTAS NETAS PROVENIENTES DE DONACIONES Y APORTACIONES (PARA USO DE INSTITUCIONES DE CARÁCTER PRIVADOS SIN FINES DE LUCRO)</v>
      </c>
    </row>
    <row r="443" spans="1:38">
      <c r="A443" s="53"/>
      <c r="B443" s="53"/>
      <c r="C443" s="53"/>
      <c r="D443" s="53"/>
      <c r="E443" s="242" t="s">
        <v>684</v>
      </c>
      <c r="F443" s="242"/>
      <c r="G443" s="242"/>
      <c r="H443" s="242"/>
      <c r="I443" s="242"/>
      <c r="J443" s="242"/>
      <c r="K443" s="242"/>
      <c r="L443" s="9" t="s">
        <v>685</v>
      </c>
      <c r="M443" s="55" t="e">
        <f>VLOOKUP(L443,Casilleros!$A$4:$Q$830,17,FALSE)</f>
        <v>#REF!</v>
      </c>
      <c r="N443" s="9" t="s">
        <v>686</v>
      </c>
      <c r="O443" s="55" t="e">
        <f>VLOOKUP(N443,Casilleros!$A$4:$Q$830,17,FALSE)</f>
        <v>#REF!</v>
      </c>
      <c r="S443" s="61" t="str">
        <f t="shared" si="75"/>
        <v>6081</v>
      </c>
      <c r="T443" s="64" t="str">
        <f t="shared" si="81"/>
        <v>ESTADO DEL RESULTADO INTEGRAL</v>
      </c>
      <c r="U443" s="64" t="str">
        <f t="shared" si="73"/>
        <v>INGRESOS</v>
      </c>
      <c r="V443" s="64" t="str">
        <f t="shared" si="78"/>
        <v>OTROS INGRESOS</v>
      </c>
      <c r="W443" s="64" t="str">
        <f t="shared" si="79"/>
        <v>RENTAS NETAS PROVENIENTES DE DONACIONES Y APORTACIONES (PARA USO DE INSTITUCIONES DE CARÁCTER PRIVADOS SIN FINES DE LUCRO)</v>
      </c>
      <c r="X443" s="64" t="str">
        <f t="shared" si="82"/>
        <v>De recursos públicos</v>
      </c>
      <c r="Y443" s="64" t="str">
        <f t="shared" si="83"/>
        <v/>
      </c>
      <c r="Z443" s="64" t="str">
        <f t="shared" si="84"/>
        <v/>
      </c>
      <c r="AA443" s="64" t="str">
        <f t="shared" si="80"/>
        <v>RENTAS NETAS PROVENIENTES DE DONACIONES Y APORTACIONES (PARA USO DE INSTITUCIONES DE CARÁCTER PRIVADOS SIN FINES DE LUCRO)_De recursos públicos__</v>
      </c>
      <c r="AC443" s="76" t="s">
        <v>686</v>
      </c>
      <c r="AD443" s="76" t="s">
        <v>561</v>
      </c>
      <c r="AE443" s="76" t="s">
        <v>562</v>
      </c>
      <c r="AF443" s="76" t="s">
        <v>10</v>
      </c>
      <c r="AG443" s="76" t="s">
        <v>683</v>
      </c>
      <c r="AH443" s="76" t="s">
        <v>684</v>
      </c>
      <c r="AI443" s="76" t="s">
        <v>444</v>
      </c>
      <c r="AJ443" s="76" t="s">
        <v>444</v>
      </c>
      <c r="AK443" s="76" t="s">
        <v>1516</v>
      </c>
      <c r="AL443" s="76" t="str">
        <f t="shared" si="77"/>
        <v>IE/No Objeto_RENTAS NETAS PROVENIENTES DE DONACIONES Y APORTACIONES (PARA USO DE INSTITUCIONES DE CARÁCTER PRIVADOS SIN FINES DE LUCRO)_De recursos públicos__</v>
      </c>
    </row>
    <row r="444" spans="1:38">
      <c r="A444" s="53"/>
      <c r="B444" s="53"/>
      <c r="C444" s="53"/>
      <c r="D444" s="53"/>
      <c r="E444" s="242" t="s">
        <v>687</v>
      </c>
      <c r="F444" s="242"/>
      <c r="G444" s="242"/>
      <c r="H444" s="242"/>
      <c r="I444" s="242"/>
      <c r="J444" s="242"/>
      <c r="K444" s="242"/>
      <c r="L444" s="9" t="s">
        <v>688</v>
      </c>
      <c r="M444" s="55" t="e">
        <f>VLOOKUP(L444,Casilleros!$A$4:$Q$830,17,FALSE)</f>
        <v>#REF!</v>
      </c>
      <c r="N444" s="9" t="s">
        <v>689</v>
      </c>
      <c r="O444" s="55" t="e">
        <f>VLOOKUP(N444,Casilleros!$A$4:$Q$830,17,FALSE)</f>
        <v>#REF!</v>
      </c>
      <c r="S444" s="61" t="str">
        <f t="shared" si="75"/>
        <v>6083</v>
      </c>
      <c r="T444" s="64" t="str">
        <f t="shared" si="81"/>
        <v>ESTADO DEL RESULTADO INTEGRAL</v>
      </c>
      <c r="U444" s="64" t="str">
        <f t="shared" si="73"/>
        <v>INGRESOS</v>
      </c>
      <c r="V444" s="64" t="str">
        <f t="shared" si="78"/>
        <v>OTROS INGRESOS</v>
      </c>
      <c r="W444" s="64" t="str">
        <f t="shared" si="79"/>
        <v>RENTAS NETAS PROVENIENTES DE DONACIONES Y APORTACIONES (PARA USO DE INSTITUCIONES DE CARÁCTER PRIVADOS SIN FINES DE LUCRO)</v>
      </c>
      <c r="X444" s="64" t="str">
        <f t="shared" si="82"/>
        <v>De otras locales</v>
      </c>
      <c r="Y444" s="64" t="str">
        <f t="shared" si="83"/>
        <v/>
      </c>
      <c r="Z444" s="64" t="str">
        <f t="shared" si="84"/>
        <v/>
      </c>
      <c r="AA444" s="64" t="str">
        <f t="shared" si="80"/>
        <v>RENTAS NETAS PROVENIENTES DE DONACIONES Y APORTACIONES (PARA USO DE INSTITUCIONES DE CARÁCTER PRIVADOS SIN FINES DE LUCRO)_De otras locales__</v>
      </c>
      <c r="AC444" s="76" t="s">
        <v>689</v>
      </c>
      <c r="AD444" s="76" t="s">
        <v>561</v>
      </c>
      <c r="AE444" s="76" t="s">
        <v>562</v>
      </c>
      <c r="AF444" s="76" t="s">
        <v>10</v>
      </c>
      <c r="AG444" s="76" t="s">
        <v>683</v>
      </c>
      <c r="AH444" s="76" t="s">
        <v>687</v>
      </c>
      <c r="AI444" s="76" t="s">
        <v>444</v>
      </c>
      <c r="AJ444" s="76" t="s">
        <v>444</v>
      </c>
      <c r="AK444" s="76" t="s">
        <v>1517</v>
      </c>
      <c r="AL444" s="76" t="str">
        <f t="shared" si="77"/>
        <v>IE/No Objeto_RENTAS NETAS PROVENIENTES DE DONACIONES Y APORTACIONES (PARA USO DE INSTITUCIONES DE CARÁCTER PRIVADOS SIN FINES DE LUCRO)_De otras locales__</v>
      </c>
    </row>
    <row r="445" spans="1:38">
      <c r="A445" s="53"/>
      <c r="B445" s="53"/>
      <c r="C445" s="53"/>
      <c r="D445" s="53"/>
      <c r="E445" s="242" t="s">
        <v>26</v>
      </c>
      <c r="F445" s="242"/>
      <c r="G445" s="242"/>
      <c r="H445" s="242"/>
      <c r="I445" s="242"/>
      <c r="J445" s="242"/>
      <c r="K445" s="242"/>
      <c r="L445" s="9" t="s">
        <v>690</v>
      </c>
      <c r="M445" s="55" t="e">
        <f>VLOOKUP(L445,Casilleros!$A$4:$Q$830,17,FALSE)</f>
        <v>#REF!</v>
      </c>
      <c r="N445" s="9" t="s">
        <v>691</v>
      </c>
      <c r="O445" s="55" t="e">
        <f>VLOOKUP(N445,Casilleros!$A$4:$Q$830,17,FALSE)</f>
        <v>#REF!</v>
      </c>
      <c r="S445" s="61" t="str">
        <f t="shared" si="75"/>
        <v>6085</v>
      </c>
      <c r="T445" s="64" t="str">
        <f t="shared" si="81"/>
        <v>ESTADO DEL RESULTADO INTEGRAL</v>
      </c>
      <c r="U445" s="64" t="str">
        <f t="shared" si="73"/>
        <v>INGRESOS</v>
      </c>
      <c r="V445" s="64" t="str">
        <f t="shared" si="78"/>
        <v>OTROS INGRESOS</v>
      </c>
      <c r="W445" s="64" t="str">
        <f t="shared" si="79"/>
        <v>RENTAS NETAS PROVENIENTES DE DONACIONES Y APORTACIONES (PARA USO DE INSTITUCIONES DE CARÁCTER PRIVADOS SIN FINES DE LUCRO)</v>
      </c>
      <c r="X445" s="64" t="str">
        <f t="shared" si="82"/>
        <v>Del exterior</v>
      </c>
      <c r="Y445" s="64" t="str">
        <f t="shared" si="83"/>
        <v/>
      </c>
      <c r="Z445" s="64" t="str">
        <f t="shared" si="84"/>
        <v/>
      </c>
      <c r="AA445" s="64" t="str">
        <f t="shared" si="80"/>
        <v>RENTAS NETAS PROVENIENTES DE DONACIONES Y APORTACIONES (PARA USO DE INSTITUCIONES DE CARÁCTER PRIVADOS SIN FINES DE LUCRO)_Del exterior__</v>
      </c>
      <c r="AC445" s="76" t="s">
        <v>691</v>
      </c>
      <c r="AD445" s="76" t="s">
        <v>561</v>
      </c>
      <c r="AE445" s="76" t="s">
        <v>562</v>
      </c>
      <c r="AF445" s="76" t="s">
        <v>10</v>
      </c>
      <c r="AG445" s="76" t="s">
        <v>683</v>
      </c>
      <c r="AH445" s="76" t="s">
        <v>26</v>
      </c>
      <c r="AI445" s="76" t="s">
        <v>444</v>
      </c>
      <c r="AJ445" s="76" t="s">
        <v>444</v>
      </c>
      <c r="AK445" s="76" t="s">
        <v>1518</v>
      </c>
      <c r="AL445" s="76" t="str">
        <f t="shared" si="77"/>
        <v>IE/No Objeto_RENTAS NETAS PROVENIENTES DE DONACIONES Y APORTACIONES (PARA USO DE INSTITUCIONES DE CARÁCTER PRIVADOS SIN FINES DE LUCRO)_Del exterior__</v>
      </c>
    </row>
    <row r="446" spans="1:38">
      <c r="A446" s="53"/>
      <c r="B446" s="53"/>
      <c r="C446" s="53"/>
      <c r="D446" s="239" t="s">
        <v>692</v>
      </c>
      <c r="E446" s="239"/>
      <c r="F446" s="239"/>
      <c r="G446" s="239"/>
      <c r="H446" s="239"/>
      <c r="I446" s="239"/>
      <c r="J446" s="239"/>
      <c r="K446" s="239"/>
      <c r="L446" s="246" t="s">
        <v>565</v>
      </c>
      <c r="M446" s="246"/>
      <c r="N446" s="246" t="s">
        <v>566</v>
      </c>
      <c r="O446" s="246"/>
      <c r="S446" s="61" t="str">
        <f t="shared" si="75"/>
        <v>Total ingresos</v>
      </c>
      <c r="T446" s="64" t="str">
        <f t="shared" si="81"/>
        <v>ESTADO DEL RESULTADO INTEGRAL</v>
      </c>
      <c r="U446" s="64" t="str">
        <f t="shared" si="73"/>
        <v>INGRESOS</v>
      </c>
      <c r="V446" s="64" t="str">
        <f t="shared" si="78"/>
        <v>OTROS INGRESOS</v>
      </c>
      <c r="W446" s="64" t="str">
        <f t="shared" si="79"/>
        <v>POR REEMBOLSOS DE SEGUROS</v>
      </c>
      <c r="X446" s="64" t="str">
        <f t="shared" si="82"/>
        <v/>
      </c>
      <c r="Y446" s="64" t="str">
        <f t="shared" si="83"/>
        <v/>
      </c>
      <c r="Z446" s="64" t="str">
        <f t="shared" si="84"/>
        <v/>
      </c>
      <c r="AA446" s="64" t="str">
        <f t="shared" si="80"/>
        <v>POR REEMBOLSOS DE SEGUROS</v>
      </c>
      <c r="AC446" s="76" t="s">
        <v>565</v>
      </c>
      <c r="AD446" s="76" t="s">
        <v>561</v>
      </c>
      <c r="AE446" s="76" t="s">
        <v>562</v>
      </c>
      <c r="AF446" s="76" t="s">
        <v>10</v>
      </c>
      <c r="AG446" s="76" t="s">
        <v>692</v>
      </c>
      <c r="AH446" s="76" t="s">
        <v>444</v>
      </c>
      <c r="AI446" s="76" t="s">
        <v>444</v>
      </c>
      <c r="AJ446" s="76" t="s">
        <v>444</v>
      </c>
      <c r="AK446" s="76" t="s">
        <v>692</v>
      </c>
      <c r="AL446" s="76" t="str">
        <f t="shared" si="77"/>
        <v>IE/No Objeto_POR REEMBOLSOS DE SEGUROS</v>
      </c>
    </row>
    <row r="447" spans="1:38">
      <c r="A447" s="53"/>
      <c r="B447" s="53"/>
      <c r="C447" s="53"/>
      <c r="D447" s="53"/>
      <c r="E447" s="242" t="s">
        <v>693</v>
      </c>
      <c r="F447" s="242"/>
      <c r="G447" s="242"/>
      <c r="H447" s="242"/>
      <c r="I447" s="242"/>
      <c r="J447" s="242"/>
      <c r="K447" s="242"/>
      <c r="L447" s="9" t="s">
        <v>694</v>
      </c>
      <c r="M447" s="55" t="e">
        <f>VLOOKUP(L447,Casilleros!$A$4:$Q$830,17,FALSE)</f>
        <v>#REF!</v>
      </c>
      <c r="N447" s="9" t="s">
        <v>695</v>
      </c>
      <c r="O447" s="55" t="e">
        <f>VLOOKUP(N447,Casilleros!$A$4:$Q$830,17,FALSE)</f>
        <v>#REF!</v>
      </c>
      <c r="S447" s="61" t="str">
        <f t="shared" si="75"/>
        <v>6087</v>
      </c>
      <c r="T447" s="64" t="str">
        <f t="shared" si="81"/>
        <v>ESTADO DEL RESULTADO INTEGRAL</v>
      </c>
      <c r="U447" s="64" t="str">
        <f t="shared" si="73"/>
        <v>INGRESOS</v>
      </c>
      <c r="V447" s="64" t="str">
        <f t="shared" si="78"/>
        <v>OTROS INGRESOS</v>
      </c>
      <c r="W447" s="64" t="str">
        <f t="shared" si="79"/>
        <v>POR REEMBOLSOS DE SEGUROS</v>
      </c>
      <c r="X447" s="64" t="str">
        <f t="shared" si="82"/>
        <v>Por lucro cesante</v>
      </c>
      <c r="Y447" s="64" t="str">
        <f t="shared" si="83"/>
        <v/>
      </c>
      <c r="Z447" s="64" t="str">
        <f t="shared" si="84"/>
        <v/>
      </c>
      <c r="AA447" s="64" t="str">
        <f t="shared" si="80"/>
        <v>POR REEMBOLSOS DE SEGUROS_Por lucro cesante__</v>
      </c>
      <c r="AC447" s="76" t="s">
        <v>695</v>
      </c>
      <c r="AD447" s="76" t="s">
        <v>561</v>
      </c>
      <c r="AE447" s="76" t="s">
        <v>562</v>
      </c>
      <c r="AF447" s="76" t="s">
        <v>10</v>
      </c>
      <c r="AG447" s="76" t="s">
        <v>692</v>
      </c>
      <c r="AH447" s="76" t="s">
        <v>693</v>
      </c>
      <c r="AI447" s="76" t="s">
        <v>444</v>
      </c>
      <c r="AJ447" s="76" t="s">
        <v>444</v>
      </c>
      <c r="AK447" s="76" t="s">
        <v>1519</v>
      </c>
      <c r="AL447" s="76" t="str">
        <f t="shared" si="77"/>
        <v>IE/No Objeto_POR REEMBOLSOS DE SEGUROS_Por lucro cesante__</v>
      </c>
    </row>
    <row r="448" spans="1:38">
      <c r="A448" s="53"/>
      <c r="B448" s="53"/>
      <c r="C448" s="53"/>
      <c r="D448" s="53"/>
      <c r="E448" s="242" t="s">
        <v>122</v>
      </c>
      <c r="F448" s="242"/>
      <c r="G448" s="242"/>
      <c r="H448" s="242"/>
      <c r="I448" s="242"/>
      <c r="J448" s="242"/>
      <c r="K448" s="242"/>
      <c r="L448" s="9" t="s">
        <v>696</v>
      </c>
      <c r="M448" s="55" t="e">
        <f>VLOOKUP(L448,Casilleros!$A$4:$Q$830,17,FALSE)</f>
        <v>#REF!</v>
      </c>
      <c r="N448" s="9" t="s">
        <v>697</v>
      </c>
      <c r="O448" s="55" t="e">
        <f>VLOOKUP(N448,Casilleros!$A$4:$Q$830,17,FALSE)</f>
        <v>#REF!</v>
      </c>
      <c r="S448" s="61" t="str">
        <f t="shared" si="75"/>
        <v>6089</v>
      </c>
      <c r="T448" s="64" t="str">
        <f t="shared" si="81"/>
        <v>ESTADO DEL RESULTADO INTEGRAL</v>
      </c>
      <c r="U448" s="64" t="str">
        <f t="shared" si="73"/>
        <v>INGRESOS</v>
      </c>
      <c r="V448" s="64" t="str">
        <f t="shared" si="78"/>
        <v>OTROS INGRESOS</v>
      </c>
      <c r="W448" s="64" t="str">
        <f t="shared" si="79"/>
        <v>POR REEMBOLSOS DE SEGUROS</v>
      </c>
      <c r="X448" s="64" t="str">
        <f t="shared" si="82"/>
        <v>Otros</v>
      </c>
      <c r="Y448" s="64" t="str">
        <f t="shared" si="83"/>
        <v/>
      </c>
      <c r="Z448" s="64" t="str">
        <f t="shared" si="84"/>
        <v/>
      </c>
      <c r="AA448" s="64" t="str">
        <f t="shared" si="80"/>
        <v>POR REEMBOLSOS DE SEGUROS_Otros__</v>
      </c>
      <c r="AC448" s="76" t="s">
        <v>697</v>
      </c>
      <c r="AD448" s="76" t="s">
        <v>561</v>
      </c>
      <c r="AE448" s="76" t="s">
        <v>562</v>
      </c>
      <c r="AF448" s="76" t="s">
        <v>10</v>
      </c>
      <c r="AG448" s="76" t="s">
        <v>692</v>
      </c>
      <c r="AH448" s="76" t="s">
        <v>122</v>
      </c>
      <c r="AI448" s="76" t="s">
        <v>444</v>
      </c>
      <c r="AJ448" s="76" t="s">
        <v>444</v>
      </c>
      <c r="AK448" s="76" t="s">
        <v>1520</v>
      </c>
      <c r="AL448" s="76" t="str">
        <f t="shared" si="77"/>
        <v>IE/No Objeto_POR REEMBOLSOS DE SEGUROS_Otros__</v>
      </c>
    </row>
    <row r="449" spans="1:38">
      <c r="A449" s="53"/>
      <c r="B449" s="53"/>
      <c r="C449" s="53"/>
      <c r="D449" s="242" t="s">
        <v>698</v>
      </c>
      <c r="E449" s="242"/>
      <c r="F449" s="242"/>
      <c r="G449" s="242"/>
      <c r="H449" s="242"/>
      <c r="I449" s="242"/>
      <c r="J449" s="242"/>
      <c r="K449" s="242"/>
      <c r="L449" s="9" t="s">
        <v>699</v>
      </c>
      <c r="M449" s="55" t="e">
        <f>VLOOKUP(L449,Casilleros!$A$4:$Q$830,17,FALSE)</f>
        <v>#REF!</v>
      </c>
      <c r="N449" s="9" t="s">
        <v>700</v>
      </c>
      <c r="O449" s="55" t="e">
        <f>VLOOKUP(N449,Casilleros!$A$4:$Q$830,17,FALSE)</f>
        <v>#REF!</v>
      </c>
      <c r="S449" s="61" t="str">
        <f t="shared" si="75"/>
        <v>6091</v>
      </c>
      <c r="T449" s="64" t="str">
        <f t="shared" si="81"/>
        <v>ESTADO DEL RESULTADO INTEGRAL</v>
      </c>
      <c r="U449" s="64" t="str">
        <f t="shared" si="73"/>
        <v>INGRESOS</v>
      </c>
      <c r="V449" s="64" t="str">
        <f t="shared" si="78"/>
        <v>OTROS INGRESOS</v>
      </c>
      <c r="W449" s="64" t="str">
        <f t="shared" si="79"/>
        <v>Provenientes del exterior</v>
      </c>
      <c r="X449" s="64" t="str">
        <f t="shared" si="82"/>
        <v/>
      </c>
      <c r="Y449" s="64" t="str">
        <f t="shared" si="83"/>
        <v/>
      </c>
      <c r="Z449" s="64" t="str">
        <f t="shared" si="84"/>
        <v/>
      </c>
      <c r="AA449" s="64" t="str">
        <f t="shared" si="80"/>
        <v>Provenientes del exterior</v>
      </c>
      <c r="AC449" s="76" t="s">
        <v>700</v>
      </c>
      <c r="AD449" s="76" t="s">
        <v>561</v>
      </c>
      <c r="AE449" s="76" t="s">
        <v>562</v>
      </c>
      <c r="AF449" s="76" t="s">
        <v>10</v>
      </c>
      <c r="AG449" s="76" t="s">
        <v>698</v>
      </c>
      <c r="AH449" s="76" t="s">
        <v>444</v>
      </c>
      <c r="AI449" s="76" t="s">
        <v>444</v>
      </c>
      <c r="AJ449" s="76" t="s">
        <v>444</v>
      </c>
      <c r="AK449" s="76" t="s">
        <v>698</v>
      </c>
      <c r="AL449" s="76" t="str">
        <f t="shared" si="77"/>
        <v>IE/No Objeto_Provenientes del exterior</v>
      </c>
    </row>
    <row r="450" spans="1:38">
      <c r="A450" s="53"/>
      <c r="B450" s="53"/>
      <c r="C450" s="53"/>
      <c r="D450" s="242" t="s">
        <v>122</v>
      </c>
      <c r="E450" s="242"/>
      <c r="F450" s="242"/>
      <c r="G450" s="242"/>
      <c r="H450" s="242"/>
      <c r="I450" s="242"/>
      <c r="J450" s="242"/>
      <c r="K450" s="242"/>
      <c r="L450" s="9" t="s">
        <v>701</v>
      </c>
      <c r="M450" s="74" t="e">
        <f>VLOOKUP(L450,Casilleros!$A$4:$Q$830,17,FALSE)</f>
        <v>#REF!</v>
      </c>
      <c r="N450" s="9" t="s">
        <v>702</v>
      </c>
      <c r="O450" s="55" t="e">
        <f>VLOOKUP(N450,Casilleros!$A$4:$Q$830,17,FALSE)</f>
        <v>#REF!</v>
      </c>
      <c r="S450" s="61" t="str">
        <f t="shared" si="75"/>
        <v>6093</v>
      </c>
      <c r="T450" s="64" t="str">
        <f t="shared" si="81"/>
        <v>ESTADO DEL RESULTADO INTEGRAL</v>
      </c>
      <c r="U450" s="64" t="str">
        <f t="shared" si="73"/>
        <v>INGRESOS</v>
      </c>
      <c r="V450" s="64" t="str">
        <f t="shared" si="78"/>
        <v>OTROS INGRESOS</v>
      </c>
      <c r="W450" s="64" t="str">
        <f t="shared" si="79"/>
        <v>Otros</v>
      </c>
      <c r="X450" s="64" t="str">
        <f t="shared" si="82"/>
        <v/>
      </c>
      <c r="Y450" s="64" t="str">
        <f t="shared" si="83"/>
        <v/>
      </c>
      <c r="Z450" s="64" t="str">
        <f t="shared" si="84"/>
        <v/>
      </c>
      <c r="AA450" s="64" t="str">
        <f t="shared" si="80"/>
        <v>Otros</v>
      </c>
      <c r="AC450" s="76" t="s">
        <v>702</v>
      </c>
      <c r="AD450" s="76" t="s">
        <v>561</v>
      </c>
      <c r="AE450" s="76" t="s">
        <v>562</v>
      </c>
      <c r="AF450" s="76" t="s">
        <v>10</v>
      </c>
      <c r="AG450" s="76" t="s">
        <v>122</v>
      </c>
      <c r="AH450" s="76" t="s">
        <v>444</v>
      </c>
      <c r="AI450" s="76" t="s">
        <v>444</v>
      </c>
      <c r="AJ450" s="76" t="s">
        <v>444</v>
      </c>
      <c r="AK450" s="76" t="s">
        <v>122</v>
      </c>
      <c r="AL450" s="76" t="str">
        <f t="shared" si="77"/>
        <v>IE/No Objeto_Otros</v>
      </c>
    </row>
    <row r="451" spans="1:38">
      <c r="A451" s="53"/>
      <c r="B451" s="53"/>
      <c r="C451" s="236" t="s">
        <v>703</v>
      </c>
      <c r="D451" s="236"/>
      <c r="E451" s="236"/>
      <c r="F451" s="236"/>
      <c r="G451" s="236"/>
      <c r="H451" s="236"/>
      <c r="I451" s="236"/>
      <c r="J451" s="236"/>
      <c r="K451" s="236"/>
      <c r="L451" s="236"/>
      <c r="M451" s="236"/>
      <c r="N451" s="236"/>
      <c r="O451" s="236"/>
      <c r="S451" s="61">
        <f t="shared" si="75"/>
        <v>0</v>
      </c>
      <c r="T451" s="64" t="str">
        <f t="shared" si="81"/>
        <v>ESTADO DEL RESULTADO INTEGRAL</v>
      </c>
      <c r="U451" s="64" t="str">
        <f t="shared" si="73"/>
        <v>INGRESOS</v>
      </c>
      <c r="V451" s="64" t="str">
        <f t="shared" si="78"/>
        <v>INGRESOS FINANCIEROS Y OTROS NO OPERACIONALES</v>
      </c>
      <c r="W451" s="64" t="str">
        <f t="shared" si="79"/>
        <v/>
      </c>
      <c r="X451" s="64" t="str">
        <f t="shared" si="82"/>
        <v/>
      </c>
      <c r="Y451" s="64" t="str">
        <f t="shared" si="83"/>
        <v/>
      </c>
      <c r="Z451" s="64" t="str">
        <f t="shared" si="84"/>
        <v/>
      </c>
      <c r="AA451" s="64" t="str">
        <f t="shared" si="80"/>
        <v/>
      </c>
    </row>
    <row r="452" spans="1:38">
      <c r="A452" s="53"/>
      <c r="B452" s="53"/>
      <c r="C452" s="53"/>
      <c r="D452" s="239" t="s">
        <v>704</v>
      </c>
      <c r="E452" s="239"/>
      <c r="F452" s="239"/>
      <c r="G452" s="239"/>
      <c r="H452" s="239"/>
      <c r="I452" s="239"/>
      <c r="J452" s="239"/>
      <c r="K452" s="239"/>
      <c r="L452" s="239"/>
      <c r="M452" s="239"/>
      <c r="N452" s="239"/>
      <c r="O452" s="239"/>
      <c r="S452" s="61">
        <f t="shared" si="75"/>
        <v>0</v>
      </c>
      <c r="T452" s="64" t="str">
        <f t="shared" si="81"/>
        <v>ESTADO DEL RESULTADO INTEGRAL</v>
      </c>
      <c r="U452" s="64" t="str">
        <f t="shared" si="73"/>
        <v>INGRESOS</v>
      </c>
      <c r="V452" s="64" t="str">
        <f t="shared" si="78"/>
        <v>INGRESOS FINANCIEROS Y OTROS NO OPERACIONALES</v>
      </c>
      <c r="W452" s="64" t="str">
        <f t="shared" si="79"/>
        <v>INGRESOS FINANCIEROS</v>
      </c>
      <c r="X452" s="64" t="str">
        <f t="shared" si="82"/>
        <v/>
      </c>
      <c r="Y452" s="64" t="str">
        <f t="shared" si="83"/>
        <v/>
      </c>
      <c r="Z452" s="64" t="str">
        <f t="shared" si="84"/>
        <v/>
      </c>
      <c r="AA452" s="64" t="str">
        <f t="shared" si="80"/>
        <v>INGRESOS FINANCIEROS</v>
      </c>
    </row>
    <row r="453" spans="1:38">
      <c r="A453" s="53"/>
      <c r="B453" s="53"/>
      <c r="C453" s="53"/>
      <c r="D453" s="53"/>
      <c r="E453" s="239" t="s">
        <v>705</v>
      </c>
      <c r="F453" s="239"/>
      <c r="G453" s="239"/>
      <c r="H453" s="239"/>
      <c r="I453" s="239"/>
      <c r="J453" s="239"/>
      <c r="K453" s="239"/>
      <c r="L453" s="239"/>
      <c r="M453" s="239"/>
      <c r="N453" s="239"/>
      <c r="O453" s="239"/>
      <c r="S453" s="61">
        <f t="shared" si="75"/>
        <v>0</v>
      </c>
      <c r="T453" s="64" t="str">
        <f t="shared" si="81"/>
        <v>ESTADO DEL RESULTADO INTEGRAL</v>
      </c>
      <c r="U453" s="64" t="str">
        <f t="shared" si="73"/>
        <v>INGRESOS</v>
      </c>
      <c r="V453" s="64" t="str">
        <f t="shared" si="78"/>
        <v>INGRESOS FINANCIEROS Y OTROS NO OPERACIONALES</v>
      </c>
      <c r="W453" s="64" t="str">
        <f t="shared" si="79"/>
        <v>INGRESOS FINANCIEROS</v>
      </c>
      <c r="X453" s="64" t="str">
        <f t="shared" si="82"/>
        <v>ARRENDAMIENTO MERCANTIL</v>
      </c>
      <c r="Y453" s="64" t="str">
        <f t="shared" si="83"/>
        <v/>
      </c>
      <c r="Z453" s="64" t="str">
        <f t="shared" si="84"/>
        <v/>
      </c>
      <c r="AA453" s="64" t="str">
        <f t="shared" si="80"/>
        <v>INGRESOS FINANCIEROS_ARRENDAMIENTO MERCANTIL__</v>
      </c>
    </row>
    <row r="454" spans="1:38">
      <c r="A454" s="53"/>
      <c r="B454" s="53"/>
      <c r="C454" s="53"/>
      <c r="D454" s="53"/>
      <c r="E454" s="53"/>
      <c r="F454" s="239" t="s">
        <v>72</v>
      </c>
      <c r="G454" s="239"/>
      <c r="H454" s="239"/>
      <c r="I454" s="239"/>
      <c r="J454" s="239"/>
      <c r="K454" s="239"/>
      <c r="L454" s="246" t="s">
        <v>565</v>
      </c>
      <c r="M454" s="246"/>
      <c r="N454" s="246" t="s">
        <v>566</v>
      </c>
      <c r="O454" s="246"/>
      <c r="S454" s="61" t="str">
        <f t="shared" si="75"/>
        <v>Total ingresos</v>
      </c>
      <c r="T454" s="64" t="str">
        <f t="shared" si="81"/>
        <v>ESTADO DEL RESULTADO INTEGRAL</v>
      </c>
      <c r="U454" s="64" t="str">
        <f t="shared" ref="U454:U509" si="85">IF(T453&lt;&gt;T454,"",(IF(B454&lt;&gt;"",B454,U453)))</f>
        <v>INGRESOS</v>
      </c>
      <c r="V454" s="64" t="str">
        <f t="shared" si="78"/>
        <v>INGRESOS FINANCIEROS Y OTROS NO OPERACIONALES</v>
      </c>
      <c r="W454" s="64" t="str">
        <f t="shared" si="79"/>
        <v>INGRESOS FINANCIEROS</v>
      </c>
      <c r="X454" s="64" t="str">
        <f t="shared" si="82"/>
        <v>ARRENDAMIENTO MERCANTIL</v>
      </c>
      <c r="Y454" s="64" t="str">
        <f t="shared" si="83"/>
        <v>RELACIONADAS</v>
      </c>
      <c r="Z454" s="64" t="str">
        <f t="shared" si="84"/>
        <v/>
      </c>
      <c r="AA454" s="64" t="str">
        <f t="shared" si="80"/>
        <v>INGRESOS FINANCIEROS_ARRENDAMIENTO MERCANTIL_RELACIONADAS_</v>
      </c>
    </row>
    <row r="455" spans="1:38">
      <c r="A455" s="53"/>
      <c r="B455" s="53"/>
      <c r="C455" s="53"/>
      <c r="D455" s="53"/>
      <c r="E455" s="53"/>
      <c r="F455" s="53"/>
      <c r="G455" s="242" t="s">
        <v>25</v>
      </c>
      <c r="H455" s="242"/>
      <c r="I455" s="242"/>
      <c r="J455" s="242"/>
      <c r="K455" s="242"/>
      <c r="L455" s="9" t="s">
        <v>706</v>
      </c>
      <c r="M455" s="55" t="e">
        <f>VLOOKUP(L455,Casilleros!$A$4:$Q$830,17,FALSE)</f>
        <v>#REF!</v>
      </c>
      <c r="N455" s="9" t="s">
        <v>707</v>
      </c>
      <c r="O455" s="55" t="e">
        <f>VLOOKUP(N455,Casilleros!$A$4:$Q$830,17,FALSE)</f>
        <v>#REF!</v>
      </c>
      <c r="S455" s="61" t="str">
        <f t="shared" si="75"/>
        <v>6095</v>
      </c>
      <c r="T455" s="64" t="str">
        <f t="shared" si="81"/>
        <v>ESTADO DEL RESULTADO INTEGRAL</v>
      </c>
      <c r="U455" s="64" t="str">
        <f t="shared" si="85"/>
        <v>INGRESOS</v>
      </c>
      <c r="V455" s="64" t="str">
        <f t="shared" si="78"/>
        <v>INGRESOS FINANCIEROS Y OTROS NO OPERACIONALES</v>
      </c>
      <c r="W455" s="64" t="str">
        <f t="shared" si="79"/>
        <v>INGRESOS FINANCIEROS</v>
      </c>
      <c r="X455" s="64" t="str">
        <f t="shared" si="82"/>
        <v>ARRENDAMIENTO MERCANTIL</v>
      </c>
      <c r="Y455" s="64" t="str">
        <f t="shared" si="83"/>
        <v>RELACIONADAS</v>
      </c>
      <c r="Z455" s="64" t="str">
        <f t="shared" si="84"/>
        <v>Local</v>
      </c>
      <c r="AA455" s="64" t="str">
        <f t="shared" si="80"/>
        <v>INGRESOS FINANCIEROS_ARRENDAMIENTO MERCANTIL_RELACIONADAS_Local</v>
      </c>
      <c r="AC455" s="76" t="s">
        <v>707</v>
      </c>
      <c r="AD455" s="76" t="s">
        <v>561</v>
      </c>
      <c r="AE455" s="76" t="s">
        <v>562</v>
      </c>
      <c r="AF455" s="76" t="s">
        <v>703</v>
      </c>
      <c r="AG455" s="76" t="s">
        <v>704</v>
      </c>
      <c r="AH455" s="76" t="s">
        <v>705</v>
      </c>
      <c r="AI455" s="76" t="s">
        <v>72</v>
      </c>
      <c r="AJ455" s="76" t="s">
        <v>25</v>
      </c>
      <c r="AK455" s="76" t="s">
        <v>1521</v>
      </c>
      <c r="AL455" s="76" t="str">
        <f t="shared" ref="AL455:AL487" si="86">CONCATENATE("IE/No Objeto_",AK455)</f>
        <v>IE/No Objeto_INGRESOS FINANCIEROS_ARRENDAMIENTO MERCANTIL_RELACIONADAS_Local</v>
      </c>
    </row>
    <row r="456" spans="1:38">
      <c r="A456" s="53"/>
      <c r="B456" s="53"/>
      <c r="C456" s="53"/>
      <c r="D456" s="53"/>
      <c r="E456" s="53"/>
      <c r="F456" s="53"/>
      <c r="G456" s="242" t="s">
        <v>26</v>
      </c>
      <c r="H456" s="242"/>
      <c r="I456" s="242"/>
      <c r="J456" s="242"/>
      <c r="K456" s="242"/>
      <c r="L456" s="9" t="s">
        <v>708</v>
      </c>
      <c r="M456" s="55" t="e">
        <f>VLOOKUP(L456,Casilleros!$A$4:$Q$830,17,FALSE)</f>
        <v>#REF!</v>
      </c>
      <c r="N456" s="9" t="s">
        <v>709</v>
      </c>
      <c r="O456" s="55" t="e">
        <f>VLOOKUP(N456,Casilleros!$A$4:$Q$830,17,FALSE)</f>
        <v>#REF!</v>
      </c>
      <c r="S456" s="61" t="str">
        <f t="shared" si="75"/>
        <v>6097</v>
      </c>
      <c r="T456" s="64" t="str">
        <f t="shared" si="81"/>
        <v>ESTADO DEL RESULTADO INTEGRAL</v>
      </c>
      <c r="U456" s="64" t="str">
        <f t="shared" si="85"/>
        <v>INGRESOS</v>
      </c>
      <c r="V456" s="64" t="str">
        <f t="shared" si="78"/>
        <v>INGRESOS FINANCIEROS Y OTROS NO OPERACIONALES</v>
      </c>
      <c r="W456" s="64" t="str">
        <f t="shared" si="79"/>
        <v>INGRESOS FINANCIEROS</v>
      </c>
      <c r="X456" s="64" t="str">
        <f t="shared" si="82"/>
        <v>ARRENDAMIENTO MERCANTIL</v>
      </c>
      <c r="Y456" s="64" t="str">
        <f t="shared" si="83"/>
        <v>RELACIONADAS</v>
      </c>
      <c r="Z456" s="64" t="str">
        <f t="shared" si="84"/>
        <v>Del exterior</v>
      </c>
      <c r="AA456" s="64" t="str">
        <f t="shared" si="80"/>
        <v>INGRESOS FINANCIEROS_ARRENDAMIENTO MERCANTIL_RELACIONADAS_Del exterior</v>
      </c>
      <c r="AC456" s="76" t="s">
        <v>709</v>
      </c>
      <c r="AD456" s="76" t="s">
        <v>561</v>
      </c>
      <c r="AE456" s="76" t="s">
        <v>562</v>
      </c>
      <c r="AF456" s="76" t="s">
        <v>703</v>
      </c>
      <c r="AG456" s="76" t="s">
        <v>704</v>
      </c>
      <c r="AH456" s="76" t="s">
        <v>705</v>
      </c>
      <c r="AI456" s="76" t="s">
        <v>72</v>
      </c>
      <c r="AJ456" s="76" t="s">
        <v>26</v>
      </c>
      <c r="AK456" s="76" t="s">
        <v>1522</v>
      </c>
      <c r="AL456" s="76" t="str">
        <f t="shared" si="86"/>
        <v>IE/No Objeto_INGRESOS FINANCIEROS_ARRENDAMIENTO MERCANTIL_RELACIONADAS_Del exterior</v>
      </c>
    </row>
    <row r="457" spans="1:38">
      <c r="A457" s="53"/>
      <c r="B457" s="53"/>
      <c r="C457" s="53"/>
      <c r="D457" s="53"/>
      <c r="E457" s="53"/>
      <c r="F457" s="239" t="s">
        <v>78</v>
      </c>
      <c r="G457" s="239"/>
      <c r="H457" s="239"/>
      <c r="I457" s="239"/>
      <c r="J457" s="239"/>
      <c r="K457" s="239"/>
      <c r="L457" s="246" t="s">
        <v>565</v>
      </c>
      <c r="M457" s="246"/>
      <c r="N457" s="246" t="s">
        <v>566</v>
      </c>
      <c r="O457" s="246"/>
      <c r="S457" s="61" t="str">
        <f t="shared" si="75"/>
        <v>Total ingresos</v>
      </c>
      <c r="T457" s="64" t="str">
        <f t="shared" si="81"/>
        <v>ESTADO DEL RESULTADO INTEGRAL</v>
      </c>
      <c r="U457" s="64" t="str">
        <f t="shared" si="85"/>
        <v>INGRESOS</v>
      </c>
      <c r="V457" s="64" t="str">
        <f t="shared" si="78"/>
        <v>INGRESOS FINANCIEROS Y OTROS NO OPERACIONALES</v>
      </c>
      <c r="W457" s="64" t="str">
        <f t="shared" si="79"/>
        <v>INGRESOS FINANCIEROS</v>
      </c>
      <c r="X457" s="64" t="str">
        <f t="shared" si="82"/>
        <v>ARRENDAMIENTO MERCANTIL</v>
      </c>
      <c r="Y457" s="64" t="str">
        <f t="shared" si="83"/>
        <v>NO RELACIONADAS</v>
      </c>
      <c r="Z457" s="64" t="str">
        <f t="shared" si="84"/>
        <v/>
      </c>
      <c r="AA457" s="64" t="str">
        <f t="shared" si="80"/>
        <v>INGRESOS FINANCIEROS_ARRENDAMIENTO MERCANTIL_NO RELACIONADAS_</v>
      </c>
      <c r="AC457" s="76" t="s">
        <v>565</v>
      </c>
      <c r="AD457" s="76" t="s">
        <v>561</v>
      </c>
      <c r="AE457" s="76" t="s">
        <v>562</v>
      </c>
      <c r="AF457" s="76" t="s">
        <v>703</v>
      </c>
      <c r="AG457" s="76" t="s">
        <v>704</v>
      </c>
      <c r="AH457" s="76" t="s">
        <v>705</v>
      </c>
      <c r="AI457" s="76" t="s">
        <v>78</v>
      </c>
      <c r="AJ457" s="76" t="s">
        <v>444</v>
      </c>
      <c r="AK457" s="76" t="s">
        <v>1523</v>
      </c>
      <c r="AL457" s="76" t="str">
        <f t="shared" si="86"/>
        <v>IE/No Objeto_INGRESOS FINANCIEROS_ARRENDAMIENTO MERCANTIL_NO RELACIONADAS_</v>
      </c>
    </row>
    <row r="458" spans="1:38">
      <c r="A458" s="53"/>
      <c r="B458" s="53"/>
      <c r="C458" s="53"/>
      <c r="D458" s="53"/>
      <c r="E458" s="53"/>
      <c r="F458" s="53"/>
      <c r="G458" s="242" t="s">
        <v>25</v>
      </c>
      <c r="H458" s="242"/>
      <c r="I458" s="242"/>
      <c r="J458" s="242"/>
      <c r="K458" s="242"/>
      <c r="L458" s="9" t="s">
        <v>710</v>
      </c>
      <c r="M458" s="55" t="e">
        <f>VLOOKUP(L458,Casilleros!$A$4:$Q$830,17,FALSE)</f>
        <v>#REF!</v>
      </c>
      <c r="N458" s="9" t="s">
        <v>711</v>
      </c>
      <c r="O458" s="55" t="e">
        <f>VLOOKUP(N458,Casilleros!$A$4:$Q$830,17,FALSE)</f>
        <v>#REF!</v>
      </c>
      <c r="S458" s="61" t="str">
        <f t="shared" ref="S458:S487" si="87">+L458</f>
        <v>6099</v>
      </c>
      <c r="T458" s="64" t="str">
        <f t="shared" si="81"/>
        <v>ESTADO DEL RESULTADO INTEGRAL</v>
      </c>
      <c r="U458" s="64" t="str">
        <f t="shared" si="85"/>
        <v>INGRESOS</v>
      </c>
      <c r="V458" s="64" t="str">
        <f t="shared" si="78"/>
        <v>INGRESOS FINANCIEROS Y OTROS NO OPERACIONALES</v>
      </c>
      <c r="W458" s="64" t="str">
        <f t="shared" si="79"/>
        <v>INGRESOS FINANCIEROS</v>
      </c>
      <c r="X458" s="64" t="str">
        <f t="shared" si="82"/>
        <v>ARRENDAMIENTO MERCANTIL</v>
      </c>
      <c r="Y458" s="64" t="str">
        <f t="shared" si="83"/>
        <v>NO RELACIONADAS</v>
      </c>
      <c r="Z458" s="64" t="str">
        <f t="shared" si="84"/>
        <v>Local</v>
      </c>
      <c r="AA458" s="64" t="str">
        <f t="shared" si="80"/>
        <v>INGRESOS FINANCIEROS_ARRENDAMIENTO MERCANTIL_NO RELACIONADAS_Local</v>
      </c>
      <c r="AC458" s="76" t="s">
        <v>711</v>
      </c>
      <c r="AD458" s="76" t="s">
        <v>561</v>
      </c>
      <c r="AE458" s="76" t="s">
        <v>562</v>
      </c>
      <c r="AF458" s="76" t="s">
        <v>703</v>
      </c>
      <c r="AG458" s="76" t="s">
        <v>704</v>
      </c>
      <c r="AH458" s="76" t="s">
        <v>705</v>
      </c>
      <c r="AI458" s="76" t="s">
        <v>78</v>
      </c>
      <c r="AJ458" s="76" t="s">
        <v>25</v>
      </c>
      <c r="AK458" s="76" t="s">
        <v>1524</v>
      </c>
      <c r="AL458" s="76" t="str">
        <f t="shared" si="86"/>
        <v>IE/No Objeto_INGRESOS FINANCIEROS_ARRENDAMIENTO MERCANTIL_NO RELACIONADAS_Local</v>
      </c>
    </row>
    <row r="459" spans="1:38">
      <c r="A459" s="53"/>
      <c r="B459" s="53"/>
      <c r="C459" s="53"/>
      <c r="D459" s="53"/>
      <c r="E459" s="53"/>
      <c r="F459" s="53"/>
      <c r="G459" s="242" t="s">
        <v>26</v>
      </c>
      <c r="H459" s="242"/>
      <c r="I459" s="242"/>
      <c r="J459" s="242"/>
      <c r="K459" s="242"/>
      <c r="L459" s="9" t="s">
        <v>712</v>
      </c>
      <c r="M459" s="55" t="e">
        <f>VLOOKUP(L459,Casilleros!$A$4:$Q$830,17,FALSE)</f>
        <v>#REF!</v>
      </c>
      <c r="N459" s="9" t="s">
        <v>713</v>
      </c>
      <c r="O459" s="55" t="e">
        <f>VLOOKUP(N459,Casilleros!$A$4:$Q$830,17,FALSE)</f>
        <v>#REF!</v>
      </c>
      <c r="S459" s="61" t="str">
        <f t="shared" si="87"/>
        <v>6101</v>
      </c>
      <c r="T459" s="64" t="str">
        <f t="shared" si="81"/>
        <v>ESTADO DEL RESULTADO INTEGRAL</v>
      </c>
      <c r="U459" s="64" t="str">
        <f t="shared" si="85"/>
        <v>INGRESOS</v>
      </c>
      <c r="V459" s="64" t="str">
        <f t="shared" si="78"/>
        <v>INGRESOS FINANCIEROS Y OTROS NO OPERACIONALES</v>
      </c>
      <c r="W459" s="64" t="str">
        <f t="shared" si="79"/>
        <v>INGRESOS FINANCIEROS</v>
      </c>
      <c r="X459" s="64" t="str">
        <f t="shared" si="82"/>
        <v>ARRENDAMIENTO MERCANTIL</v>
      </c>
      <c r="Y459" s="64" t="str">
        <f t="shared" si="83"/>
        <v>NO RELACIONADAS</v>
      </c>
      <c r="Z459" s="64" t="str">
        <f t="shared" si="84"/>
        <v>Del exterior</v>
      </c>
      <c r="AA459" s="64" t="str">
        <f t="shared" si="80"/>
        <v>INGRESOS FINANCIEROS_ARRENDAMIENTO MERCANTIL_NO RELACIONADAS_Del exterior</v>
      </c>
      <c r="AC459" s="76" t="s">
        <v>713</v>
      </c>
      <c r="AD459" s="76" t="s">
        <v>561</v>
      </c>
      <c r="AE459" s="76" t="s">
        <v>562</v>
      </c>
      <c r="AF459" s="76" t="s">
        <v>703</v>
      </c>
      <c r="AG459" s="76" t="s">
        <v>704</v>
      </c>
      <c r="AH459" s="76" t="s">
        <v>705</v>
      </c>
      <c r="AI459" s="76" t="s">
        <v>78</v>
      </c>
      <c r="AJ459" s="76" t="s">
        <v>26</v>
      </c>
      <c r="AK459" s="76" t="s">
        <v>1525</v>
      </c>
      <c r="AL459" s="76" t="str">
        <f t="shared" si="86"/>
        <v>IE/No Objeto_INGRESOS FINANCIEROS_ARRENDAMIENTO MERCANTIL_NO RELACIONADAS_Del exterior</v>
      </c>
    </row>
    <row r="460" spans="1:38">
      <c r="A460" s="53"/>
      <c r="B460" s="53"/>
      <c r="C460" s="53"/>
      <c r="D460" s="53"/>
      <c r="E460" s="239" t="s">
        <v>714</v>
      </c>
      <c r="F460" s="239"/>
      <c r="G460" s="239"/>
      <c r="H460" s="239"/>
      <c r="I460" s="239"/>
      <c r="J460" s="239"/>
      <c r="K460" s="239"/>
      <c r="L460" s="239"/>
      <c r="M460" s="239"/>
      <c r="N460" s="239"/>
      <c r="O460" s="239"/>
      <c r="S460" s="61">
        <f t="shared" si="87"/>
        <v>0</v>
      </c>
      <c r="T460" s="64" t="str">
        <f t="shared" si="81"/>
        <v>ESTADO DEL RESULTADO INTEGRAL</v>
      </c>
      <c r="U460" s="64" t="str">
        <f t="shared" si="85"/>
        <v>INGRESOS</v>
      </c>
      <c r="V460" s="64" t="str">
        <f t="shared" si="78"/>
        <v>INGRESOS FINANCIEROS Y OTROS NO OPERACIONALES</v>
      </c>
      <c r="W460" s="64" t="str">
        <f t="shared" si="79"/>
        <v>INGRESOS FINANCIEROS</v>
      </c>
      <c r="X460" s="64" t="str">
        <f t="shared" si="82"/>
        <v>COSTOS DE TRANSACCIÓN (COMISIONES BANCRIAS, HONORARIOS, TASAS, ENTRE OTROS)</v>
      </c>
      <c r="Y460" s="64" t="str">
        <f t="shared" si="83"/>
        <v/>
      </c>
      <c r="Z460" s="64" t="str">
        <f t="shared" si="84"/>
        <v/>
      </c>
      <c r="AA460" s="64" t="str">
        <f t="shared" si="80"/>
        <v>INGRESOS FINANCIEROS_COSTOS DE TRANSACCIÓN (COMISIONES BANCRIAS, HONORARIOS, TASAS, ENTRE OTROS)__</v>
      </c>
      <c r="AC460" s="76">
        <v>0</v>
      </c>
      <c r="AD460" s="76" t="s">
        <v>561</v>
      </c>
      <c r="AE460" s="76" t="s">
        <v>562</v>
      </c>
      <c r="AF460" s="76" t="s">
        <v>703</v>
      </c>
      <c r="AG460" s="76" t="s">
        <v>704</v>
      </c>
      <c r="AH460" s="76" t="s">
        <v>714</v>
      </c>
      <c r="AI460" s="76" t="s">
        <v>444</v>
      </c>
      <c r="AJ460" s="76" t="s">
        <v>444</v>
      </c>
      <c r="AK460" s="76" t="s">
        <v>1526</v>
      </c>
      <c r="AL460" s="76" t="str">
        <f t="shared" si="86"/>
        <v>IE/No Objeto_INGRESOS FINANCIEROS_COSTOS DE TRANSACCIÓN (COMISIONES BANCRIAS, HONORARIOS, TASAS, ENTRE OTROS)__</v>
      </c>
    </row>
    <row r="461" spans="1:38">
      <c r="A461" s="53"/>
      <c r="B461" s="53"/>
      <c r="C461" s="53"/>
      <c r="D461" s="53"/>
      <c r="E461" s="53"/>
      <c r="F461" s="239" t="s">
        <v>72</v>
      </c>
      <c r="G461" s="239"/>
      <c r="H461" s="239"/>
      <c r="I461" s="239"/>
      <c r="J461" s="239"/>
      <c r="K461" s="239"/>
      <c r="L461" s="246" t="s">
        <v>565</v>
      </c>
      <c r="M461" s="246"/>
      <c r="N461" s="246" t="s">
        <v>566</v>
      </c>
      <c r="O461" s="246"/>
      <c r="S461" s="61" t="str">
        <f t="shared" si="87"/>
        <v>Total ingresos</v>
      </c>
      <c r="T461" s="64" t="str">
        <f t="shared" si="81"/>
        <v>ESTADO DEL RESULTADO INTEGRAL</v>
      </c>
      <c r="U461" s="64" t="str">
        <f t="shared" si="85"/>
        <v>INGRESOS</v>
      </c>
      <c r="V461" s="64" t="str">
        <f t="shared" si="78"/>
        <v>INGRESOS FINANCIEROS Y OTROS NO OPERACIONALES</v>
      </c>
      <c r="W461" s="64" t="str">
        <f t="shared" si="79"/>
        <v>INGRESOS FINANCIEROS</v>
      </c>
      <c r="X461" s="64" t="str">
        <f t="shared" si="82"/>
        <v>COSTOS DE TRANSACCIÓN (COMISIONES BANCRIAS, HONORARIOS, TASAS, ENTRE OTROS)</v>
      </c>
      <c r="Y461" s="64" t="str">
        <f t="shared" si="83"/>
        <v>RELACIONADAS</v>
      </c>
      <c r="Z461" s="64" t="str">
        <f t="shared" si="84"/>
        <v/>
      </c>
      <c r="AA461" s="64" t="str">
        <f t="shared" si="80"/>
        <v>INGRESOS FINANCIEROS_COSTOS DE TRANSACCIÓN (COMISIONES BANCRIAS, HONORARIOS, TASAS, ENTRE OTROS)_RELACIONADAS_</v>
      </c>
      <c r="AC461" s="76" t="s">
        <v>565</v>
      </c>
      <c r="AD461" s="76" t="s">
        <v>561</v>
      </c>
      <c r="AE461" s="76" t="s">
        <v>562</v>
      </c>
      <c r="AF461" s="76" t="s">
        <v>703</v>
      </c>
      <c r="AG461" s="76" t="s">
        <v>704</v>
      </c>
      <c r="AH461" s="76" t="s">
        <v>714</v>
      </c>
      <c r="AI461" s="76" t="s">
        <v>72</v>
      </c>
      <c r="AJ461" s="76" t="s">
        <v>444</v>
      </c>
      <c r="AK461" s="76" t="s">
        <v>1527</v>
      </c>
      <c r="AL461" s="76" t="str">
        <f t="shared" si="86"/>
        <v>IE/No Objeto_INGRESOS FINANCIEROS_COSTOS DE TRANSACCIÓN (COMISIONES BANCRIAS, HONORARIOS, TASAS, ENTRE OTROS)_RELACIONADAS_</v>
      </c>
    </row>
    <row r="462" spans="1:38">
      <c r="A462" s="53"/>
      <c r="B462" s="53"/>
      <c r="C462" s="53"/>
      <c r="D462" s="53"/>
      <c r="E462" s="53"/>
      <c r="F462" s="53"/>
      <c r="G462" s="242" t="s">
        <v>25</v>
      </c>
      <c r="H462" s="242"/>
      <c r="I462" s="242"/>
      <c r="J462" s="242"/>
      <c r="K462" s="242"/>
      <c r="L462" s="9" t="s">
        <v>715</v>
      </c>
      <c r="M462" s="55" t="e">
        <f>VLOOKUP(L462,Casilleros!$A$4:$Q$830,17,FALSE)</f>
        <v>#REF!</v>
      </c>
      <c r="N462" s="9" t="s">
        <v>716</v>
      </c>
      <c r="O462" s="55" t="e">
        <f>VLOOKUP(N462,Casilleros!$A$4:$Q$830,17,FALSE)</f>
        <v>#REF!</v>
      </c>
      <c r="S462" s="61" t="str">
        <f t="shared" si="87"/>
        <v>6103</v>
      </c>
      <c r="T462" s="64" t="str">
        <f t="shared" si="81"/>
        <v>ESTADO DEL RESULTADO INTEGRAL</v>
      </c>
      <c r="U462" s="64" t="str">
        <f t="shared" si="85"/>
        <v>INGRESOS</v>
      </c>
      <c r="V462" s="64" t="str">
        <f t="shared" si="78"/>
        <v>INGRESOS FINANCIEROS Y OTROS NO OPERACIONALES</v>
      </c>
      <c r="W462" s="64" t="str">
        <f t="shared" si="79"/>
        <v>INGRESOS FINANCIEROS</v>
      </c>
      <c r="X462" s="64" t="str">
        <f t="shared" si="82"/>
        <v>COSTOS DE TRANSACCIÓN (COMISIONES BANCRIAS, HONORARIOS, TASAS, ENTRE OTROS)</v>
      </c>
      <c r="Y462" s="64" t="str">
        <f t="shared" si="83"/>
        <v>RELACIONADAS</v>
      </c>
      <c r="Z462" s="64" t="str">
        <f t="shared" si="84"/>
        <v>Local</v>
      </c>
      <c r="AA462" s="64" t="str">
        <f t="shared" si="80"/>
        <v>INGRESOS FINANCIEROS_COSTOS DE TRANSACCIÓN (COMISIONES BANCRIAS, HONORARIOS, TASAS, ENTRE OTROS)_RELACIONADAS_Local</v>
      </c>
      <c r="AC462" s="76" t="s">
        <v>716</v>
      </c>
      <c r="AD462" s="76" t="s">
        <v>561</v>
      </c>
      <c r="AE462" s="76" t="s">
        <v>562</v>
      </c>
      <c r="AF462" s="76" t="s">
        <v>703</v>
      </c>
      <c r="AG462" s="76" t="s">
        <v>704</v>
      </c>
      <c r="AH462" s="76" t="s">
        <v>714</v>
      </c>
      <c r="AI462" s="76" t="s">
        <v>72</v>
      </c>
      <c r="AJ462" s="76" t="s">
        <v>25</v>
      </c>
      <c r="AK462" s="76" t="s">
        <v>1528</v>
      </c>
      <c r="AL462" s="76" t="str">
        <f t="shared" si="86"/>
        <v>IE/No Objeto_INGRESOS FINANCIEROS_COSTOS DE TRANSACCIÓN (COMISIONES BANCRIAS, HONORARIOS, TASAS, ENTRE OTROS)_RELACIONADAS_Local</v>
      </c>
    </row>
    <row r="463" spans="1:38">
      <c r="A463" s="53"/>
      <c r="B463" s="53"/>
      <c r="C463" s="53"/>
      <c r="D463" s="53"/>
      <c r="E463" s="53"/>
      <c r="F463" s="53"/>
      <c r="G463" s="242" t="s">
        <v>26</v>
      </c>
      <c r="H463" s="242"/>
      <c r="I463" s="242"/>
      <c r="J463" s="242"/>
      <c r="K463" s="242"/>
      <c r="L463" s="9" t="s">
        <v>717</v>
      </c>
      <c r="M463" s="55" t="e">
        <f>VLOOKUP(L463,Casilleros!$A$4:$Q$830,17,FALSE)</f>
        <v>#REF!</v>
      </c>
      <c r="N463" s="9" t="s">
        <v>718</v>
      </c>
      <c r="O463" s="55" t="e">
        <f>VLOOKUP(N463,Casilleros!$A$4:$Q$830,17,FALSE)</f>
        <v>#REF!</v>
      </c>
      <c r="S463" s="61" t="str">
        <f t="shared" si="87"/>
        <v>6105</v>
      </c>
      <c r="T463" s="64" t="str">
        <f t="shared" si="81"/>
        <v>ESTADO DEL RESULTADO INTEGRAL</v>
      </c>
      <c r="U463" s="64" t="str">
        <f t="shared" si="85"/>
        <v>INGRESOS</v>
      </c>
      <c r="V463" s="64" t="str">
        <f t="shared" si="78"/>
        <v>INGRESOS FINANCIEROS Y OTROS NO OPERACIONALES</v>
      </c>
      <c r="W463" s="64" t="str">
        <f t="shared" si="79"/>
        <v>INGRESOS FINANCIEROS</v>
      </c>
      <c r="X463" s="64" t="str">
        <f t="shared" si="82"/>
        <v>COSTOS DE TRANSACCIÓN (COMISIONES BANCRIAS, HONORARIOS, TASAS, ENTRE OTROS)</v>
      </c>
      <c r="Y463" s="64" t="str">
        <f t="shared" si="83"/>
        <v>RELACIONADAS</v>
      </c>
      <c r="Z463" s="64" t="str">
        <f t="shared" si="84"/>
        <v>Del exterior</v>
      </c>
      <c r="AA463" s="64" t="str">
        <f t="shared" si="80"/>
        <v>INGRESOS FINANCIEROS_COSTOS DE TRANSACCIÓN (COMISIONES BANCRIAS, HONORARIOS, TASAS, ENTRE OTROS)_RELACIONADAS_Del exterior</v>
      </c>
      <c r="AC463" s="76" t="s">
        <v>718</v>
      </c>
      <c r="AD463" s="76" t="s">
        <v>561</v>
      </c>
      <c r="AE463" s="76" t="s">
        <v>562</v>
      </c>
      <c r="AF463" s="76" t="s">
        <v>703</v>
      </c>
      <c r="AG463" s="76" t="s">
        <v>704</v>
      </c>
      <c r="AH463" s="76" t="s">
        <v>714</v>
      </c>
      <c r="AI463" s="76" t="s">
        <v>72</v>
      </c>
      <c r="AJ463" s="76" t="s">
        <v>26</v>
      </c>
      <c r="AK463" s="76" t="s">
        <v>1529</v>
      </c>
      <c r="AL463" s="76" t="str">
        <f t="shared" si="86"/>
        <v>IE/No Objeto_INGRESOS FINANCIEROS_COSTOS DE TRANSACCIÓN (COMISIONES BANCRIAS, HONORARIOS, TASAS, ENTRE OTROS)_RELACIONADAS_Del exterior</v>
      </c>
    </row>
    <row r="464" spans="1:38">
      <c r="A464" s="53"/>
      <c r="B464" s="53"/>
      <c r="C464" s="53"/>
      <c r="D464" s="53"/>
      <c r="E464" s="53"/>
      <c r="F464" s="239" t="s">
        <v>78</v>
      </c>
      <c r="G464" s="239" t="s">
        <v>444</v>
      </c>
      <c r="H464" s="239"/>
      <c r="I464" s="239"/>
      <c r="J464" s="239"/>
      <c r="K464" s="239"/>
      <c r="L464" s="246" t="s">
        <v>565</v>
      </c>
      <c r="M464" s="246"/>
      <c r="N464" s="246"/>
      <c r="O464" s="246"/>
      <c r="S464" s="61" t="str">
        <f t="shared" si="87"/>
        <v>Total ingresos</v>
      </c>
      <c r="T464" s="64" t="str">
        <f t="shared" si="81"/>
        <v>ESTADO DEL RESULTADO INTEGRAL</v>
      </c>
      <c r="U464" s="64" t="str">
        <f t="shared" si="85"/>
        <v>INGRESOS</v>
      </c>
      <c r="V464" s="64" t="str">
        <f t="shared" si="78"/>
        <v>INGRESOS FINANCIEROS Y OTROS NO OPERACIONALES</v>
      </c>
      <c r="W464" s="64" t="str">
        <f t="shared" si="79"/>
        <v>INGRESOS FINANCIEROS</v>
      </c>
      <c r="X464" s="64" t="str">
        <f t="shared" si="82"/>
        <v>COSTOS DE TRANSACCIÓN (COMISIONES BANCRIAS, HONORARIOS, TASAS, ENTRE OTROS)</v>
      </c>
      <c r="Y464" s="64" t="str">
        <f t="shared" si="83"/>
        <v>NO RELACIONADAS</v>
      </c>
      <c r="Z464" s="64" t="str">
        <f t="shared" si="84"/>
        <v/>
      </c>
      <c r="AA464" s="64" t="str">
        <f t="shared" si="80"/>
        <v>INGRESOS FINANCIEROS_COSTOS DE TRANSACCIÓN (COMISIONES BANCRIAS, HONORARIOS, TASAS, ENTRE OTROS)_NO RELACIONADAS_</v>
      </c>
      <c r="AC464" s="76" t="s">
        <v>565</v>
      </c>
      <c r="AD464" s="76" t="s">
        <v>561</v>
      </c>
      <c r="AE464" s="76" t="s">
        <v>562</v>
      </c>
      <c r="AF464" s="76" t="s">
        <v>703</v>
      </c>
      <c r="AG464" s="76" t="s">
        <v>704</v>
      </c>
      <c r="AH464" s="76" t="s">
        <v>714</v>
      </c>
      <c r="AI464" s="76" t="s">
        <v>78</v>
      </c>
      <c r="AJ464" s="76" t="s">
        <v>444</v>
      </c>
      <c r="AK464" s="76" t="s">
        <v>1530</v>
      </c>
      <c r="AL464" s="76" t="str">
        <f t="shared" si="86"/>
        <v>IE/No Objeto_INGRESOS FINANCIEROS_COSTOS DE TRANSACCIÓN (COMISIONES BANCRIAS, HONORARIOS, TASAS, ENTRE OTROS)_NO RELACIONADAS_</v>
      </c>
    </row>
    <row r="465" spans="1:38">
      <c r="A465" s="53"/>
      <c r="B465" s="53"/>
      <c r="C465" s="53"/>
      <c r="D465" s="53"/>
      <c r="E465" s="53"/>
      <c r="F465" s="53"/>
      <c r="G465" s="242" t="s">
        <v>25</v>
      </c>
      <c r="H465" s="242"/>
      <c r="I465" s="242"/>
      <c r="J465" s="242"/>
      <c r="K465" s="242"/>
      <c r="L465" s="9" t="s">
        <v>719</v>
      </c>
      <c r="M465" s="55" t="e">
        <f>VLOOKUP(L465,Casilleros!$A$4:$Q$830,17,FALSE)</f>
        <v>#REF!</v>
      </c>
      <c r="N465" s="9" t="s">
        <v>720</v>
      </c>
      <c r="O465" s="55" t="e">
        <f>VLOOKUP(N465,Casilleros!$A$4:$Q$830,17,FALSE)</f>
        <v>#REF!</v>
      </c>
      <c r="S465" s="61" t="str">
        <f t="shared" si="87"/>
        <v>6107</v>
      </c>
      <c r="T465" s="64" t="str">
        <f t="shared" si="81"/>
        <v>ESTADO DEL RESULTADO INTEGRAL</v>
      </c>
      <c r="U465" s="64" t="str">
        <f t="shared" si="85"/>
        <v>INGRESOS</v>
      </c>
      <c r="V465" s="64" t="str">
        <f t="shared" si="78"/>
        <v>INGRESOS FINANCIEROS Y OTROS NO OPERACIONALES</v>
      </c>
      <c r="W465" s="64" t="str">
        <f t="shared" si="79"/>
        <v>INGRESOS FINANCIEROS</v>
      </c>
      <c r="X465" s="64" t="str">
        <f t="shared" si="82"/>
        <v>COSTOS DE TRANSACCIÓN (COMISIONES BANCRIAS, HONORARIOS, TASAS, ENTRE OTROS)</v>
      </c>
      <c r="Y465" s="64" t="str">
        <f t="shared" si="83"/>
        <v>NO RELACIONADAS</v>
      </c>
      <c r="Z465" s="64" t="str">
        <f t="shared" si="84"/>
        <v>Local</v>
      </c>
      <c r="AA465" s="64" t="str">
        <f t="shared" si="80"/>
        <v>INGRESOS FINANCIEROS_COSTOS DE TRANSACCIÓN (COMISIONES BANCRIAS, HONORARIOS, TASAS, ENTRE OTROS)_NO RELACIONADAS_Local</v>
      </c>
      <c r="AC465" s="76" t="s">
        <v>720</v>
      </c>
      <c r="AD465" s="76" t="s">
        <v>561</v>
      </c>
      <c r="AE465" s="76" t="s">
        <v>562</v>
      </c>
      <c r="AF465" s="76" t="s">
        <v>703</v>
      </c>
      <c r="AG465" s="76" t="s">
        <v>704</v>
      </c>
      <c r="AH465" s="76" t="s">
        <v>714</v>
      </c>
      <c r="AI465" s="76" t="s">
        <v>78</v>
      </c>
      <c r="AJ465" s="76" t="s">
        <v>25</v>
      </c>
      <c r="AK465" s="76" t="s">
        <v>1531</v>
      </c>
      <c r="AL465" s="76" t="str">
        <f t="shared" si="86"/>
        <v>IE/No Objeto_INGRESOS FINANCIEROS_COSTOS DE TRANSACCIÓN (COMISIONES BANCRIAS, HONORARIOS, TASAS, ENTRE OTROS)_NO RELACIONADAS_Local</v>
      </c>
    </row>
    <row r="466" spans="1:38">
      <c r="A466" s="53"/>
      <c r="B466" s="53"/>
      <c r="C466" s="53"/>
      <c r="D466" s="53"/>
      <c r="E466" s="53"/>
      <c r="F466" s="53"/>
      <c r="G466" s="242" t="s">
        <v>26</v>
      </c>
      <c r="H466" s="242"/>
      <c r="I466" s="242"/>
      <c r="J466" s="242"/>
      <c r="K466" s="242"/>
      <c r="L466" s="9" t="s">
        <v>721</v>
      </c>
      <c r="M466" s="55" t="e">
        <f>VLOOKUP(L466,Casilleros!$A$4:$Q$830,17,FALSE)</f>
        <v>#REF!</v>
      </c>
      <c r="N466" s="9" t="s">
        <v>722</v>
      </c>
      <c r="O466" s="55" t="e">
        <f>VLOOKUP(N466,Casilleros!$A$4:$Q$830,17,FALSE)</f>
        <v>#REF!</v>
      </c>
      <c r="S466" s="61" t="str">
        <f t="shared" si="87"/>
        <v>6109</v>
      </c>
      <c r="T466" s="64" t="str">
        <f t="shared" si="81"/>
        <v>ESTADO DEL RESULTADO INTEGRAL</v>
      </c>
      <c r="U466" s="64" t="str">
        <f t="shared" si="85"/>
        <v>INGRESOS</v>
      </c>
      <c r="V466" s="64" t="str">
        <f t="shared" si="78"/>
        <v>INGRESOS FINANCIEROS Y OTROS NO OPERACIONALES</v>
      </c>
      <c r="W466" s="64" t="str">
        <f t="shared" si="79"/>
        <v>INGRESOS FINANCIEROS</v>
      </c>
      <c r="X466" s="64" t="str">
        <f t="shared" si="82"/>
        <v>COSTOS DE TRANSACCIÓN (COMISIONES BANCRIAS, HONORARIOS, TASAS, ENTRE OTROS)</v>
      </c>
      <c r="Y466" s="64" t="str">
        <f t="shared" si="83"/>
        <v>NO RELACIONADAS</v>
      </c>
      <c r="Z466" s="64" t="str">
        <f t="shared" si="84"/>
        <v>Del exterior</v>
      </c>
      <c r="AA466" s="64" t="str">
        <f t="shared" si="80"/>
        <v>INGRESOS FINANCIEROS_COSTOS DE TRANSACCIÓN (COMISIONES BANCRIAS, HONORARIOS, TASAS, ENTRE OTROS)_NO RELACIONADAS_Del exterior</v>
      </c>
      <c r="AC466" s="76" t="s">
        <v>722</v>
      </c>
      <c r="AD466" s="76" t="s">
        <v>561</v>
      </c>
      <c r="AE466" s="76" t="s">
        <v>562</v>
      </c>
      <c r="AF466" s="76" t="s">
        <v>703</v>
      </c>
      <c r="AG466" s="76" t="s">
        <v>704</v>
      </c>
      <c r="AH466" s="76" t="s">
        <v>714</v>
      </c>
      <c r="AI466" s="76" t="s">
        <v>78</v>
      </c>
      <c r="AJ466" s="76" t="s">
        <v>26</v>
      </c>
      <c r="AK466" s="76" t="s">
        <v>1532</v>
      </c>
      <c r="AL466" s="76" t="str">
        <f t="shared" si="86"/>
        <v>IE/No Objeto_INGRESOS FINANCIEROS_COSTOS DE TRANSACCIÓN (COMISIONES BANCRIAS, HONORARIOS, TASAS, ENTRE OTROS)_NO RELACIONADAS_Del exterior</v>
      </c>
    </row>
    <row r="467" spans="1:38">
      <c r="A467" s="53"/>
      <c r="B467" s="53"/>
      <c r="C467" s="53"/>
      <c r="D467" s="53"/>
      <c r="E467" s="239" t="s">
        <v>723</v>
      </c>
      <c r="F467" s="239"/>
      <c r="G467" s="239"/>
      <c r="H467" s="239"/>
      <c r="I467" s="239"/>
      <c r="J467" s="239"/>
      <c r="K467" s="239"/>
      <c r="L467" s="239"/>
      <c r="M467" s="239"/>
      <c r="N467" s="239"/>
      <c r="O467" s="239"/>
      <c r="S467" s="61">
        <f t="shared" si="87"/>
        <v>0</v>
      </c>
      <c r="T467" s="64" t="str">
        <f t="shared" si="81"/>
        <v>ESTADO DEL RESULTADO INTEGRAL</v>
      </c>
      <c r="U467" s="64" t="str">
        <f t="shared" si="85"/>
        <v>INGRESOS</v>
      </c>
      <c r="V467" s="64" t="str">
        <f t="shared" si="78"/>
        <v>INGRESOS FINANCIEROS Y OTROS NO OPERACIONALES</v>
      </c>
      <c r="W467" s="64" t="str">
        <f t="shared" si="79"/>
        <v>INGRESOS FINANCIEROS</v>
      </c>
      <c r="X467" s="64" t="str">
        <f t="shared" si="82"/>
        <v>INTERESES CON INSTITUCIONES FINANCIERAS</v>
      </c>
      <c r="Y467" s="64" t="str">
        <f t="shared" si="83"/>
        <v/>
      </c>
      <c r="Z467" s="64" t="str">
        <f t="shared" si="84"/>
        <v/>
      </c>
      <c r="AA467" s="64" t="str">
        <f t="shared" si="80"/>
        <v>INGRESOS FINANCIEROS_INTERESES CON INSTITUCIONES FINANCIERAS__</v>
      </c>
      <c r="AC467" s="76">
        <v>0</v>
      </c>
      <c r="AD467" s="76" t="s">
        <v>561</v>
      </c>
      <c r="AE467" s="76" t="s">
        <v>562</v>
      </c>
      <c r="AF467" s="76" t="s">
        <v>703</v>
      </c>
      <c r="AG467" s="76" t="s">
        <v>704</v>
      </c>
      <c r="AH467" s="76" t="s">
        <v>723</v>
      </c>
      <c r="AI467" s="76" t="s">
        <v>444</v>
      </c>
      <c r="AJ467" s="76" t="s">
        <v>444</v>
      </c>
      <c r="AK467" s="76" t="s">
        <v>1533</v>
      </c>
      <c r="AL467" s="76" t="str">
        <f t="shared" si="86"/>
        <v>IE/No Objeto_INGRESOS FINANCIEROS_INTERESES CON INSTITUCIONES FINANCIERAS__</v>
      </c>
    </row>
    <row r="468" spans="1:38">
      <c r="A468" s="53"/>
      <c r="B468" s="53"/>
      <c r="C468" s="53"/>
      <c r="D468" s="53"/>
      <c r="E468" s="53"/>
      <c r="F468" s="239" t="s">
        <v>72</v>
      </c>
      <c r="G468" s="239"/>
      <c r="H468" s="239"/>
      <c r="I468" s="239"/>
      <c r="J468" s="239"/>
      <c r="K468" s="239"/>
      <c r="L468" s="246" t="s">
        <v>565</v>
      </c>
      <c r="M468" s="246"/>
      <c r="N468" s="246" t="s">
        <v>566</v>
      </c>
      <c r="O468" s="246"/>
      <c r="S468" s="61" t="str">
        <f t="shared" si="87"/>
        <v>Total ingresos</v>
      </c>
      <c r="T468" s="64" t="str">
        <f t="shared" si="81"/>
        <v>ESTADO DEL RESULTADO INTEGRAL</v>
      </c>
      <c r="U468" s="64" t="str">
        <f t="shared" si="85"/>
        <v>INGRESOS</v>
      </c>
      <c r="V468" s="64" t="str">
        <f t="shared" si="78"/>
        <v>INGRESOS FINANCIEROS Y OTROS NO OPERACIONALES</v>
      </c>
      <c r="W468" s="64" t="str">
        <f t="shared" si="79"/>
        <v>INGRESOS FINANCIEROS</v>
      </c>
      <c r="X468" s="64" t="str">
        <f t="shared" si="82"/>
        <v>INTERESES CON INSTITUCIONES FINANCIERAS</v>
      </c>
      <c r="Y468" s="64" t="str">
        <f t="shared" si="83"/>
        <v>RELACIONADAS</v>
      </c>
      <c r="Z468" s="64" t="str">
        <f t="shared" si="84"/>
        <v/>
      </c>
      <c r="AA468" s="64" t="str">
        <f t="shared" si="80"/>
        <v>INGRESOS FINANCIEROS_INTERESES CON INSTITUCIONES FINANCIERAS_RELACIONADAS_</v>
      </c>
      <c r="AC468" s="76" t="s">
        <v>565</v>
      </c>
      <c r="AD468" s="76" t="s">
        <v>561</v>
      </c>
      <c r="AE468" s="76" t="s">
        <v>562</v>
      </c>
      <c r="AF468" s="76" t="s">
        <v>703</v>
      </c>
      <c r="AG468" s="76" t="s">
        <v>704</v>
      </c>
      <c r="AH468" s="76" t="s">
        <v>723</v>
      </c>
      <c r="AI468" s="76" t="s">
        <v>72</v>
      </c>
      <c r="AJ468" s="76" t="s">
        <v>444</v>
      </c>
      <c r="AK468" s="76" t="s">
        <v>1534</v>
      </c>
      <c r="AL468" s="76" t="str">
        <f t="shared" si="86"/>
        <v>IE/No Objeto_INGRESOS FINANCIEROS_INTERESES CON INSTITUCIONES FINANCIERAS_RELACIONADAS_</v>
      </c>
    </row>
    <row r="469" spans="1:38">
      <c r="A469" s="53"/>
      <c r="B469" s="53"/>
      <c r="C469" s="53"/>
      <c r="D469" s="53"/>
      <c r="E469" s="53"/>
      <c r="F469" s="53"/>
      <c r="G469" s="242" t="s">
        <v>25</v>
      </c>
      <c r="H469" s="242"/>
      <c r="I469" s="242"/>
      <c r="J469" s="242"/>
      <c r="K469" s="242"/>
      <c r="L469" s="9" t="s">
        <v>724</v>
      </c>
      <c r="M469" s="55" t="e">
        <f>VLOOKUP(L469,Casilleros!$A$4:$Q$830,17,FALSE)</f>
        <v>#REF!</v>
      </c>
      <c r="N469" s="9" t="s">
        <v>725</v>
      </c>
      <c r="O469" s="55" t="e">
        <f>VLOOKUP(N469,Casilleros!$A$4:$Q$830,17,FALSE)</f>
        <v>#REF!</v>
      </c>
      <c r="S469" s="61" t="str">
        <f t="shared" si="87"/>
        <v>6111</v>
      </c>
      <c r="T469" s="64" t="str">
        <f t="shared" si="81"/>
        <v>ESTADO DEL RESULTADO INTEGRAL</v>
      </c>
      <c r="U469" s="64" t="str">
        <f t="shared" si="85"/>
        <v>INGRESOS</v>
      </c>
      <c r="V469" s="64" t="str">
        <f t="shared" si="78"/>
        <v>INGRESOS FINANCIEROS Y OTROS NO OPERACIONALES</v>
      </c>
      <c r="W469" s="64" t="str">
        <f t="shared" si="79"/>
        <v>INGRESOS FINANCIEROS</v>
      </c>
      <c r="X469" s="64" t="str">
        <f t="shared" si="82"/>
        <v>INTERESES CON INSTITUCIONES FINANCIERAS</v>
      </c>
      <c r="Y469" s="64" t="str">
        <f t="shared" si="83"/>
        <v>RELACIONADAS</v>
      </c>
      <c r="Z469" s="64" t="str">
        <f t="shared" si="84"/>
        <v>Local</v>
      </c>
      <c r="AA469" s="64" t="str">
        <f t="shared" si="80"/>
        <v>INGRESOS FINANCIEROS_INTERESES CON INSTITUCIONES FINANCIERAS_RELACIONADAS_Local</v>
      </c>
      <c r="AC469" s="76" t="s">
        <v>725</v>
      </c>
      <c r="AD469" s="76" t="s">
        <v>561</v>
      </c>
      <c r="AE469" s="76" t="s">
        <v>562</v>
      </c>
      <c r="AF469" s="76" t="s">
        <v>703</v>
      </c>
      <c r="AG469" s="76" t="s">
        <v>704</v>
      </c>
      <c r="AH469" s="76" t="s">
        <v>723</v>
      </c>
      <c r="AI469" s="76" t="s">
        <v>72</v>
      </c>
      <c r="AJ469" s="76" t="s">
        <v>25</v>
      </c>
      <c r="AK469" s="76" t="s">
        <v>1535</v>
      </c>
      <c r="AL469" s="76" t="str">
        <f t="shared" si="86"/>
        <v>IE/No Objeto_INGRESOS FINANCIEROS_INTERESES CON INSTITUCIONES FINANCIERAS_RELACIONADAS_Local</v>
      </c>
    </row>
    <row r="470" spans="1:38">
      <c r="A470" s="53"/>
      <c r="B470" s="53"/>
      <c r="C470" s="53"/>
      <c r="D470" s="53"/>
      <c r="E470" s="53"/>
      <c r="F470" s="53"/>
      <c r="G470" s="242" t="s">
        <v>26</v>
      </c>
      <c r="H470" s="242"/>
      <c r="I470" s="242"/>
      <c r="J470" s="242"/>
      <c r="K470" s="242"/>
      <c r="L470" s="9" t="s">
        <v>726</v>
      </c>
      <c r="M470" s="55" t="e">
        <f>VLOOKUP(L470,Casilleros!$A$4:$Q$830,17,FALSE)</f>
        <v>#REF!</v>
      </c>
      <c r="N470" s="9" t="s">
        <v>727</v>
      </c>
      <c r="O470" s="55" t="e">
        <f>VLOOKUP(N470,Casilleros!$A$4:$Q$830,17,FALSE)</f>
        <v>#REF!</v>
      </c>
      <c r="S470" s="61" t="str">
        <f t="shared" si="87"/>
        <v>6113</v>
      </c>
      <c r="T470" s="64" t="str">
        <f t="shared" si="81"/>
        <v>ESTADO DEL RESULTADO INTEGRAL</v>
      </c>
      <c r="U470" s="64" t="str">
        <f t="shared" si="85"/>
        <v>INGRESOS</v>
      </c>
      <c r="V470" s="64" t="str">
        <f t="shared" si="78"/>
        <v>INGRESOS FINANCIEROS Y OTROS NO OPERACIONALES</v>
      </c>
      <c r="W470" s="64" t="str">
        <f t="shared" si="79"/>
        <v>INGRESOS FINANCIEROS</v>
      </c>
      <c r="X470" s="64" t="str">
        <f t="shared" si="82"/>
        <v>INTERESES CON INSTITUCIONES FINANCIERAS</v>
      </c>
      <c r="Y470" s="64" t="str">
        <f t="shared" si="83"/>
        <v>RELACIONADAS</v>
      </c>
      <c r="Z470" s="64" t="str">
        <f t="shared" si="84"/>
        <v>Del exterior</v>
      </c>
      <c r="AA470" s="64" t="str">
        <f t="shared" si="80"/>
        <v>INGRESOS FINANCIEROS_INTERESES CON INSTITUCIONES FINANCIERAS_RELACIONADAS_Del exterior</v>
      </c>
      <c r="AC470" s="76" t="s">
        <v>727</v>
      </c>
      <c r="AD470" s="76" t="s">
        <v>561</v>
      </c>
      <c r="AE470" s="76" t="s">
        <v>562</v>
      </c>
      <c r="AF470" s="76" t="s">
        <v>703</v>
      </c>
      <c r="AG470" s="76" t="s">
        <v>704</v>
      </c>
      <c r="AH470" s="76" t="s">
        <v>723</v>
      </c>
      <c r="AI470" s="76" t="s">
        <v>72</v>
      </c>
      <c r="AJ470" s="76" t="s">
        <v>26</v>
      </c>
      <c r="AK470" s="76" t="s">
        <v>1536</v>
      </c>
      <c r="AL470" s="76" t="str">
        <f t="shared" si="86"/>
        <v>IE/No Objeto_INGRESOS FINANCIEROS_INTERESES CON INSTITUCIONES FINANCIERAS_RELACIONADAS_Del exterior</v>
      </c>
    </row>
    <row r="471" spans="1:38">
      <c r="A471" s="53"/>
      <c r="B471" s="53"/>
      <c r="C471" s="53"/>
      <c r="D471" s="53"/>
      <c r="E471" s="53"/>
      <c r="F471" s="239" t="s">
        <v>78</v>
      </c>
      <c r="G471" s="239" t="s">
        <v>444</v>
      </c>
      <c r="H471" s="239"/>
      <c r="I471" s="239"/>
      <c r="J471" s="239"/>
      <c r="K471" s="239"/>
      <c r="L471" s="246" t="s">
        <v>565</v>
      </c>
      <c r="M471" s="246"/>
      <c r="N471" s="246" t="s">
        <v>566</v>
      </c>
      <c r="O471" s="246"/>
      <c r="S471" s="61" t="str">
        <f t="shared" si="87"/>
        <v>Total ingresos</v>
      </c>
      <c r="T471" s="64" t="str">
        <f t="shared" si="81"/>
        <v>ESTADO DEL RESULTADO INTEGRAL</v>
      </c>
      <c r="U471" s="64" t="str">
        <f t="shared" si="85"/>
        <v>INGRESOS</v>
      </c>
      <c r="V471" s="64" t="str">
        <f t="shared" si="78"/>
        <v>INGRESOS FINANCIEROS Y OTROS NO OPERACIONALES</v>
      </c>
      <c r="W471" s="64" t="str">
        <f t="shared" si="79"/>
        <v>INGRESOS FINANCIEROS</v>
      </c>
      <c r="X471" s="64" t="str">
        <f t="shared" si="82"/>
        <v>INTERESES CON INSTITUCIONES FINANCIERAS</v>
      </c>
      <c r="Y471" s="64" t="str">
        <f t="shared" si="83"/>
        <v>NO RELACIONADAS</v>
      </c>
      <c r="Z471" s="64" t="str">
        <f t="shared" si="84"/>
        <v/>
      </c>
      <c r="AA471" s="64" t="str">
        <f t="shared" si="80"/>
        <v>INGRESOS FINANCIEROS_INTERESES CON INSTITUCIONES FINANCIERAS_NO RELACIONADAS_</v>
      </c>
      <c r="AC471" s="76" t="s">
        <v>565</v>
      </c>
      <c r="AD471" s="76" t="s">
        <v>561</v>
      </c>
      <c r="AE471" s="76" t="s">
        <v>562</v>
      </c>
      <c r="AF471" s="76" t="s">
        <v>703</v>
      </c>
      <c r="AG471" s="76" t="s">
        <v>704</v>
      </c>
      <c r="AH471" s="76" t="s">
        <v>723</v>
      </c>
      <c r="AI471" s="76" t="s">
        <v>78</v>
      </c>
      <c r="AJ471" s="76" t="s">
        <v>444</v>
      </c>
      <c r="AK471" s="76" t="s">
        <v>1537</v>
      </c>
      <c r="AL471" s="76" t="str">
        <f t="shared" si="86"/>
        <v>IE/No Objeto_INGRESOS FINANCIEROS_INTERESES CON INSTITUCIONES FINANCIERAS_NO RELACIONADAS_</v>
      </c>
    </row>
    <row r="472" spans="1:38">
      <c r="A472" s="53"/>
      <c r="B472" s="53"/>
      <c r="C472" s="53"/>
      <c r="D472" s="53"/>
      <c r="E472" s="53"/>
      <c r="F472" s="53"/>
      <c r="G472" s="242" t="s">
        <v>25</v>
      </c>
      <c r="H472" s="242"/>
      <c r="I472" s="242"/>
      <c r="J472" s="242"/>
      <c r="K472" s="242"/>
      <c r="L472" s="9" t="s">
        <v>728</v>
      </c>
      <c r="M472" s="74" t="e">
        <f>VLOOKUP(L472,Casilleros!$A$4:$Q$830,17,FALSE)</f>
        <v>#REF!</v>
      </c>
      <c r="N472" s="9" t="s">
        <v>729</v>
      </c>
      <c r="O472" s="55" t="e">
        <f>VLOOKUP(N472,Casilleros!$A$4:$Q$830,17,FALSE)</f>
        <v>#REF!</v>
      </c>
      <c r="S472" s="61" t="str">
        <f t="shared" si="87"/>
        <v>6115</v>
      </c>
      <c r="T472" s="64" t="str">
        <f t="shared" si="81"/>
        <v>ESTADO DEL RESULTADO INTEGRAL</v>
      </c>
      <c r="U472" s="64" t="str">
        <f t="shared" si="85"/>
        <v>INGRESOS</v>
      </c>
      <c r="V472" s="64" t="str">
        <f t="shared" si="78"/>
        <v>INGRESOS FINANCIEROS Y OTROS NO OPERACIONALES</v>
      </c>
      <c r="W472" s="64" t="str">
        <f t="shared" si="79"/>
        <v>INGRESOS FINANCIEROS</v>
      </c>
      <c r="X472" s="64" t="str">
        <f t="shared" si="82"/>
        <v>INTERESES CON INSTITUCIONES FINANCIERAS</v>
      </c>
      <c r="Y472" s="64" t="str">
        <f t="shared" si="83"/>
        <v>NO RELACIONADAS</v>
      </c>
      <c r="Z472" s="64" t="str">
        <f t="shared" si="84"/>
        <v>Local</v>
      </c>
      <c r="AA472" s="64" t="str">
        <f t="shared" si="80"/>
        <v>INGRESOS FINANCIEROS_INTERESES CON INSTITUCIONES FINANCIERAS_NO RELACIONADAS_Local</v>
      </c>
      <c r="AC472" s="76" t="s">
        <v>729</v>
      </c>
      <c r="AD472" s="76" t="s">
        <v>561</v>
      </c>
      <c r="AE472" s="76" t="s">
        <v>562</v>
      </c>
      <c r="AF472" s="76" t="s">
        <v>703</v>
      </c>
      <c r="AG472" s="76" t="s">
        <v>704</v>
      </c>
      <c r="AH472" s="76" t="s">
        <v>723</v>
      </c>
      <c r="AI472" s="76" t="s">
        <v>78</v>
      </c>
      <c r="AJ472" s="76" t="s">
        <v>25</v>
      </c>
      <c r="AK472" s="76" t="s">
        <v>1538</v>
      </c>
      <c r="AL472" s="76" t="str">
        <f t="shared" si="86"/>
        <v>IE/No Objeto_INGRESOS FINANCIEROS_INTERESES CON INSTITUCIONES FINANCIERAS_NO RELACIONADAS_Local</v>
      </c>
    </row>
    <row r="473" spans="1:38">
      <c r="A473" s="53"/>
      <c r="B473" s="53"/>
      <c r="C473" s="53"/>
      <c r="D473" s="53"/>
      <c r="E473" s="53"/>
      <c r="F473" s="53"/>
      <c r="G473" s="242" t="s">
        <v>26</v>
      </c>
      <c r="H473" s="242"/>
      <c r="I473" s="242"/>
      <c r="J473" s="242"/>
      <c r="K473" s="242"/>
      <c r="L473" s="9" t="s">
        <v>730</v>
      </c>
      <c r="M473" s="55" t="e">
        <f>VLOOKUP(L473,Casilleros!$A$4:$Q$830,17,FALSE)</f>
        <v>#REF!</v>
      </c>
      <c r="N473" s="9" t="s">
        <v>731</v>
      </c>
      <c r="O473" s="55" t="e">
        <f>VLOOKUP(N473,Casilleros!$A$4:$Q$830,17,FALSE)</f>
        <v>#REF!</v>
      </c>
      <c r="S473" s="61" t="str">
        <f t="shared" si="87"/>
        <v>6117</v>
      </c>
      <c r="T473" s="64" t="str">
        <f t="shared" si="81"/>
        <v>ESTADO DEL RESULTADO INTEGRAL</v>
      </c>
      <c r="U473" s="64" t="str">
        <f t="shared" si="85"/>
        <v>INGRESOS</v>
      </c>
      <c r="V473" s="64" t="str">
        <f t="shared" si="78"/>
        <v>INGRESOS FINANCIEROS Y OTROS NO OPERACIONALES</v>
      </c>
      <c r="W473" s="64" t="str">
        <f t="shared" si="79"/>
        <v>INGRESOS FINANCIEROS</v>
      </c>
      <c r="X473" s="64" t="str">
        <f t="shared" si="82"/>
        <v>INTERESES CON INSTITUCIONES FINANCIERAS</v>
      </c>
      <c r="Y473" s="64" t="str">
        <f t="shared" si="83"/>
        <v>NO RELACIONADAS</v>
      </c>
      <c r="Z473" s="64" t="str">
        <f t="shared" si="84"/>
        <v>Del exterior</v>
      </c>
      <c r="AA473" s="64" t="str">
        <f t="shared" si="80"/>
        <v>INGRESOS FINANCIEROS_INTERESES CON INSTITUCIONES FINANCIERAS_NO RELACIONADAS_Del exterior</v>
      </c>
      <c r="AC473" s="76" t="s">
        <v>731</v>
      </c>
      <c r="AD473" s="76" t="s">
        <v>561</v>
      </c>
      <c r="AE473" s="76" t="s">
        <v>562</v>
      </c>
      <c r="AF473" s="76" t="s">
        <v>703</v>
      </c>
      <c r="AG473" s="76" t="s">
        <v>704</v>
      </c>
      <c r="AH473" s="76" t="s">
        <v>723</v>
      </c>
      <c r="AI473" s="76" t="s">
        <v>78</v>
      </c>
      <c r="AJ473" s="76" t="s">
        <v>26</v>
      </c>
      <c r="AK473" s="76" t="s">
        <v>1539</v>
      </c>
      <c r="AL473" s="76" t="str">
        <f t="shared" si="86"/>
        <v>IE/No Objeto_INGRESOS FINANCIEROS_INTERESES CON INSTITUCIONES FINANCIERAS_NO RELACIONADAS_Del exterior</v>
      </c>
    </row>
    <row r="474" spans="1:38">
      <c r="A474" s="53"/>
      <c r="B474" s="53"/>
      <c r="C474" s="53"/>
      <c r="D474" s="53"/>
      <c r="E474" s="239" t="s">
        <v>732</v>
      </c>
      <c r="F474" s="239"/>
      <c r="G474" s="239"/>
      <c r="H474" s="239"/>
      <c r="I474" s="239"/>
      <c r="J474" s="239"/>
      <c r="K474" s="239"/>
      <c r="L474" s="239"/>
      <c r="M474" s="239"/>
      <c r="N474" s="239"/>
      <c r="O474" s="239"/>
      <c r="S474" s="61">
        <f t="shared" si="87"/>
        <v>0</v>
      </c>
      <c r="T474" s="64" t="str">
        <f t="shared" si="81"/>
        <v>ESTADO DEL RESULTADO INTEGRAL</v>
      </c>
      <c r="U474" s="64" t="str">
        <f t="shared" si="85"/>
        <v>INGRESOS</v>
      </c>
      <c r="V474" s="64" t="str">
        <f t="shared" si="78"/>
        <v>INGRESOS FINANCIEROS Y OTROS NO OPERACIONALES</v>
      </c>
      <c r="W474" s="64" t="str">
        <f t="shared" si="79"/>
        <v>INGRESOS FINANCIEROS</v>
      </c>
      <c r="X474" s="64" t="str">
        <f t="shared" si="82"/>
        <v>INTERESES DEVENGADOS CON TERCEROS</v>
      </c>
      <c r="Y474" s="64" t="str">
        <f t="shared" si="83"/>
        <v/>
      </c>
      <c r="Z474" s="64" t="str">
        <f t="shared" si="84"/>
        <v/>
      </c>
      <c r="AA474" s="64" t="str">
        <f t="shared" si="80"/>
        <v>INGRESOS FINANCIEROS_INTERESES DEVENGADOS CON TERCEROS__</v>
      </c>
      <c r="AC474" s="76">
        <v>0</v>
      </c>
      <c r="AD474" s="76" t="s">
        <v>561</v>
      </c>
      <c r="AE474" s="76" t="s">
        <v>562</v>
      </c>
      <c r="AF474" s="76" t="s">
        <v>703</v>
      </c>
      <c r="AG474" s="76" t="s">
        <v>704</v>
      </c>
      <c r="AH474" s="76" t="s">
        <v>732</v>
      </c>
      <c r="AI474" s="76" t="s">
        <v>444</v>
      </c>
      <c r="AJ474" s="76" t="s">
        <v>444</v>
      </c>
      <c r="AK474" s="76" t="s">
        <v>1540</v>
      </c>
      <c r="AL474" s="76" t="str">
        <f t="shared" si="86"/>
        <v>IE/No Objeto_INGRESOS FINANCIEROS_INTERESES DEVENGADOS CON TERCEROS__</v>
      </c>
    </row>
    <row r="475" spans="1:38">
      <c r="A475" s="53"/>
      <c r="B475" s="53"/>
      <c r="C475" s="53"/>
      <c r="D475" s="53"/>
      <c r="E475" s="53"/>
      <c r="F475" s="239" t="s">
        <v>72</v>
      </c>
      <c r="G475" s="239"/>
      <c r="H475" s="239"/>
      <c r="I475" s="239"/>
      <c r="J475" s="239"/>
      <c r="K475" s="239"/>
      <c r="L475" s="246" t="s">
        <v>565</v>
      </c>
      <c r="M475" s="246"/>
      <c r="N475" s="246" t="s">
        <v>566</v>
      </c>
      <c r="O475" s="246"/>
      <c r="S475" s="61" t="str">
        <f t="shared" si="87"/>
        <v>Total ingresos</v>
      </c>
      <c r="T475" s="64" t="str">
        <f t="shared" si="81"/>
        <v>ESTADO DEL RESULTADO INTEGRAL</v>
      </c>
      <c r="U475" s="64" t="str">
        <f t="shared" si="85"/>
        <v>INGRESOS</v>
      </c>
      <c r="V475" s="64" t="str">
        <f t="shared" si="78"/>
        <v>INGRESOS FINANCIEROS Y OTROS NO OPERACIONALES</v>
      </c>
      <c r="W475" s="64" t="str">
        <f t="shared" si="79"/>
        <v>INGRESOS FINANCIEROS</v>
      </c>
      <c r="X475" s="64" t="str">
        <f t="shared" si="82"/>
        <v>INTERESES DEVENGADOS CON TERCEROS</v>
      </c>
      <c r="Y475" s="64" t="str">
        <f t="shared" si="83"/>
        <v>RELACIONADAS</v>
      </c>
      <c r="Z475" s="64" t="str">
        <f t="shared" si="84"/>
        <v/>
      </c>
      <c r="AA475" s="64" t="str">
        <f t="shared" si="80"/>
        <v>INGRESOS FINANCIEROS_INTERESES DEVENGADOS CON TERCEROS_RELACIONADAS_</v>
      </c>
      <c r="AC475" s="76" t="s">
        <v>565</v>
      </c>
      <c r="AD475" s="76" t="s">
        <v>561</v>
      </c>
      <c r="AE475" s="76" t="s">
        <v>562</v>
      </c>
      <c r="AF475" s="76" t="s">
        <v>703</v>
      </c>
      <c r="AG475" s="76" t="s">
        <v>704</v>
      </c>
      <c r="AH475" s="76" t="s">
        <v>732</v>
      </c>
      <c r="AI475" s="76" t="s">
        <v>72</v>
      </c>
      <c r="AJ475" s="76" t="s">
        <v>444</v>
      </c>
      <c r="AK475" s="76" t="s">
        <v>1541</v>
      </c>
      <c r="AL475" s="76" t="str">
        <f t="shared" si="86"/>
        <v>IE/No Objeto_INGRESOS FINANCIEROS_INTERESES DEVENGADOS CON TERCEROS_RELACIONADAS_</v>
      </c>
    </row>
    <row r="476" spans="1:38">
      <c r="A476" s="53"/>
      <c r="B476" s="53"/>
      <c r="C476" s="53"/>
      <c r="D476" s="53"/>
      <c r="E476" s="53"/>
      <c r="F476" s="53"/>
      <c r="G476" s="242" t="s">
        <v>25</v>
      </c>
      <c r="H476" s="242"/>
      <c r="I476" s="242"/>
      <c r="J476" s="242"/>
      <c r="K476" s="242"/>
      <c r="L476" s="9" t="s">
        <v>733</v>
      </c>
      <c r="M476" s="55" t="e">
        <f>VLOOKUP(L476,Casilleros!$A$4:$Q$830,17,FALSE)</f>
        <v>#REF!</v>
      </c>
      <c r="N476" s="9" t="s">
        <v>734</v>
      </c>
      <c r="O476" s="55" t="e">
        <f>VLOOKUP(N476,Casilleros!$A$4:$Q$830,17,FALSE)</f>
        <v>#REF!</v>
      </c>
      <c r="S476" s="61" t="str">
        <f t="shared" si="87"/>
        <v>6119</v>
      </c>
      <c r="T476" s="64" t="str">
        <f t="shared" si="81"/>
        <v>ESTADO DEL RESULTADO INTEGRAL</v>
      </c>
      <c r="U476" s="64" t="str">
        <f t="shared" si="85"/>
        <v>INGRESOS</v>
      </c>
      <c r="V476" s="64" t="str">
        <f t="shared" ref="V476:V539" si="88">IF(U475&lt;&gt;U476,"",(IF(C476&lt;&gt;"",C476,V475)))</f>
        <v>INGRESOS FINANCIEROS Y OTROS NO OPERACIONALES</v>
      </c>
      <c r="W476" s="64" t="str">
        <f t="shared" ref="W476:W539" si="89">IF(V475&lt;&gt;V476,"",(IF(D476&lt;&gt;"",D476,W475)))</f>
        <v>INGRESOS FINANCIEROS</v>
      </c>
      <c r="X476" s="64" t="str">
        <f t="shared" si="82"/>
        <v>INTERESES DEVENGADOS CON TERCEROS</v>
      </c>
      <c r="Y476" s="64" t="str">
        <f t="shared" si="83"/>
        <v>RELACIONADAS</v>
      </c>
      <c r="Z476" s="64" t="str">
        <f t="shared" si="84"/>
        <v>Local</v>
      </c>
      <c r="AA476" s="64" t="str">
        <f t="shared" ref="AA476:AA486" si="90">IF(X476&lt;&gt;"",CONCATENATE(W476,"_",X476,"_",Y476,"_",Z476),W476)</f>
        <v>INGRESOS FINANCIEROS_INTERESES DEVENGADOS CON TERCEROS_RELACIONADAS_Local</v>
      </c>
      <c r="AC476" s="76" t="s">
        <v>734</v>
      </c>
      <c r="AD476" s="76" t="s">
        <v>561</v>
      </c>
      <c r="AE476" s="76" t="s">
        <v>562</v>
      </c>
      <c r="AF476" s="76" t="s">
        <v>703</v>
      </c>
      <c r="AG476" s="76" t="s">
        <v>704</v>
      </c>
      <c r="AH476" s="76" t="s">
        <v>732</v>
      </c>
      <c r="AI476" s="76" t="s">
        <v>72</v>
      </c>
      <c r="AJ476" s="76" t="s">
        <v>25</v>
      </c>
      <c r="AK476" s="76" t="s">
        <v>1542</v>
      </c>
      <c r="AL476" s="76" t="str">
        <f t="shared" si="86"/>
        <v>IE/No Objeto_INGRESOS FINANCIEROS_INTERESES DEVENGADOS CON TERCEROS_RELACIONADAS_Local</v>
      </c>
    </row>
    <row r="477" spans="1:38">
      <c r="A477" s="53"/>
      <c r="B477" s="53"/>
      <c r="C477" s="53"/>
      <c r="D477" s="53"/>
      <c r="E477" s="53"/>
      <c r="F477" s="53"/>
      <c r="G477" s="242" t="s">
        <v>26</v>
      </c>
      <c r="H477" s="242"/>
      <c r="I477" s="242"/>
      <c r="J477" s="242"/>
      <c r="K477" s="242"/>
      <c r="L477" s="9" t="s">
        <v>735</v>
      </c>
      <c r="M477" s="55" t="e">
        <f>VLOOKUP(L477,Casilleros!$A$4:$Q$830,17,FALSE)</f>
        <v>#REF!</v>
      </c>
      <c r="N477" s="9" t="s">
        <v>736</v>
      </c>
      <c r="O477" s="55" t="e">
        <f>VLOOKUP(N477,Casilleros!$A$4:$Q$830,17,FALSE)</f>
        <v>#REF!</v>
      </c>
      <c r="S477" s="61" t="str">
        <f t="shared" si="87"/>
        <v>6121</v>
      </c>
      <c r="T477" s="64" t="str">
        <f t="shared" ref="T477:T509" si="91">IF(A477&lt;&gt;"",A477,T476)</f>
        <v>ESTADO DEL RESULTADO INTEGRAL</v>
      </c>
      <c r="U477" s="64" t="str">
        <f t="shared" si="85"/>
        <v>INGRESOS</v>
      </c>
      <c r="V477" s="64" t="str">
        <f t="shared" si="88"/>
        <v>INGRESOS FINANCIEROS Y OTROS NO OPERACIONALES</v>
      </c>
      <c r="W477" s="64" t="str">
        <f t="shared" si="89"/>
        <v>INGRESOS FINANCIEROS</v>
      </c>
      <c r="X477" s="64" t="str">
        <f t="shared" si="82"/>
        <v>INTERESES DEVENGADOS CON TERCEROS</v>
      </c>
      <c r="Y477" s="64" t="str">
        <f t="shared" si="83"/>
        <v>RELACIONADAS</v>
      </c>
      <c r="Z477" s="64" t="str">
        <f t="shared" si="84"/>
        <v>Del exterior</v>
      </c>
      <c r="AA477" s="64" t="str">
        <f t="shared" si="90"/>
        <v>INGRESOS FINANCIEROS_INTERESES DEVENGADOS CON TERCEROS_RELACIONADAS_Del exterior</v>
      </c>
      <c r="AC477" s="76" t="s">
        <v>736</v>
      </c>
      <c r="AD477" s="76" t="s">
        <v>561</v>
      </c>
      <c r="AE477" s="76" t="s">
        <v>562</v>
      </c>
      <c r="AF477" s="76" t="s">
        <v>703</v>
      </c>
      <c r="AG477" s="76" t="s">
        <v>704</v>
      </c>
      <c r="AH477" s="76" t="s">
        <v>732</v>
      </c>
      <c r="AI477" s="76" t="s">
        <v>72</v>
      </c>
      <c r="AJ477" s="76" t="s">
        <v>26</v>
      </c>
      <c r="AK477" s="76" t="s">
        <v>1543</v>
      </c>
      <c r="AL477" s="76" t="str">
        <f t="shared" si="86"/>
        <v>IE/No Objeto_INGRESOS FINANCIEROS_INTERESES DEVENGADOS CON TERCEROS_RELACIONADAS_Del exterior</v>
      </c>
    </row>
    <row r="478" spans="1:38">
      <c r="A478" s="53"/>
      <c r="B478" s="53"/>
      <c r="C478" s="53"/>
      <c r="D478" s="53"/>
      <c r="E478" s="53"/>
      <c r="F478" s="239" t="s">
        <v>78</v>
      </c>
      <c r="G478" s="239" t="s">
        <v>444</v>
      </c>
      <c r="H478" s="239"/>
      <c r="I478" s="239"/>
      <c r="J478" s="239"/>
      <c r="K478" s="239"/>
      <c r="L478" s="246" t="s">
        <v>565</v>
      </c>
      <c r="M478" s="246"/>
      <c r="N478" s="246" t="s">
        <v>566</v>
      </c>
      <c r="O478" s="246"/>
      <c r="S478" s="61" t="str">
        <f t="shared" si="87"/>
        <v>Total ingresos</v>
      </c>
      <c r="T478" s="64" t="str">
        <f t="shared" si="91"/>
        <v>ESTADO DEL RESULTADO INTEGRAL</v>
      </c>
      <c r="U478" s="64" t="str">
        <f t="shared" si="85"/>
        <v>INGRESOS</v>
      </c>
      <c r="V478" s="64" t="str">
        <f t="shared" si="88"/>
        <v>INGRESOS FINANCIEROS Y OTROS NO OPERACIONALES</v>
      </c>
      <c r="W478" s="64" t="str">
        <f t="shared" si="89"/>
        <v>INGRESOS FINANCIEROS</v>
      </c>
      <c r="X478" s="64" t="str">
        <f t="shared" si="82"/>
        <v>INTERESES DEVENGADOS CON TERCEROS</v>
      </c>
      <c r="Y478" s="64" t="str">
        <f t="shared" si="83"/>
        <v>NO RELACIONADAS</v>
      </c>
      <c r="Z478" s="64" t="str">
        <f t="shared" si="84"/>
        <v/>
      </c>
      <c r="AA478" s="64" t="str">
        <f t="shared" si="90"/>
        <v>INGRESOS FINANCIEROS_INTERESES DEVENGADOS CON TERCEROS_NO RELACIONADAS_</v>
      </c>
      <c r="AC478" s="76" t="s">
        <v>565</v>
      </c>
      <c r="AD478" s="76" t="s">
        <v>561</v>
      </c>
      <c r="AE478" s="76" t="s">
        <v>562</v>
      </c>
      <c r="AF478" s="76" t="s">
        <v>703</v>
      </c>
      <c r="AG478" s="76" t="s">
        <v>704</v>
      </c>
      <c r="AH478" s="76" t="s">
        <v>732</v>
      </c>
      <c r="AI478" s="76" t="s">
        <v>78</v>
      </c>
      <c r="AJ478" s="76" t="s">
        <v>444</v>
      </c>
      <c r="AK478" s="76" t="s">
        <v>1544</v>
      </c>
      <c r="AL478" s="76" t="str">
        <f t="shared" si="86"/>
        <v>IE/No Objeto_INGRESOS FINANCIEROS_INTERESES DEVENGADOS CON TERCEROS_NO RELACIONADAS_</v>
      </c>
    </row>
    <row r="479" spans="1:38">
      <c r="A479" s="53"/>
      <c r="B479" s="53"/>
      <c r="C479" s="53"/>
      <c r="D479" s="53"/>
      <c r="E479" s="53"/>
      <c r="F479" s="53"/>
      <c r="G479" s="242" t="s">
        <v>25</v>
      </c>
      <c r="H479" s="242"/>
      <c r="I479" s="242"/>
      <c r="J479" s="242"/>
      <c r="K479" s="242"/>
      <c r="L479" s="9" t="s">
        <v>737</v>
      </c>
      <c r="M479" s="55" t="e">
        <f>VLOOKUP(L479,Casilleros!$A$4:$Q$830,17,FALSE)</f>
        <v>#REF!</v>
      </c>
      <c r="N479" s="9" t="s">
        <v>738</v>
      </c>
      <c r="O479" s="55" t="e">
        <f>VLOOKUP(N479,Casilleros!$A$4:$Q$830,17,FALSE)</f>
        <v>#REF!</v>
      </c>
      <c r="S479" s="61" t="str">
        <f t="shared" si="87"/>
        <v>6123</v>
      </c>
      <c r="T479" s="64" t="str">
        <f t="shared" si="91"/>
        <v>ESTADO DEL RESULTADO INTEGRAL</v>
      </c>
      <c r="U479" s="64" t="str">
        <f t="shared" si="85"/>
        <v>INGRESOS</v>
      </c>
      <c r="V479" s="64" t="str">
        <f t="shared" si="88"/>
        <v>INGRESOS FINANCIEROS Y OTROS NO OPERACIONALES</v>
      </c>
      <c r="W479" s="64" t="str">
        <f t="shared" si="89"/>
        <v>INGRESOS FINANCIEROS</v>
      </c>
      <c r="X479" s="64" t="str">
        <f t="shared" si="82"/>
        <v>INTERESES DEVENGADOS CON TERCEROS</v>
      </c>
      <c r="Y479" s="64" t="str">
        <f t="shared" si="83"/>
        <v>NO RELACIONADAS</v>
      </c>
      <c r="Z479" s="64" t="str">
        <f t="shared" si="84"/>
        <v>Local</v>
      </c>
      <c r="AA479" s="64" t="str">
        <f t="shared" si="90"/>
        <v>INGRESOS FINANCIEROS_INTERESES DEVENGADOS CON TERCEROS_NO RELACIONADAS_Local</v>
      </c>
      <c r="AC479" s="76" t="s">
        <v>738</v>
      </c>
      <c r="AD479" s="76" t="s">
        <v>561</v>
      </c>
      <c r="AE479" s="76" t="s">
        <v>562</v>
      </c>
      <c r="AF479" s="76" t="s">
        <v>703</v>
      </c>
      <c r="AG479" s="76" t="s">
        <v>704</v>
      </c>
      <c r="AH479" s="76" t="s">
        <v>732</v>
      </c>
      <c r="AI479" s="76" t="s">
        <v>78</v>
      </c>
      <c r="AJ479" s="76" t="s">
        <v>25</v>
      </c>
      <c r="AK479" s="76" t="s">
        <v>1545</v>
      </c>
      <c r="AL479" s="76" t="str">
        <f t="shared" si="86"/>
        <v>IE/No Objeto_INGRESOS FINANCIEROS_INTERESES DEVENGADOS CON TERCEROS_NO RELACIONADAS_Local</v>
      </c>
    </row>
    <row r="480" spans="1:38">
      <c r="A480" s="53"/>
      <c r="B480" s="53"/>
      <c r="C480" s="53"/>
      <c r="D480" s="53"/>
      <c r="E480" s="53"/>
      <c r="F480" s="53"/>
      <c r="G480" s="242" t="s">
        <v>26</v>
      </c>
      <c r="H480" s="242"/>
      <c r="I480" s="242"/>
      <c r="J480" s="242"/>
      <c r="K480" s="242"/>
      <c r="L480" s="9" t="s">
        <v>739</v>
      </c>
      <c r="M480" s="55" t="e">
        <f>VLOOKUP(L480,Casilleros!$A$4:$Q$830,17,FALSE)</f>
        <v>#REF!</v>
      </c>
      <c r="N480" s="9" t="s">
        <v>740</v>
      </c>
      <c r="O480" s="55" t="e">
        <f>VLOOKUP(N480,Casilleros!$A$4:$Q$830,17,FALSE)</f>
        <v>#REF!</v>
      </c>
      <c r="S480" s="61" t="str">
        <f t="shared" si="87"/>
        <v>6125</v>
      </c>
      <c r="T480" s="64" t="str">
        <f t="shared" si="91"/>
        <v>ESTADO DEL RESULTADO INTEGRAL</v>
      </c>
      <c r="U480" s="64" t="str">
        <f t="shared" si="85"/>
        <v>INGRESOS</v>
      </c>
      <c r="V480" s="64" t="str">
        <f t="shared" si="88"/>
        <v>INGRESOS FINANCIEROS Y OTROS NO OPERACIONALES</v>
      </c>
      <c r="W480" s="64" t="str">
        <f t="shared" si="89"/>
        <v>INGRESOS FINANCIEROS</v>
      </c>
      <c r="X480" s="64" t="str">
        <f t="shared" si="82"/>
        <v>INTERESES DEVENGADOS CON TERCEROS</v>
      </c>
      <c r="Y480" s="64" t="str">
        <f t="shared" si="83"/>
        <v>NO RELACIONADAS</v>
      </c>
      <c r="Z480" s="64" t="str">
        <f t="shared" si="84"/>
        <v>Del exterior</v>
      </c>
      <c r="AA480" s="64" t="str">
        <f t="shared" si="90"/>
        <v>INGRESOS FINANCIEROS_INTERESES DEVENGADOS CON TERCEROS_NO RELACIONADAS_Del exterior</v>
      </c>
      <c r="AC480" s="76" t="s">
        <v>740</v>
      </c>
      <c r="AD480" s="76" t="s">
        <v>561</v>
      </c>
      <c r="AE480" s="76" t="s">
        <v>562</v>
      </c>
      <c r="AF480" s="76" t="s">
        <v>703</v>
      </c>
      <c r="AG480" s="76" t="s">
        <v>704</v>
      </c>
      <c r="AH480" s="76" t="s">
        <v>732</v>
      </c>
      <c r="AI480" s="76" t="s">
        <v>78</v>
      </c>
      <c r="AJ480" s="76" t="s">
        <v>26</v>
      </c>
      <c r="AK480" s="76" t="s">
        <v>1546</v>
      </c>
      <c r="AL480" s="76" t="str">
        <f t="shared" si="86"/>
        <v>IE/No Objeto_INGRESOS FINANCIEROS_INTERESES DEVENGADOS CON TERCEROS_NO RELACIONADAS_Del exterior</v>
      </c>
    </row>
    <row r="481" spans="1:425">
      <c r="A481" s="53"/>
      <c r="B481" s="53"/>
      <c r="C481" s="53"/>
      <c r="D481" s="53"/>
      <c r="E481" s="252" t="s">
        <v>741</v>
      </c>
      <c r="F481" s="252"/>
      <c r="G481" s="252"/>
      <c r="H481" s="252"/>
      <c r="I481" s="252"/>
      <c r="J481" s="252"/>
      <c r="K481" s="252"/>
      <c r="L481" s="246" t="s">
        <v>565</v>
      </c>
      <c r="M481" s="246"/>
      <c r="N481" s="246" t="s">
        <v>566</v>
      </c>
      <c r="O481" s="246"/>
      <c r="S481" s="61" t="str">
        <f t="shared" si="87"/>
        <v>Total ingresos</v>
      </c>
      <c r="T481" s="64" t="str">
        <f t="shared" si="91"/>
        <v>ESTADO DEL RESULTADO INTEGRAL</v>
      </c>
      <c r="U481" s="64" t="str">
        <f t="shared" si="85"/>
        <v>INGRESOS</v>
      </c>
      <c r="V481" s="64" t="str">
        <f t="shared" si="88"/>
        <v>INGRESOS FINANCIEROS Y OTROS NO OPERACIONALES</v>
      </c>
      <c r="W481" s="64" t="str">
        <f t="shared" si="89"/>
        <v>INGRESOS FINANCIEROS</v>
      </c>
      <c r="X481" s="64" t="str">
        <f t="shared" si="82"/>
        <v>.</v>
      </c>
      <c r="Y481" s="64" t="str">
        <f t="shared" si="83"/>
        <v/>
      </c>
      <c r="Z481" s="64" t="str">
        <f t="shared" si="84"/>
        <v/>
      </c>
      <c r="AA481" s="64" t="str">
        <f t="shared" si="90"/>
        <v>INGRESOS FINANCIEROS_.__</v>
      </c>
      <c r="AC481" s="76" t="s">
        <v>565</v>
      </c>
      <c r="AD481" s="76" t="s">
        <v>561</v>
      </c>
      <c r="AE481" s="76" t="s">
        <v>562</v>
      </c>
      <c r="AF481" s="76" t="s">
        <v>703</v>
      </c>
      <c r="AG481" s="76" t="s">
        <v>704</v>
      </c>
      <c r="AH481" s="76" t="s">
        <v>741</v>
      </c>
      <c r="AI481" s="76" t="s">
        <v>444</v>
      </c>
      <c r="AJ481" s="76" t="s">
        <v>444</v>
      </c>
      <c r="AK481" s="76" t="s">
        <v>1547</v>
      </c>
      <c r="AL481" s="76" t="str">
        <f t="shared" si="86"/>
        <v>IE/No Objeto_INGRESOS FINANCIEROS_.__</v>
      </c>
    </row>
    <row r="482" spans="1:425">
      <c r="A482" s="53"/>
      <c r="B482" s="53"/>
      <c r="C482" s="53"/>
      <c r="D482" s="53"/>
      <c r="E482" s="242" t="s">
        <v>742</v>
      </c>
      <c r="F482" s="242"/>
      <c r="G482" s="242"/>
      <c r="H482" s="242"/>
      <c r="I482" s="242"/>
      <c r="J482" s="242"/>
      <c r="K482" s="242"/>
      <c r="L482" s="9" t="s">
        <v>743</v>
      </c>
      <c r="M482" s="55" t="e">
        <f>VLOOKUP(L482,Casilleros!$A$4:$Q$830,17,FALSE)</f>
        <v>#REF!</v>
      </c>
      <c r="N482" s="9" t="s">
        <v>744</v>
      </c>
      <c r="O482" s="55" t="e">
        <f>VLOOKUP(N482,Casilleros!$A$4:$Q$830,17,FALSE)</f>
        <v>#REF!</v>
      </c>
      <c r="S482" s="61" t="str">
        <f t="shared" si="87"/>
        <v>6127</v>
      </c>
      <c r="T482" s="64" t="str">
        <f t="shared" si="91"/>
        <v>ESTADO DEL RESULTADO INTEGRAL</v>
      </c>
      <c r="U482" s="64" t="str">
        <f t="shared" si="85"/>
        <v>INGRESOS</v>
      </c>
      <c r="V482" s="64" t="str">
        <f t="shared" si="88"/>
        <v>INGRESOS FINANCIEROS Y OTROS NO OPERACIONALES</v>
      </c>
      <c r="W482" s="64" t="str">
        <f t="shared" si="89"/>
        <v>INGRESOS FINANCIEROS</v>
      </c>
      <c r="X482" s="64" t="str">
        <f t="shared" si="82"/>
        <v>Intereses implícitos devengados por acuerdos que constituyen efectivamente una transacción financiera o cobro diferido</v>
      </c>
      <c r="Y482" s="64" t="str">
        <f t="shared" si="83"/>
        <v/>
      </c>
      <c r="Z482" s="64" t="str">
        <f t="shared" si="84"/>
        <v/>
      </c>
      <c r="AA482" s="64" t="str">
        <f t="shared" si="90"/>
        <v>INGRESOS FINANCIEROS_Intereses implícitos devengados por acuerdos que constituyen efectivamente una transacción financiera o cobro diferido__</v>
      </c>
      <c r="AC482" s="76" t="s">
        <v>744</v>
      </c>
      <c r="AD482" s="76" t="s">
        <v>561</v>
      </c>
      <c r="AE482" s="76" t="s">
        <v>562</v>
      </c>
      <c r="AF482" s="76" t="s">
        <v>703</v>
      </c>
      <c r="AG482" s="76" t="s">
        <v>704</v>
      </c>
      <c r="AH482" s="76" t="s">
        <v>742</v>
      </c>
      <c r="AI482" s="76" t="s">
        <v>444</v>
      </c>
      <c r="AJ482" s="76" t="s">
        <v>444</v>
      </c>
      <c r="AK482" s="76" t="s">
        <v>1548</v>
      </c>
      <c r="AL482" s="76" t="str">
        <f t="shared" si="86"/>
        <v>IE/No Objeto_INGRESOS FINANCIEROS_Intereses implícitos devengados por acuerdos que constituyen efectivamente una transacción financiera o cobro diferido__</v>
      </c>
    </row>
    <row r="483" spans="1:425">
      <c r="A483" s="53"/>
      <c r="B483" s="53"/>
      <c r="C483" s="53"/>
      <c r="D483" s="53"/>
      <c r="E483" s="242" t="s">
        <v>122</v>
      </c>
      <c r="F483" s="242"/>
      <c r="G483" s="242"/>
      <c r="H483" s="242"/>
      <c r="I483" s="242"/>
      <c r="J483" s="242"/>
      <c r="K483" s="242"/>
      <c r="L483" s="9" t="s">
        <v>745</v>
      </c>
      <c r="M483" s="55" t="e">
        <f>VLOOKUP(L483,Casilleros!$A$4:$Q$830,17,FALSE)</f>
        <v>#REF!</v>
      </c>
      <c r="N483" s="9" t="s">
        <v>746</v>
      </c>
      <c r="O483" s="55" t="e">
        <f>VLOOKUP(N483,Casilleros!$A$4:$Q$830,17,FALSE)</f>
        <v>#REF!</v>
      </c>
      <c r="S483" s="61" t="str">
        <f t="shared" si="87"/>
        <v>6129</v>
      </c>
      <c r="T483" s="64" t="str">
        <f t="shared" si="91"/>
        <v>ESTADO DEL RESULTADO INTEGRAL</v>
      </c>
      <c r="U483" s="64" t="str">
        <f t="shared" si="85"/>
        <v>INGRESOS</v>
      </c>
      <c r="V483" s="64" t="str">
        <f t="shared" si="88"/>
        <v>INGRESOS FINANCIEROS Y OTROS NO OPERACIONALES</v>
      </c>
      <c r="W483" s="64" t="str">
        <f t="shared" si="89"/>
        <v>INGRESOS FINANCIEROS</v>
      </c>
      <c r="X483" s="64" t="str">
        <f t="shared" si="82"/>
        <v>Otros</v>
      </c>
      <c r="Y483" s="64" t="str">
        <f t="shared" si="83"/>
        <v/>
      </c>
      <c r="Z483" s="64" t="str">
        <f t="shared" si="84"/>
        <v/>
      </c>
      <c r="AA483" s="64" t="str">
        <f t="shared" si="90"/>
        <v>INGRESOS FINANCIEROS_Otros__</v>
      </c>
      <c r="AC483" s="76" t="s">
        <v>746</v>
      </c>
      <c r="AD483" s="76" t="s">
        <v>561</v>
      </c>
      <c r="AE483" s="76" t="s">
        <v>562</v>
      </c>
      <c r="AF483" s="76" t="s">
        <v>703</v>
      </c>
      <c r="AG483" s="76" t="s">
        <v>704</v>
      </c>
      <c r="AH483" s="76" t="s">
        <v>122</v>
      </c>
      <c r="AI483" s="76" t="s">
        <v>444</v>
      </c>
      <c r="AJ483" s="76" t="s">
        <v>444</v>
      </c>
      <c r="AK483" s="76" t="s">
        <v>1549</v>
      </c>
      <c r="AL483" s="76" t="str">
        <f t="shared" si="86"/>
        <v>IE/No Objeto_INGRESOS FINANCIEROS_Otros__</v>
      </c>
    </row>
    <row r="484" spans="1:425">
      <c r="A484" s="53"/>
      <c r="B484" s="53"/>
      <c r="C484" s="53"/>
      <c r="D484" s="242" t="s">
        <v>747</v>
      </c>
      <c r="E484" s="242"/>
      <c r="F484" s="242"/>
      <c r="G484" s="242"/>
      <c r="H484" s="242"/>
      <c r="I484" s="242"/>
      <c r="J484" s="242"/>
      <c r="K484" s="242"/>
      <c r="L484" s="9" t="s">
        <v>748</v>
      </c>
      <c r="M484" s="55" t="e">
        <f>VLOOKUP(L484,Casilleros!$A$4:$Q$830,17,FALSE)</f>
        <v>#REF!</v>
      </c>
      <c r="N484" s="9" t="s">
        <v>749</v>
      </c>
      <c r="O484" s="55" t="e">
        <f>VLOOKUP(N484,Casilleros!$A$4:$Q$830,17,FALSE)</f>
        <v>#REF!</v>
      </c>
      <c r="S484" s="61" t="str">
        <f t="shared" si="87"/>
        <v>6131</v>
      </c>
      <c r="T484" s="64" t="str">
        <f t="shared" si="91"/>
        <v>ESTADO DEL RESULTADO INTEGRAL</v>
      </c>
      <c r="U484" s="64" t="str">
        <f t="shared" si="85"/>
        <v>INGRESOS</v>
      </c>
      <c r="V484" s="64" t="str">
        <f t="shared" si="88"/>
        <v>INGRESOS FINANCIEROS Y OTROS NO OPERACIONALES</v>
      </c>
      <c r="W484" s="64" t="str">
        <f t="shared" si="89"/>
        <v>Ganancias por medición de inversiones en asociadas y negocios conjuntos al método de la participación (valor patrimonial proporcional)</v>
      </c>
      <c r="X484" s="64" t="str">
        <f t="shared" si="82"/>
        <v/>
      </c>
      <c r="Y484" s="64" t="str">
        <f t="shared" si="83"/>
        <v/>
      </c>
      <c r="Z484" s="64" t="str">
        <f t="shared" si="84"/>
        <v/>
      </c>
      <c r="AA484" s="64" t="str">
        <f t="shared" si="90"/>
        <v>Ganancias por medición de inversiones en asociadas y negocios conjuntos al método de la participación (valor patrimonial proporcional)</v>
      </c>
      <c r="AC484" s="76" t="s">
        <v>749</v>
      </c>
      <c r="AD484" s="76" t="s">
        <v>561</v>
      </c>
      <c r="AE484" s="76" t="s">
        <v>562</v>
      </c>
      <c r="AF484" s="76" t="s">
        <v>703</v>
      </c>
      <c r="AG484" s="76" t="s">
        <v>747</v>
      </c>
      <c r="AH484" s="76" t="s">
        <v>444</v>
      </c>
      <c r="AI484" s="76" t="s">
        <v>444</v>
      </c>
      <c r="AJ484" s="76" t="s">
        <v>444</v>
      </c>
      <c r="AK484" s="76" t="s">
        <v>747</v>
      </c>
      <c r="AL484" s="76" t="str">
        <f t="shared" si="86"/>
        <v>IE/No Objeto_Ganancias por medición de inversiones en asociadas y negocios conjuntos al método de la participación (valor patrimonial proporcional)</v>
      </c>
    </row>
    <row r="485" spans="1:425">
      <c r="A485" s="53"/>
      <c r="B485" s="53"/>
      <c r="C485" s="53"/>
      <c r="D485" s="242" t="s">
        <v>122</v>
      </c>
      <c r="E485" s="242"/>
      <c r="F485" s="242"/>
      <c r="G485" s="242"/>
      <c r="H485" s="242"/>
      <c r="I485" s="242"/>
      <c r="J485" s="242"/>
      <c r="K485" s="242"/>
      <c r="L485" s="9" t="s">
        <v>750</v>
      </c>
      <c r="M485" s="74" t="e">
        <f>VLOOKUP(L485,Casilleros!$A$4:$Q$830,17,FALSE)</f>
        <v>#REF!</v>
      </c>
      <c r="N485" s="9" t="s">
        <v>751</v>
      </c>
      <c r="O485" s="55" t="e">
        <f>VLOOKUP(N485,Casilleros!$A$4:$Q$830,17,FALSE)</f>
        <v>#REF!</v>
      </c>
      <c r="S485" s="61" t="str">
        <f t="shared" si="87"/>
        <v>6133</v>
      </c>
      <c r="T485" s="64" t="str">
        <f t="shared" si="91"/>
        <v>ESTADO DEL RESULTADO INTEGRAL</v>
      </c>
      <c r="U485" s="64" t="str">
        <f t="shared" si="85"/>
        <v>INGRESOS</v>
      </c>
      <c r="V485" s="64" t="str">
        <f t="shared" si="88"/>
        <v>INGRESOS FINANCIEROS Y OTROS NO OPERACIONALES</v>
      </c>
      <c r="W485" s="64" t="str">
        <f t="shared" si="89"/>
        <v>Otros</v>
      </c>
      <c r="X485" s="64" t="str">
        <f t="shared" si="82"/>
        <v/>
      </c>
      <c r="Y485" s="64" t="str">
        <f t="shared" si="83"/>
        <v/>
      </c>
      <c r="Z485" s="64" t="str">
        <f t="shared" si="84"/>
        <v/>
      </c>
      <c r="AA485" s="64" t="str">
        <f t="shared" si="90"/>
        <v>Otros</v>
      </c>
      <c r="AC485" s="76" t="s">
        <v>751</v>
      </c>
      <c r="AD485" s="76" t="s">
        <v>561</v>
      </c>
      <c r="AE485" s="76" t="s">
        <v>562</v>
      </c>
      <c r="AF485" s="76" t="s">
        <v>703</v>
      </c>
      <c r="AG485" s="76" t="s">
        <v>122</v>
      </c>
      <c r="AH485" s="76" t="s">
        <v>444</v>
      </c>
      <c r="AI485" s="76" t="s">
        <v>444</v>
      </c>
      <c r="AJ485" s="76" t="s">
        <v>444</v>
      </c>
      <c r="AK485" s="76" t="s">
        <v>122</v>
      </c>
      <c r="AL485" s="76" t="str">
        <f t="shared" si="86"/>
        <v>IE/No Objeto_Otros</v>
      </c>
    </row>
    <row r="486" spans="1:425">
      <c r="A486" s="53"/>
      <c r="B486" s="53"/>
      <c r="C486" s="251" t="s">
        <v>752</v>
      </c>
      <c r="D486" s="251"/>
      <c r="E486" s="251"/>
      <c r="F486" s="251"/>
      <c r="G486" s="251"/>
      <c r="H486" s="251"/>
      <c r="I486" s="251"/>
      <c r="J486" s="251"/>
      <c r="K486" s="251"/>
      <c r="L486" s="246" t="s">
        <v>565</v>
      </c>
      <c r="M486" s="246"/>
      <c r="N486" s="246" t="s">
        <v>753</v>
      </c>
      <c r="O486" s="246"/>
      <c r="S486" s="61" t="str">
        <f t="shared" si="87"/>
        <v>Total ingresos</v>
      </c>
      <c r="T486" s="64" t="str">
        <f t="shared" si="91"/>
        <v>ESTADO DEL RESULTADO INTEGRAL</v>
      </c>
      <c r="U486" s="64" t="str">
        <f t="shared" si="85"/>
        <v>INGRESOS</v>
      </c>
      <c r="V486" s="64" t="str">
        <f t="shared" si="88"/>
        <v>,</v>
      </c>
      <c r="W486" s="64" t="str">
        <f t="shared" si="89"/>
        <v/>
      </c>
      <c r="X486" s="64" t="str">
        <f t="shared" si="82"/>
        <v/>
      </c>
      <c r="Y486" s="64" t="str">
        <f t="shared" si="83"/>
        <v/>
      </c>
      <c r="Z486" s="64" t="str">
        <f t="shared" si="84"/>
        <v/>
      </c>
      <c r="AA486" s="64" t="str">
        <f t="shared" si="90"/>
        <v/>
      </c>
      <c r="AC486" s="76" t="s">
        <v>565</v>
      </c>
      <c r="AD486" s="76" t="s">
        <v>561</v>
      </c>
      <c r="AE486" s="76" t="s">
        <v>562</v>
      </c>
      <c r="AF486" s="76" t="s">
        <v>752</v>
      </c>
      <c r="AG486" s="76" t="s">
        <v>444</v>
      </c>
      <c r="AH486" s="76" t="s">
        <v>444</v>
      </c>
      <c r="AI486" s="76" t="s">
        <v>444</v>
      </c>
      <c r="AJ486" s="76" t="s">
        <v>444</v>
      </c>
      <c r="AK486" s="76" t="s">
        <v>444</v>
      </c>
      <c r="AL486" s="76" t="str">
        <f t="shared" si="86"/>
        <v>IE/No Objeto_</v>
      </c>
    </row>
    <row r="487" spans="1:425">
      <c r="A487" s="53"/>
      <c r="B487" s="53"/>
      <c r="C487" s="235" t="s">
        <v>754</v>
      </c>
      <c r="D487" s="235"/>
      <c r="E487" s="235"/>
      <c r="F487" s="235"/>
      <c r="G487" s="235"/>
      <c r="H487" s="235"/>
      <c r="I487" s="235"/>
      <c r="J487" s="235"/>
      <c r="K487" s="235"/>
      <c r="L487" s="9" t="s">
        <v>755</v>
      </c>
      <c r="M487" s="55" t="e">
        <f>VLOOKUP(L487,Casilleros!$A$4:$Q$830,17,FALSE)</f>
        <v>#REF!</v>
      </c>
      <c r="N487" s="9" t="s">
        <v>756</v>
      </c>
      <c r="O487" s="55" t="e">
        <f>VLOOKUP(N487,Casilleros!$A$4:$Q$830,17,FALSE)</f>
        <v>#REF!</v>
      </c>
      <c r="S487" s="61" t="str">
        <f t="shared" si="87"/>
        <v>6135</v>
      </c>
      <c r="T487" s="64" t="str">
        <f t="shared" si="91"/>
        <v>ESTADO DEL RESULTADO INTEGRAL</v>
      </c>
      <c r="U487" s="64" t="str">
        <f t="shared" si="85"/>
        <v>INGRESOS</v>
      </c>
      <c r="V487" s="64" t="str">
        <f t="shared" si="88"/>
        <v>Ganancias netas procedentes de actividades discontinuadas</v>
      </c>
      <c r="W487" s="64" t="str">
        <f t="shared" si="89"/>
        <v/>
      </c>
      <c r="X487" s="64" t="str">
        <f t="shared" si="82"/>
        <v/>
      </c>
      <c r="Y487" s="64" t="str">
        <f t="shared" si="83"/>
        <v/>
      </c>
      <c r="Z487" s="64" t="str">
        <f t="shared" si="84"/>
        <v/>
      </c>
      <c r="AA487" s="69" t="str">
        <f>+V487</f>
        <v>Ganancias netas procedentes de actividades discontinuadas</v>
      </c>
      <c r="AC487" s="76" t="s">
        <v>756</v>
      </c>
      <c r="AD487" s="76" t="s">
        <v>561</v>
      </c>
      <c r="AE487" s="76" t="s">
        <v>562</v>
      </c>
      <c r="AF487" s="76" t="s">
        <v>754</v>
      </c>
      <c r="AG487" s="76" t="s">
        <v>444</v>
      </c>
      <c r="AH487" s="76" t="s">
        <v>444</v>
      </c>
      <c r="AI487" s="76" t="s">
        <v>444</v>
      </c>
      <c r="AJ487" s="76" t="s">
        <v>444</v>
      </c>
      <c r="AK487" s="76" t="s">
        <v>754</v>
      </c>
      <c r="AL487" s="76" t="str">
        <f t="shared" si="86"/>
        <v>IE/No Objeto_Ganancias netas procedentes de actividades discontinuadas</v>
      </c>
    </row>
    <row r="488" spans="1:425" s="80" customFormat="1">
      <c r="A488" s="77"/>
      <c r="B488" s="77"/>
      <c r="C488" s="249" t="s">
        <v>757</v>
      </c>
      <c r="D488" s="249"/>
      <c r="E488" s="249"/>
      <c r="F488" s="249"/>
      <c r="G488" s="249"/>
      <c r="H488" s="249"/>
      <c r="I488" s="249"/>
      <c r="J488" s="249"/>
      <c r="K488" s="249"/>
      <c r="L488" s="78" t="s">
        <v>758</v>
      </c>
      <c r="M488" s="79" t="e">
        <f>SUM(M405:M487)</f>
        <v>#REF!</v>
      </c>
      <c r="N488" s="253"/>
      <c r="O488" s="253"/>
      <c r="P488" s="67"/>
      <c r="Q488" s="67"/>
      <c r="R488" s="67"/>
      <c r="S488" s="67" t="str">
        <f>L488</f>
        <v>1045</v>
      </c>
      <c r="T488" s="64" t="str">
        <f t="shared" si="91"/>
        <v>ESTADO DEL RESULTADO INTEGRAL</v>
      </c>
      <c r="U488" s="64" t="str">
        <f t="shared" si="85"/>
        <v>INGRESOS</v>
      </c>
      <c r="V488" s="64" t="str">
        <f t="shared" si="88"/>
        <v>TOTAL INGRESOS NO OPERACIONALES</v>
      </c>
      <c r="W488" s="64" t="str">
        <f t="shared" si="89"/>
        <v/>
      </c>
      <c r="X488" s="64" t="str">
        <f t="shared" si="82"/>
        <v/>
      </c>
      <c r="Y488" s="64" t="str">
        <f t="shared" si="83"/>
        <v/>
      </c>
      <c r="Z488" s="64" t="str">
        <f t="shared" si="84"/>
        <v/>
      </c>
      <c r="AA488" s="69" t="str">
        <f>+V488</f>
        <v>TOTAL INGRESOS NO OPERACIONALES</v>
      </c>
      <c r="AB488" s="64"/>
      <c r="AC488" s="64"/>
      <c r="AD488" s="64"/>
      <c r="AE488" s="64"/>
      <c r="AF488" s="64"/>
      <c r="AG488" s="64"/>
      <c r="AH488" s="64"/>
      <c r="AI488" s="64"/>
      <c r="AJ488" s="64"/>
      <c r="AK488" s="64"/>
      <c r="AL488" s="64"/>
      <c r="AM488" s="64"/>
      <c r="AN488" s="64"/>
      <c r="AO488" s="64"/>
      <c r="AP488" s="64"/>
      <c r="AQ488" s="64"/>
      <c r="AR488" s="64"/>
      <c r="AS488" s="64"/>
      <c r="AT488" s="64"/>
      <c r="AU488" s="64"/>
      <c r="AV488" s="64"/>
      <c r="AW488" s="64"/>
      <c r="AX488" s="64"/>
      <c r="AY488" s="64"/>
      <c r="AZ488" s="64"/>
      <c r="BA488" s="64"/>
      <c r="BB488" s="64"/>
      <c r="BC488" s="64"/>
      <c r="BD488" s="64"/>
      <c r="BE488" s="64"/>
      <c r="BF488" s="64"/>
      <c r="BG488" s="64"/>
      <c r="BH488" s="64"/>
      <c r="BI488" s="64"/>
      <c r="BJ488" s="64"/>
      <c r="BK488" s="64"/>
      <c r="BL488" s="64"/>
      <c r="BM488" s="64"/>
      <c r="BN488" s="64"/>
      <c r="BO488" s="64"/>
      <c r="BP488" s="64"/>
      <c r="BQ488" s="64"/>
      <c r="BR488" s="64"/>
      <c r="BS488" s="64"/>
      <c r="BT488" s="64"/>
      <c r="BU488" s="64"/>
      <c r="BV488" s="64"/>
      <c r="BW488" s="64"/>
      <c r="BX488" s="64"/>
      <c r="BY488" s="64"/>
      <c r="BZ488" s="64"/>
      <c r="CA488" s="64"/>
      <c r="CB488" s="64"/>
      <c r="CC488" s="64"/>
      <c r="CD488" s="64"/>
      <c r="CE488" s="64"/>
      <c r="CF488" s="64"/>
      <c r="CG488" s="64"/>
      <c r="CH488" s="64"/>
      <c r="CI488" s="64"/>
      <c r="CJ488" s="64"/>
      <c r="CK488" s="64"/>
      <c r="CL488" s="64"/>
      <c r="CM488" s="64"/>
      <c r="CN488" s="64"/>
      <c r="CO488" s="64"/>
      <c r="CP488" s="64"/>
      <c r="CQ488" s="64"/>
      <c r="CR488" s="64"/>
      <c r="CS488" s="64"/>
      <c r="CT488" s="64"/>
      <c r="CU488" s="64"/>
      <c r="CV488" s="64"/>
      <c r="CW488" s="64"/>
      <c r="CX488" s="64"/>
      <c r="CY488" s="64"/>
      <c r="CZ488" s="64"/>
      <c r="DA488" s="64"/>
      <c r="DB488" s="64"/>
      <c r="DC488" s="64"/>
      <c r="DD488" s="64"/>
      <c r="DE488" s="64"/>
      <c r="DF488" s="64"/>
      <c r="DG488" s="64"/>
      <c r="DH488" s="64"/>
      <c r="DI488" s="64"/>
      <c r="DJ488" s="64"/>
      <c r="DK488" s="64"/>
      <c r="DL488" s="64"/>
      <c r="DM488" s="64"/>
      <c r="DN488" s="64"/>
      <c r="DO488" s="64"/>
      <c r="DP488" s="64"/>
      <c r="DQ488" s="64"/>
      <c r="DR488" s="64"/>
      <c r="DS488" s="64"/>
      <c r="DT488" s="64"/>
      <c r="DU488" s="64"/>
      <c r="DV488" s="64"/>
      <c r="DW488" s="64"/>
      <c r="DX488" s="64"/>
      <c r="DY488" s="64"/>
      <c r="DZ488" s="64"/>
      <c r="EA488" s="64"/>
      <c r="EB488" s="64"/>
      <c r="EC488" s="64"/>
      <c r="ED488" s="64"/>
      <c r="EE488" s="64"/>
      <c r="EF488" s="64"/>
      <c r="EG488" s="64"/>
      <c r="EH488" s="64"/>
      <c r="EI488" s="64"/>
      <c r="EJ488" s="64"/>
      <c r="EK488" s="64"/>
      <c r="EL488" s="64"/>
      <c r="EM488" s="64"/>
      <c r="EN488" s="64"/>
      <c r="EO488" s="64"/>
      <c r="EP488" s="64"/>
      <c r="EQ488" s="64"/>
      <c r="ER488" s="64"/>
      <c r="ES488" s="64"/>
      <c r="ET488" s="64"/>
      <c r="EU488" s="64"/>
      <c r="EV488" s="64"/>
      <c r="EW488" s="64"/>
      <c r="EX488" s="64"/>
      <c r="EY488" s="64"/>
      <c r="EZ488" s="64"/>
      <c r="FA488" s="64"/>
      <c r="FB488" s="64"/>
      <c r="FC488" s="64"/>
      <c r="FD488" s="64"/>
      <c r="FE488" s="64"/>
      <c r="FF488" s="64"/>
      <c r="FG488" s="64"/>
      <c r="FH488" s="64"/>
      <c r="FI488" s="64"/>
      <c r="FJ488" s="64"/>
      <c r="FK488" s="64"/>
      <c r="FL488" s="64"/>
      <c r="FM488" s="64"/>
      <c r="FN488" s="64"/>
      <c r="FO488" s="64"/>
      <c r="FP488" s="64"/>
      <c r="FQ488" s="64"/>
      <c r="FR488" s="64"/>
      <c r="FS488" s="64"/>
      <c r="FT488" s="64"/>
      <c r="FU488" s="64"/>
      <c r="FV488" s="64"/>
      <c r="FW488" s="64"/>
      <c r="FX488" s="64"/>
      <c r="FY488" s="64"/>
      <c r="FZ488" s="64"/>
      <c r="GA488" s="64"/>
      <c r="GB488" s="64"/>
      <c r="GC488" s="64"/>
      <c r="GD488" s="64"/>
      <c r="GE488" s="64"/>
      <c r="GF488" s="64"/>
      <c r="GG488" s="64"/>
      <c r="GH488" s="64"/>
      <c r="GI488" s="64"/>
      <c r="GJ488" s="64"/>
      <c r="GK488" s="64"/>
      <c r="GL488" s="64"/>
      <c r="GM488" s="64"/>
      <c r="GN488" s="64"/>
      <c r="GO488" s="64"/>
      <c r="GP488" s="64"/>
      <c r="GQ488" s="64"/>
      <c r="GR488" s="64"/>
      <c r="GS488" s="64"/>
      <c r="GT488" s="64"/>
      <c r="GU488" s="64"/>
      <c r="GV488" s="64"/>
      <c r="GW488" s="64"/>
      <c r="GX488" s="64"/>
      <c r="GY488" s="64"/>
      <c r="GZ488" s="64"/>
      <c r="HA488" s="64"/>
      <c r="HB488" s="64"/>
      <c r="HC488" s="64"/>
      <c r="HD488" s="64"/>
      <c r="HE488" s="64"/>
      <c r="HF488" s="64"/>
      <c r="HG488" s="64"/>
      <c r="HH488" s="64"/>
      <c r="HI488" s="64"/>
      <c r="HJ488" s="64"/>
      <c r="HK488" s="64"/>
      <c r="HL488" s="64"/>
      <c r="HM488" s="64"/>
      <c r="HN488" s="64"/>
      <c r="HO488" s="64"/>
      <c r="HP488" s="64"/>
      <c r="HQ488" s="64"/>
      <c r="HR488" s="64"/>
      <c r="HS488" s="64"/>
      <c r="HT488" s="64"/>
      <c r="HU488" s="64"/>
      <c r="HV488" s="64"/>
      <c r="HW488" s="64"/>
      <c r="HX488" s="64"/>
      <c r="HY488" s="64"/>
      <c r="HZ488" s="64"/>
      <c r="IA488" s="64"/>
      <c r="IB488" s="64"/>
      <c r="IC488" s="64"/>
      <c r="ID488" s="64"/>
      <c r="IE488" s="64"/>
      <c r="IF488" s="64"/>
      <c r="IG488" s="64"/>
      <c r="IH488" s="64"/>
      <c r="II488" s="64"/>
      <c r="IJ488" s="64"/>
      <c r="IK488" s="64"/>
      <c r="IL488" s="64"/>
      <c r="IM488" s="64"/>
      <c r="IN488" s="64"/>
      <c r="IO488" s="64"/>
      <c r="IP488" s="64"/>
      <c r="IQ488" s="64"/>
      <c r="IR488" s="64"/>
      <c r="IS488" s="64"/>
      <c r="IT488" s="64"/>
      <c r="IU488" s="64"/>
      <c r="IV488" s="64"/>
      <c r="IW488" s="64"/>
      <c r="IX488" s="64"/>
      <c r="IY488" s="64"/>
      <c r="IZ488" s="64"/>
      <c r="JA488" s="64"/>
      <c r="JB488" s="64"/>
      <c r="JC488" s="64"/>
      <c r="JD488" s="64"/>
      <c r="JE488" s="64"/>
      <c r="JF488" s="64"/>
      <c r="JG488" s="64"/>
      <c r="JH488" s="64"/>
      <c r="JI488" s="64"/>
      <c r="JJ488" s="64"/>
      <c r="JK488" s="64"/>
      <c r="JL488" s="64"/>
      <c r="JM488" s="64"/>
      <c r="JN488" s="64"/>
      <c r="JO488" s="64"/>
      <c r="JP488" s="64"/>
      <c r="JQ488" s="64"/>
      <c r="JR488" s="64"/>
      <c r="JS488" s="64"/>
      <c r="JT488" s="64"/>
      <c r="JU488" s="64"/>
      <c r="JV488" s="64"/>
      <c r="JW488" s="64"/>
      <c r="JX488" s="64"/>
      <c r="JY488" s="64"/>
      <c r="JZ488" s="64"/>
      <c r="KA488" s="64"/>
      <c r="KB488" s="64"/>
      <c r="KC488" s="64"/>
      <c r="KD488" s="64"/>
      <c r="KE488" s="64"/>
      <c r="KF488" s="64"/>
      <c r="KG488" s="64"/>
      <c r="KH488" s="64"/>
      <c r="KI488" s="64"/>
      <c r="KJ488" s="64"/>
      <c r="KK488" s="64"/>
      <c r="KL488" s="64"/>
      <c r="KM488" s="64"/>
      <c r="KN488" s="64"/>
      <c r="KO488" s="64"/>
      <c r="KP488" s="64"/>
      <c r="KQ488" s="64"/>
      <c r="KR488" s="64"/>
      <c r="KS488" s="64"/>
      <c r="KT488" s="64"/>
      <c r="KU488" s="64"/>
      <c r="KV488" s="64"/>
      <c r="KW488" s="64"/>
      <c r="KX488" s="64"/>
      <c r="KY488" s="64"/>
      <c r="KZ488" s="64"/>
      <c r="LA488" s="64"/>
      <c r="LB488" s="64"/>
      <c r="LC488" s="64"/>
      <c r="LD488" s="64"/>
      <c r="LE488" s="64"/>
      <c r="LF488" s="64"/>
      <c r="LG488" s="64"/>
      <c r="LH488" s="64"/>
      <c r="LI488" s="64"/>
      <c r="LJ488" s="64"/>
      <c r="LK488" s="64"/>
      <c r="LL488" s="64"/>
      <c r="LM488" s="64"/>
      <c r="LN488" s="64"/>
      <c r="LO488" s="64"/>
      <c r="LP488" s="64"/>
      <c r="LQ488" s="64"/>
      <c r="LR488" s="64"/>
      <c r="LS488" s="64"/>
      <c r="LT488" s="64"/>
      <c r="LU488" s="64"/>
      <c r="LV488" s="64"/>
      <c r="LW488" s="64"/>
      <c r="LX488" s="64"/>
      <c r="LY488" s="64"/>
      <c r="LZ488" s="64"/>
      <c r="MA488" s="64"/>
      <c r="MB488" s="64"/>
      <c r="MC488" s="64"/>
      <c r="MD488" s="64"/>
      <c r="ME488" s="64"/>
      <c r="MF488" s="64"/>
      <c r="MG488" s="64"/>
      <c r="MH488" s="64"/>
      <c r="MI488" s="64"/>
      <c r="MJ488" s="64"/>
      <c r="MK488" s="64"/>
      <c r="ML488" s="64"/>
      <c r="MM488" s="64"/>
      <c r="MN488" s="64"/>
      <c r="MO488" s="64"/>
      <c r="MP488" s="64"/>
      <c r="MQ488" s="64"/>
      <c r="MR488" s="64"/>
      <c r="MS488" s="64"/>
      <c r="MT488" s="64"/>
      <c r="MU488" s="64"/>
      <c r="MV488" s="64"/>
      <c r="MW488" s="64"/>
      <c r="MX488" s="64"/>
      <c r="MY488" s="64"/>
      <c r="MZ488" s="64"/>
      <c r="NA488" s="64"/>
      <c r="NB488" s="64"/>
      <c r="NC488" s="64"/>
      <c r="ND488" s="64"/>
      <c r="NE488" s="64"/>
      <c r="NF488" s="64"/>
      <c r="NG488" s="64"/>
      <c r="NH488" s="64"/>
      <c r="NI488" s="64"/>
      <c r="NJ488" s="64"/>
      <c r="NK488" s="64"/>
      <c r="NL488" s="64"/>
      <c r="NM488" s="64"/>
      <c r="NN488" s="64"/>
      <c r="NO488" s="64"/>
      <c r="NP488" s="64"/>
      <c r="NQ488" s="64"/>
      <c r="NR488" s="64"/>
      <c r="NS488" s="64"/>
      <c r="NT488" s="64"/>
      <c r="NU488" s="64"/>
      <c r="NV488" s="64"/>
      <c r="NW488" s="64"/>
      <c r="NX488" s="64"/>
      <c r="NY488" s="64"/>
      <c r="NZ488" s="64"/>
      <c r="OA488" s="64"/>
      <c r="OB488" s="64"/>
      <c r="OC488" s="64"/>
      <c r="OD488" s="64"/>
      <c r="OE488" s="64"/>
      <c r="OF488" s="64"/>
      <c r="OG488" s="64"/>
      <c r="OH488" s="64"/>
      <c r="OI488" s="64"/>
      <c r="OJ488" s="64"/>
      <c r="OK488" s="64"/>
      <c r="OL488" s="64"/>
      <c r="OM488" s="64"/>
      <c r="ON488" s="64"/>
      <c r="OO488" s="64"/>
      <c r="OP488" s="64"/>
      <c r="OQ488" s="64"/>
      <c r="OR488" s="64"/>
      <c r="OS488" s="64"/>
      <c r="OT488" s="64"/>
      <c r="OU488" s="64"/>
      <c r="OV488" s="64"/>
      <c r="OW488" s="64"/>
      <c r="OX488" s="64"/>
      <c r="OY488" s="64"/>
      <c r="OZ488" s="64"/>
      <c r="PA488" s="64"/>
      <c r="PB488" s="64"/>
      <c r="PC488" s="64"/>
      <c r="PD488" s="64"/>
      <c r="PE488" s="64"/>
      <c r="PF488" s="64"/>
      <c r="PG488" s="64"/>
      <c r="PH488" s="64"/>
      <c r="PI488" s="64"/>
    </row>
    <row r="489" spans="1:425">
      <c r="A489" s="53"/>
      <c r="B489" s="238" t="s">
        <v>759</v>
      </c>
      <c r="C489" s="238"/>
      <c r="D489" s="238"/>
      <c r="E489" s="238"/>
      <c r="F489" s="238"/>
      <c r="G489" s="238"/>
      <c r="H489" s="238"/>
      <c r="I489" s="238"/>
      <c r="J489" s="238"/>
      <c r="K489" s="238"/>
      <c r="L489" s="238"/>
      <c r="M489" s="238"/>
      <c r="N489" s="71" t="s">
        <v>760</v>
      </c>
      <c r="O489" s="72" t="e">
        <f>+M488+M404</f>
        <v>#REF!</v>
      </c>
      <c r="S489" s="61" t="str">
        <f>+N489</f>
        <v>6999</v>
      </c>
      <c r="T489" s="64" t="str">
        <f t="shared" si="91"/>
        <v>ESTADO DEL RESULTADO INTEGRAL</v>
      </c>
      <c r="U489" s="64" t="str">
        <f t="shared" si="85"/>
        <v>TOTAL INGRESOS</v>
      </c>
      <c r="V489" s="64" t="str">
        <f t="shared" si="88"/>
        <v/>
      </c>
      <c r="W489" s="64" t="str">
        <f t="shared" si="89"/>
        <v/>
      </c>
      <c r="X489" s="64" t="str">
        <f t="shared" si="82"/>
        <v/>
      </c>
      <c r="Y489" s="64" t="str">
        <f t="shared" si="83"/>
        <v/>
      </c>
      <c r="Z489" s="64" t="str">
        <f t="shared" si="84"/>
        <v/>
      </c>
      <c r="AA489" s="69" t="str">
        <f>+U489</f>
        <v>TOTAL INGRESOS</v>
      </c>
    </row>
    <row r="490" spans="1:425">
      <c r="A490" s="53"/>
      <c r="B490" s="235" t="s">
        <v>761</v>
      </c>
      <c r="C490" s="235"/>
      <c r="D490" s="235"/>
      <c r="E490" s="235"/>
      <c r="F490" s="235"/>
      <c r="G490" s="235"/>
      <c r="H490" s="235"/>
      <c r="I490" s="235"/>
      <c r="J490" s="235"/>
      <c r="K490" s="235"/>
      <c r="L490" s="235"/>
      <c r="M490" s="235"/>
      <c r="N490" s="9" t="s">
        <v>762</v>
      </c>
      <c r="O490" s="55" t="e">
        <f>VLOOKUP(N490,Casilleros!$A$4:$Q$830,17,FALSE)</f>
        <v>#REF!</v>
      </c>
      <c r="S490" s="61" t="str">
        <f>+N490</f>
        <v>6140</v>
      </c>
      <c r="T490" s="64" t="str">
        <f t="shared" si="91"/>
        <v>ESTADO DEL RESULTADO INTEGRAL</v>
      </c>
      <c r="U490" s="64" t="str">
        <f t="shared" si="85"/>
        <v xml:space="preserve">Ventas netas de propiedades, planta y equipo (Informativo) </v>
      </c>
      <c r="V490" s="64" t="str">
        <f t="shared" si="88"/>
        <v/>
      </c>
      <c r="W490" s="64" t="str">
        <f t="shared" si="89"/>
        <v/>
      </c>
      <c r="X490" s="64" t="str">
        <f t="shared" si="82"/>
        <v/>
      </c>
      <c r="Y490" s="64" t="str">
        <f t="shared" si="83"/>
        <v/>
      </c>
      <c r="Z490" s="64" t="str">
        <f t="shared" si="84"/>
        <v/>
      </c>
      <c r="AA490" s="75" t="str">
        <f t="shared" ref="AA490:AA504" si="92">+U490</f>
        <v xml:space="preserve">Ventas netas de propiedades, planta y equipo (Informativo) </v>
      </c>
    </row>
    <row r="491" spans="1:425">
      <c r="A491" s="53"/>
      <c r="B491" s="235" t="s">
        <v>763</v>
      </c>
      <c r="C491" s="235"/>
      <c r="D491" s="235"/>
      <c r="E491" s="235"/>
      <c r="F491" s="235"/>
      <c r="G491" s="235"/>
      <c r="H491" s="235"/>
      <c r="I491" s="235"/>
      <c r="J491" s="235"/>
      <c r="K491" s="235"/>
      <c r="L491" s="235"/>
      <c r="M491" s="235"/>
      <c r="N491" s="9" t="s">
        <v>764</v>
      </c>
      <c r="O491" s="74" t="e">
        <f>VLOOKUP(N491,Casilleros!$A$4:$Q$830,17,FALSE)</f>
        <v>#REF!</v>
      </c>
      <c r="S491" s="61" t="str">
        <f t="shared" ref="S491:S504" si="93">+N491</f>
        <v>6141</v>
      </c>
      <c r="T491" s="64" t="str">
        <f t="shared" si="91"/>
        <v>ESTADO DEL RESULTADO INTEGRAL</v>
      </c>
      <c r="U491" s="64" t="str">
        <f t="shared" si="85"/>
        <v>Ingresos por reembolso como intermediario / monto total facturado por operadoras de transporte con puntos de emisión asignados a socios (Informativo)</v>
      </c>
      <c r="V491" s="64" t="str">
        <f t="shared" si="88"/>
        <v/>
      </c>
      <c r="W491" s="64" t="str">
        <f t="shared" si="89"/>
        <v/>
      </c>
      <c r="X491" s="64" t="str">
        <f t="shared" si="82"/>
        <v/>
      </c>
      <c r="Y491" s="64" t="str">
        <f t="shared" si="83"/>
        <v/>
      </c>
      <c r="Z491" s="64" t="str">
        <f t="shared" si="84"/>
        <v/>
      </c>
      <c r="AA491" s="75" t="str">
        <f t="shared" si="92"/>
        <v>Ingresos por reembolso como intermediario / monto total facturado por operadoras de transporte con puntos de emisión asignados a socios (Informativo)</v>
      </c>
    </row>
    <row r="492" spans="1:425">
      <c r="A492" s="53"/>
      <c r="B492" s="235" t="s">
        <v>765</v>
      </c>
      <c r="C492" s="235"/>
      <c r="D492" s="235"/>
      <c r="E492" s="235"/>
      <c r="F492" s="235"/>
      <c r="G492" s="235"/>
      <c r="H492" s="235"/>
      <c r="I492" s="235"/>
      <c r="J492" s="235"/>
      <c r="K492" s="235"/>
      <c r="L492" s="235"/>
      <c r="M492" s="235"/>
      <c r="N492" s="9" t="s">
        <v>766</v>
      </c>
      <c r="O492" s="55" t="e">
        <f>VLOOKUP(N492,Casilleros!$A$4:$Q$830,17,FALSE)</f>
        <v>#REF!</v>
      </c>
      <c r="S492" s="61" t="str">
        <f t="shared" si="93"/>
        <v>6142</v>
      </c>
      <c r="T492" s="64" t="str">
        <f t="shared" si="91"/>
        <v>ESTADO DEL RESULTADO INTEGRAL</v>
      </c>
      <c r="U492" s="64" t="str">
        <f t="shared" si="85"/>
        <v>Dividendos declarados (distribuidos) a favor del contribuyente en el ejercicio fiscal (Informativo)</v>
      </c>
      <c r="V492" s="64" t="str">
        <f t="shared" si="88"/>
        <v/>
      </c>
      <c r="W492" s="64" t="str">
        <f t="shared" si="89"/>
        <v/>
      </c>
      <c r="X492" s="64" t="str">
        <f t="shared" si="82"/>
        <v/>
      </c>
      <c r="Y492" s="64" t="str">
        <f t="shared" si="83"/>
        <v/>
      </c>
      <c r="Z492" s="64" t="str">
        <f t="shared" si="84"/>
        <v/>
      </c>
      <c r="AA492" s="75" t="str">
        <f t="shared" si="92"/>
        <v>Dividendos declarados (distribuidos) a favor del contribuyente en el ejercicio fiscal (Informativo)</v>
      </c>
    </row>
    <row r="493" spans="1:425">
      <c r="A493" s="53"/>
      <c r="B493" s="235" t="s">
        <v>767</v>
      </c>
      <c r="C493" s="235"/>
      <c r="D493" s="235"/>
      <c r="E493" s="235"/>
      <c r="F493" s="235"/>
      <c r="G493" s="235"/>
      <c r="H493" s="235"/>
      <c r="I493" s="235"/>
      <c r="J493" s="235"/>
      <c r="K493" s="235"/>
      <c r="L493" s="235"/>
      <c r="M493" s="235"/>
      <c r="N493" s="9" t="s">
        <v>768</v>
      </c>
      <c r="O493" s="55" t="e">
        <f>VLOOKUP(N493,Casilleros!$A$4:$Q$830,17,FALSE)</f>
        <v>#REF!</v>
      </c>
      <c r="S493" s="61" t="str">
        <f t="shared" si="93"/>
        <v>6143</v>
      </c>
      <c r="T493" s="64" t="str">
        <f t="shared" si="91"/>
        <v>ESTADO DEL RESULTADO INTEGRAL</v>
      </c>
      <c r="U493" s="64" t="str">
        <f t="shared" si="85"/>
        <v>Dividendos cobrados (recaudados) por el  contribuyente en el ejercicio fiscal (Informativo)</v>
      </c>
      <c r="V493" s="64" t="str">
        <f t="shared" si="88"/>
        <v/>
      </c>
      <c r="W493" s="64" t="str">
        <f t="shared" si="89"/>
        <v/>
      </c>
      <c r="X493" s="64" t="str">
        <f t="shared" si="82"/>
        <v/>
      </c>
      <c r="Y493" s="64" t="str">
        <f t="shared" si="83"/>
        <v/>
      </c>
      <c r="Z493" s="64" t="str">
        <f t="shared" si="84"/>
        <v/>
      </c>
      <c r="AA493" s="75" t="str">
        <f t="shared" si="92"/>
        <v>Dividendos cobrados (recaudados) por el  contribuyente en el ejercicio fiscal (Informativo)</v>
      </c>
    </row>
    <row r="494" spans="1:425">
      <c r="A494" s="53"/>
      <c r="B494" s="236" t="s">
        <v>769</v>
      </c>
      <c r="C494" s="236"/>
      <c r="D494" s="236"/>
      <c r="E494" s="236"/>
      <c r="F494" s="236"/>
      <c r="G494" s="236"/>
      <c r="H494" s="236"/>
      <c r="I494" s="236"/>
      <c r="J494" s="236"/>
      <c r="K494" s="236"/>
      <c r="L494" s="236"/>
      <c r="M494" s="236"/>
      <c r="N494" s="236"/>
      <c r="O494" s="236"/>
      <c r="S494" s="61">
        <f t="shared" si="93"/>
        <v>0</v>
      </c>
      <c r="T494" s="64" t="str">
        <f t="shared" si="91"/>
        <v>ESTADO DEL RESULTADO INTEGRAL</v>
      </c>
      <c r="U494" s="64" t="str">
        <f t="shared" si="85"/>
        <v>Ingresos obtenidos por  las organizaciones previstas en la ley de economía popular y solidaria (Informativo)</v>
      </c>
      <c r="V494" s="64" t="str">
        <f t="shared" si="88"/>
        <v/>
      </c>
      <c r="W494" s="64" t="str">
        <f t="shared" si="89"/>
        <v/>
      </c>
      <c r="X494" s="64" t="str">
        <f t="shared" si="82"/>
        <v/>
      </c>
      <c r="Y494" s="64" t="str">
        <f t="shared" si="83"/>
        <v/>
      </c>
      <c r="Z494" s="64" t="str">
        <f t="shared" si="84"/>
        <v/>
      </c>
      <c r="AA494" s="75" t="str">
        <f t="shared" si="92"/>
        <v>Ingresos obtenidos por  las organizaciones previstas en la ley de economía popular y solidaria (Informativo)</v>
      </c>
    </row>
    <row r="495" spans="1:425">
      <c r="A495" s="53"/>
      <c r="B495" s="53"/>
      <c r="C495" s="235" t="s">
        <v>770</v>
      </c>
      <c r="D495" s="235"/>
      <c r="E495" s="235"/>
      <c r="F495" s="235"/>
      <c r="G495" s="235"/>
      <c r="H495" s="235"/>
      <c r="I495" s="235"/>
      <c r="J495" s="235"/>
      <c r="K495" s="235"/>
      <c r="L495" s="235"/>
      <c r="M495" s="235"/>
      <c r="N495" s="9" t="s">
        <v>771</v>
      </c>
      <c r="O495" s="55" t="e">
        <f>VLOOKUP(N495,Casilleros!$A$4:$Q$830,17,FALSE)</f>
        <v>#REF!</v>
      </c>
      <c r="S495" s="61" t="str">
        <f t="shared" si="93"/>
        <v>6144</v>
      </c>
      <c r="T495" s="64" t="str">
        <f t="shared" si="91"/>
        <v>ESTADO DEL RESULTADO INTEGRAL</v>
      </c>
      <c r="U495" s="64" t="str">
        <f t="shared" si="85"/>
        <v>Ingresos obtenidos por  las organizaciones previstas en la ley de economía popular y solidaria (Informativo)</v>
      </c>
      <c r="V495" s="64" t="str">
        <f t="shared" si="88"/>
        <v>Utilidades (Informativo)</v>
      </c>
      <c r="W495" s="64" t="str">
        <f t="shared" si="89"/>
        <v/>
      </c>
      <c r="X495" s="64" t="str">
        <f t="shared" si="82"/>
        <v/>
      </c>
      <c r="Y495" s="64" t="str">
        <f t="shared" si="83"/>
        <v/>
      </c>
      <c r="Z495" s="64" t="str">
        <f t="shared" si="84"/>
        <v/>
      </c>
      <c r="AA495" s="75" t="str">
        <f t="shared" si="92"/>
        <v>Ingresos obtenidos por  las organizaciones previstas en la ley de economía popular y solidaria (Informativo)</v>
      </c>
    </row>
    <row r="496" spans="1:425">
      <c r="A496" s="53"/>
      <c r="B496" s="53"/>
      <c r="C496" s="235" t="s">
        <v>772</v>
      </c>
      <c r="D496" s="235"/>
      <c r="E496" s="235"/>
      <c r="F496" s="235"/>
      <c r="G496" s="235"/>
      <c r="H496" s="235"/>
      <c r="I496" s="235"/>
      <c r="J496" s="235"/>
      <c r="K496" s="235"/>
      <c r="L496" s="235"/>
      <c r="M496" s="235"/>
      <c r="N496" s="9" t="s">
        <v>773</v>
      </c>
      <c r="O496" s="55" t="e">
        <f>VLOOKUP(N496,Casilleros!$A$4:$Q$830,17,FALSE)</f>
        <v>#REF!</v>
      </c>
      <c r="S496" s="61" t="str">
        <f t="shared" si="93"/>
        <v>6145</v>
      </c>
      <c r="T496" s="64" t="str">
        <f>IF(A496&lt;&gt;"",A496,T495)</f>
        <v>ESTADO DEL RESULTADO INTEGRAL</v>
      </c>
      <c r="U496" s="64" t="str">
        <f t="shared" si="85"/>
        <v>Ingresos obtenidos por  las organizaciones previstas en la ley de economía popular y solidaria (Informativo)</v>
      </c>
      <c r="V496" s="64" t="str">
        <f t="shared" si="88"/>
        <v>Excedentes (Informativo)</v>
      </c>
      <c r="W496" s="64" t="str">
        <f t="shared" si="89"/>
        <v/>
      </c>
      <c r="X496" s="64" t="str">
        <f t="shared" ref="X496:X509" si="94">IF(W495&lt;&gt;W496,"",(IF(E496&lt;&gt;"",E496,X495)))</f>
        <v/>
      </c>
      <c r="Y496" s="64" t="str">
        <f t="shared" ref="Y496:Y509" si="95">IF(X495&lt;&gt;X496,"",(IF(F496&lt;&gt;"",F496,Y495)))</f>
        <v/>
      </c>
      <c r="Z496" s="64" t="str">
        <f t="shared" ref="Z496:Z509" si="96">IF(Y495&lt;&gt;Y496,"",(IF(G496&lt;&gt;"",G496,Z495)))</f>
        <v/>
      </c>
      <c r="AA496" s="75" t="str">
        <f t="shared" si="92"/>
        <v>Ingresos obtenidos por  las organizaciones previstas en la ley de economía popular y solidaria (Informativo)</v>
      </c>
    </row>
    <row r="497" spans="1:48">
      <c r="A497" s="53"/>
      <c r="B497" s="236" t="s">
        <v>774</v>
      </c>
      <c r="C497" s="236"/>
      <c r="D497" s="236"/>
      <c r="E497" s="236"/>
      <c r="F497" s="236"/>
      <c r="G497" s="236"/>
      <c r="H497" s="236"/>
      <c r="I497" s="236"/>
      <c r="J497" s="236"/>
      <c r="K497" s="236"/>
      <c r="L497" s="236"/>
      <c r="M497" s="236"/>
      <c r="N497" s="236"/>
      <c r="O497" s="236"/>
      <c r="S497" s="61">
        <f t="shared" si="93"/>
        <v>0</v>
      </c>
      <c r="T497" s="64" t="str">
        <f t="shared" si="91"/>
        <v>ESTADO DEL RESULTADO INTEGRAL</v>
      </c>
      <c r="U497" s="64" t="str">
        <f t="shared" si="85"/>
        <v xml:space="preserve">Monto total facturado por comisionistas y similares (relaciones de agencia)  (Informativo) </v>
      </c>
      <c r="V497" s="64" t="str">
        <f t="shared" si="88"/>
        <v/>
      </c>
      <c r="W497" s="64" t="str">
        <f t="shared" si="89"/>
        <v/>
      </c>
      <c r="X497" s="64" t="str">
        <f t="shared" si="94"/>
        <v/>
      </c>
      <c r="Y497" s="64" t="str">
        <f t="shared" si="95"/>
        <v/>
      </c>
      <c r="Z497" s="64" t="str">
        <f t="shared" si="96"/>
        <v/>
      </c>
      <c r="AA497" s="75" t="str">
        <f t="shared" si="92"/>
        <v xml:space="preserve">Monto total facturado por comisionistas y similares (relaciones de agencia)  (Informativo) </v>
      </c>
    </row>
    <row r="498" spans="1:48">
      <c r="A498" s="53"/>
      <c r="B498" s="53"/>
      <c r="C498" s="235" t="s">
        <v>775</v>
      </c>
      <c r="D498" s="235"/>
      <c r="E498" s="235"/>
      <c r="F498" s="235"/>
      <c r="G498" s="235"/>
      <c r="H498" s="235"/>
      <c r="I498" s="235"/>
      <c r="J498" s="235"/>
      <c r="K498" s="235"/>
      <c r="L498" s="235"/>
      <c r="M498" s="235"/>
      <c r="N498" s="9" t="s">
        <v>776</v>
      </c>
      <c r="O498" s="55" t="e">
        <f>VLOOKUP(N498,Casilleros!$A$4:$Q$830,17,FALSE)</f>
        <v>#REF!</v>
      </c>
      <c r="S498" s="61" t="str">
        <f t="shared" si="93"/>
        <v>6146</v>
      </c>
      <c r="T498" s="64" t="str">
        <f t="shared" si="91"/>
        <v>ESTADO DEL RESULTADO INTEGRAL</v>
      </c>
      <c r="U498" s="64" t="str">
        <f t="shared" si="85"/>
        <v xml:space="preserve">Monto total facturado por comisionistas y similares (relaciones de agencia)  (Informativo) </v>
      </c>
      <c r="V498" s="64" t="str">
        <f t="shared" si="88"/>
        <v>Correspondiente a los valores brutos de los bienes o servicios vendidos bajo la modalidad de comisiones o similares (Informativo)</v>
      </c>
      <c r="W498" s="64" t="str">
        <f t="shared" si="89"/>
        <v/>
      </c>
      <c r="X498" s="64" t="str">
        <f t="shared" si="94"/>
        <v/>
      </c>
      <c r="Y498" s="64" t="str">
        <f t="shared" si="95"/>
        <v/>
      </c>
      <c r="Z498" s="64" t="str">
        <f t="shared" si="96"/>
        <v/>
      </c>
      <c r="AA498" s="75" t="str">
        <f t="shared" si="92"/>
        <v xml:space="preserve">Monto total facturado por comisionistas y similares (relaciones de agencia)  (Informativo) </v>
      </c>
    </row>
    <row r="499" spans="1:48">
      <c r="A499" s="53"/>
      <c r="B499" s="53"/>
      <c r="C499" s="235" t="s">
        <v>777</v>
      </c>
      <c r="D499" s="235"/>
      <c r="E499" s="235"/>
      <c r="F499" s="235"/>
      <c r="G499" s="235"/>
      <c r="H499" s="235"/>
      <c r="I499" s="235"/>
      <c r="J499" s="235"/>
      <c r="K499" s="235"/>
      <c r="L499" s="235"/>
      <c r="M499" s="235"/>
      <c r="N499" s="9" t="s">
        <v>778</v>
      </c>
      <c r="O499" s="55" t="e">
        <f>VLOOKUP(N499,Casilleros!$A$4:$Q$830,17,FALSE)</f>
        <v>#REF!</v>
      </c>
      <c r="S499" s="61" t="str">
        <f t="shared" si="93"/>
        <v>6147</v>
      </c>
      <c r="T499" s="64" t="str">
        <f t="shared" si="91"/>
        <v>ESTADO DEL RESULTADO INTEGRAL</v>
      </c>
      <c r="U499" s="64" t="str">
        <f t="shared" si="85"/>
        <v xml:space="preserve">Monto total facturado por comisionistas y similares (relaciones de agencia)  (Informativo) </v>
      </c>
      <c r="V499" s="64" t="str">
        <f t="shared" si="88"/>
        <v>Valor total correspondiente a las comisiones, descuentos, primas y similares sobre los valores brutos de los bienes o servicios vendidos bajo la modalidad de comisiones o similares (Informativo)</v>
      </c>
      <c r="W499" s="64" t="str">
        <f t="shared" si="89"/>
        <v/>
      </c>
      <c r="X499" s="64" t="str">
        <f t="shared" si="94"/>
        <v/>
      </c>
      <c r="Y499" s="64" t="str">
        <f t="shared" si="95"/>
        <v/>
      </c>
      <c r="Z499" s="64" t="str">
        <f t="shared" si="96"/>
        <v/>
      </c>
      <c r="AA499" s="75" t="str">
        <f t="shared" si="92"/>
        <v xml:space="preserve">Monto total facturado por comisionistas y similares (relaciones de agencia)  (Informativo) </v>
      </c>
    </row>
    <row r="500" spans="1:48">
      <c r="A500" s="53"/>
      <c r="B500" s="235" t="s">
        <v>779</v>
      </c>
      <c r="C500" s="235"/>
      <c r="D500" s="235"/>
      <c r="E500" s="235"/>
      <c r="F500" s="235"/>
      <c r="G500" s="235"/>
      <c r="H500" s="235"/>
      <c r="I500" s="235"/>
      <c r="J500" s="235"/>
      <c r="K500" s="235"/>
      <c r="L500" s="235"/>
      <c r="M500" s="235"/>
      <c r="N500" s="9" t="s">
        <v>780</v>
      </c>
      <c r="O500" s="55" t="e">
        <f>VLOOKUP(N500,Casilleros!$A$4:$Q$830,17,FALSE)</f>
        <v>#REF!</v>
      </c>
      <c r="S500" s="61" t="str">
        <f t="shared" si="93"/>
        <v>6148</v>
      </c>
      <c r="T500" s="64" t="str">
        <f t="shared" si="91"/>
        <v>ESTADO DEL RESULTADO INTEGRAL</v>
      </c>
      <c r="U500" s="64" t="str">
        <f t="shared" si="85"/>
        <v>Ingresos generados por compañías de transporte internacional por sus operaciones habituales de transporte (Informativo)</v>
      </c>
      <c r="V500" s="64" t="str">
        <f t="shared" si="88"/>
        <v/>
      </c>
      <c r="W500" s="64" t="str">
        <f t="shared" si="89"/>
        <v/>
      </c>
      <c r="X500" s="64" t="str">
        <f t="shared" si="94"/>
        <v/>
      </c>
      <c r="Y500" s="64" t="str">
        <f t="shared" si="95"/>
        <v/>
      </c>
      <c r="Z500" s="64" t="str">
        <f t="shared" si="96"/>
        <v/>
      </c>
      <c r="AA500" s="75" t="str">
        <f t="shared" si="92"/>
        <v>Ingresos generados por compañías de transporte internacional por sus operaciones habituales de transporte (Informativo)</v>
      </c>
    </row>
    <row r="501" spans="1:48">
      <c r="A501" s="53"/>
      <c r="B501" s="235" t="s">
        <v>781</v>
      </c>
      <c r="C501" s="235"/>
      <c r="D501" s="235"/>
      <c r="E501" s="235"/>
      <c r="F501" s="235"/>
      <c r="G501" s="235"/>
      <c r="H501" s="235"/>
      <c r="I501" s="235"/>
      <c r="J501" s="235"/>
      <c r="K501" s="235"/>
      <c r="L501" s="235"/>
      <c r="M501" s="235"/>
      <c r="N501" s="9" t="s">
        <v>782</v>
      </c>
      <c r="O501" s="55" t="e">
        <f>VLOOKUP(N501,Casilleros!$A$4:$Q$830,17,FALSE)</f>
        <v>#REF!</v>
      </c>
      <c r="S501" s="61" t="str">
        <f t="shared" si="93"/>
        <v>6149</v>
      </c>
      <c r="T501" s="64" t="str">
        <f t="shared" si="91"/>
        <v>ESTADO DEL RESULTADO INTEGRAL</v>
      </c>
      <c r="U501" s="64" t="str">
        <f t="shared" si="85"/>
        <v>Ingresos generados en fideicomisos mercantiles o encargos fiduciarios donde el contribuyente es constituyente o aportante (Informativo)</v>
      </c>
      <c r="V501" s="64" t="str">
        <f t="shared" si="88"/>
        <v/>
      </c>
      <c r="W501" s="64" t="str">
        <f t="shared" si="89"/>
        <v/>
      </c>
      <c r="X501" s="64" t="str">
        <f t="shared" si="94"/>
        <v/>
      </c>
      <c r="Y501" s="64" t="str">
        <f t="shared" si="95"/>
        <v/>
      </c>
      <c r="Z501" s="64" t="str">
        <f t="shared" si="96"/>
        <v/>
      </c>
      <c r="AA501" s="75" t="str">
        <f t="shared" si="92"/>
        <v>Ingresos generados en fideicomisos mercantiles o encargos fiduciarios donde el contribuyente es constituyente o aportante (Informativo)</v>
      </c>
    </row>
    <row r="502" spans="1:48">
      <c r="A502" s="53"/>
      <c r="B502" s="235" t="s">
        <v>783</v>
      </c>
      <c r="C502" s="235"/>
      <c r="D502" s="235"/>
      <c r="E502" s="235"/>
      <c r="F502" s="235"/>
      <c r="G502" s="235"/>
      <c r="H502" s="235"/>
      <c r="I502" s="235"/>
      <c r="J502" s="235"/>
      <c r="K502" s="235"/>
      <c r="L502" s="235"/>
      <c r="M502" s="235"/>
      <c r="N502" s="9" t="s">
        <v>784</v>
      </c>
      <c r="O502" s="55" t="e">
        <f>VLOOKUP(N502,Casilleros!$A$4:$Q$830,17,FALSE)</f>
        <v>#REF!</v>
      </c>
      <c r="S502" s="61" t="str">
        <f t="shared" si="93"/>
        <v>6150</v>
      </c>
      <c r="T502" s="64" t="str">
        <f t="shared" si="91"/>
        <v>ESTADO DEL RESULTADO INTEGRAL</v>
      </c>
      <c r="U502" s="64" t="str">
        <f t="shared" si="85"/>
        <v>Ingresos no objeto de impuesto a la renta</v>
      </c>
      <c r="V502" s="64" t="str">
        <f t="shared" si="88"/>
        <v/>
      </c>
      <c r="W502" s="64" t="str">
        <f t="shared" si="89"/>
        <v/>
      </c>
      <c r="X502" s="64" t="str">
        <f t="shared" si="94"/>
        <v/>
      </c>
      <c r="Y502" s="64" t="str">
        <f t="shared" si="95"/>
        <v/>
      </c>
      <c r="Z502" s="64" t="str">
        <f t="shared" si="96"/>
        <v/>
      </c>
      <c r="AA502" s="75" t="str">
        <f t="shared" si="92"/>
        <v>Ingresos no objeto de impuesto a la renta</v>
      </c>
    </row>
    <row r="503" spans="1:48">
      <c r="A503" s="53"/>
      <c r="B503" s="235" t="s">
        <v>785</v>
      </c>
      <c r="C503" s="235"/>
      <c r="D503" s="235"/>
      <c r="E503" s="235"/>
      <c r="F503" s="235"/>
      <c r="G503" s="235"/>
      <c r="H503" s="235"/>
      <c r="I503" s="235"/>
      <c r="J503" s="235"/>
      <c r="K503" s="235"/>
      <c r="L503" s="235"/>
      <c r="M503" s="235"/>
      <c r="N503" s="9" t="s">
        <v>786</v>
      </c>
      <c r="O503" s="55" t="e">
        <f>VLOOKUP(N503,Casilleros!$A$4:$Q$830,17,FALSE)</f>
        <v>#REF!</v>
      </c>
      <c r="S503" s="61" t="str">
        <f t="shared" si="93"/>
        <v>6151</v>
      </c>
      <c r="T503" s="64" t="str">
        <f t="shared" si="91"/>
        <v>ESTADO DEL RESULTADO INTEGRAL</v>
      </c>
      <c r="U503" s="64" t="str">
        <f t="shared" si="85"/>
        <v>Ingresos obtenidos en dinero electrónico (Informativo)</v>
      </c>
      <c r="V503" s="64" t="str">
        <f t="shared" si="88"/>
        <v/>
      </c>
      <c r="W503" s="64" t="str">
        <f t="shared" si="89"/>
        <v/>
      </c>
      <c r="X503" s="64" t="str">
        <f t="shared" si="94"/>
        <v/>
      </c>
      <c r="Y503" s="64" t="str">
        <f t="shared" si="95"/>
        <v/>
      </c>
      <c r="Z503" s="64" t="str">
        <f t="shared" si="96"/>
        <v/>
      </c>
      <c r="AA503" s="75" t="str">
        <f t="shared" si="92"/>
        <v>Ingresos obtenidos en dinero electrónico (Informativo)</v>
      </c>
    </row>
    <row r="504" spans="1:48">
      <c r="A504" s="53"/>
      <c r="B504" s="235" t="s">
        <v>787</v>
      </c>
      <c r="C504" s="235"/>
      <c r="D504" s="235"/>
      <c r="E504" s="235"/>
      <c r="F504" s="235"/>
      <c r="G504" s="235"/>
      <c r="H504" s="235"/>
      <c r="I504" s="235"/>
      <c r="J504" s="235"/>
      <c r="K504" s="235"/>
      <c r="L504" s="235"/>
      <c r="M504" s="235"/>
      <c r="N504" s="9" t="s">
        <v>788</v>
      </c>
      <c r="O504" s="74" t="e">
        <f>VLOOKUP(N504,Casilleros!$A$4:$Q$830,17,FALSE)</f>
        <v>#REF!</v>
      </c>
      <c r="S504" s="61" t="str">
        <f t="shared" si="93"/>
        <v>6152</v>
      </c>
      <c r="T504" s="64" t="str">
        <f t="shared" si="91"/>
        <v>ESTADO DEL RESULTADO INTEGRAL</v>
      </c>
      <c r="U504" s="64" t="str">
        <f t="shared" si="85"/>
        <v>Ingresos brutos totales según contabilidad</v>
      </c>
      <c r="V504" s="64" t="str">
        <f t="shared" si="88"/>
        <v/>
      </c>
      <c r="W504" s="64" t="str">
        <f t="shared" si="89"/>
        <v/>
      </c>
      <c r="X504" s="64" t="str">
        <f t="shared" si="94"/>
        <v/>
      </c>
      <c r="Y504" s="64" t="str">
        <f t="shared" si="95"/>
        <v/>
      </c>
      <c r="Z504" s="64" t="str">
        <f t="shared" si="96"/>
        <v/>
      </c>
      <c r="AA504" s="75" t="str">
        <f t="shared" si="92"/>
        <v>Ingresos brutos totales según contabilidad</v>
      </c>
    </row>
    <row r="505" spans="1:48">
      <c r="A505" s="53"/>
      <c r="B505" s="236" t="s">
        <v>789</v>
      </c>
      <c r="C505" s="236"/>
      <c r="D505" s="236"/>
      <c r="E505" s="236"/>
      <c r="F505" s="236"/>
      <c r="G505" s="236"/>
      <c r="H505" s="236"/>
      <c r="I505" s="236"/>
      <c r="J505" s="236"/>
      <c r="K505" s="236"/>
      <c r="L505" s="236"/>
      <c r="M505" s="236"/>
      <c r="N505" s="236"/>
      <c r="O505" s="236"/>
      <c r="T505" s="64" t="str">
        <f t="shared" si="91"/>
        <v>ESTADO DEL RESULTADO INTEGRAL</v>
      </c>
      <c r="U505" s="64" t="str">
        <f t="shared" si="85"/>
        <v>COSTOS Y GASTOS</v>
      </c>
      <c r="V505" s="64" t="str">
        <f t="shared" si="88"/>
        <v/>
      </c>
      <c r="W505" s="64" t="str">
        <f t="shared" si="89"/>
        <v/>
      </c>
      <c r="X505" s="64" t="str">
        <f t="shared" si="94"/>
        <v/>
      </c>
      <c r="Y505" s="64" t="str">
        <f t="shared" si="95"/>
        <v/>
      </c>
      <c r="Z505" s="64" t="str">
        <f t="shared" si="96"/>
        <v/>
      </c>
      <c r="AA505" s="64" t="str">
        <f>IF(X505&lt;&gt;"",CONCATENATE(W505,"_",X505,"_",Y505,"_",Z505),W505)</f>
        <v/>
      </c>
    </row>
    <row r="506" spans="1:48">
      <c r="A506" s="53"/>
      <c r="B506" s="53"/>
      <c r="C506" s="236" t="s">
        <v>790</v>
      </c>
      <c r="D506" s="236"/>
      <c r="E506" s="236"/>
      <c r="F506" s="236"/>
      <c r="G506" s="236"/>
      <c r="H506" s="236"/>
      <c r="I506" s="236"/>
      <c r="J506" s="246" t="s">
        <v>144</v>
      </c>
      <c r="K506" s="246"/>
      <c r="L506" s="246" t="s">
        <v>11</v>
      </c>
      <c r="M506" s="246"/>
      <c r="N506" s="246" t="s">
        <v>791</v>
      </c>
      <c r="O506" s="246"/>
      <c r="T506" s="64" t="str">
        <f t="shared" si="91"/>
        <v>ESTADO DEL RESULTADO INTEGRAL</v>
      </c>
      <c r="U506" s="64" t="str">
        <f t="shared" si="85"/>
        <v>COSTOS Y GASTOS</v>
      </c>
      <c r="V506" s="64" t="str">
        <f t="shared" si="88"/>
        <v>COSTO DE VENTAS</v>
      </c>
      <c r="W506" s="64" t="str">
        <f t="shared" si="89"/>
        <v/>
      </c>
      <c r="X506" s="64" t="str">
        <f t="shared" si="94"/>
        <v/>
      </c>
      <c r="Y506" s="64" t="str">
        <f t="shared" si="95"/>
        <v/>
      </c>
      <c r="Z506" s="64" t="str">
        <f t="shared" si="96"/>
        <v/>
      </c>
      <c r="AA506" s="64" t="str">
        <f>IF(X506&lt;&gt;"",CONCATENATE(W506,"_",X506,"_",Y506,"_",Z506),W506)</f>
        <v/>
      </c>
    </row>
    <row r="507" spans="1:48">
      <c r="A507" s="53"/>
      <c r="B507" s="53"/>
      <c r="C507" s="53"/>
      <c r="D507" s="242" t="s">
        <v>792</v>
      </c>
      <c r="E507" s="242"/>
      <c r="F507" s="242"/>
      <c r="G507" s="242"/>
      <c r="H507" s="242"/>
      <c r="I507" s="242"/>
      <c r="J507" s="9" t="s">
        <v>793</v>
      </c>
      <c r="K507" s="55" t="e">
        <f>VLOOKUP(J507,Casilleros!$A$4:$Q$830,17,FALSE)</f>
        <v>#REF!</v>
      </c>
      <c r="L507" s="254" t="s">
        <v>741</v>
      </c>
      <c r="M507" s="254"/>
      <c r="N507" s="254" t="s">
        <v>741</v>
      </c>
      <c r="O507" s="254"/>
      <c r="S507" s="61" t="str">
        <f>+J507</f>
        <v>7001</v>
      </c>
      <c r="T507" s="64" t="str">
        <f t="shared" si="91"/>
        <v>ESTADO DEL RESULTADO INTEGRAL</v>
      </c>
      <c r="U507" s="64" t="str">
        <f t="shared" si="85"/>
        <v>COSTOS Y GASTOS</v>
      </c>
      <c r="V507" s="64" t="str">
        <f t="shared" si="88"/>
        <v>COSTO DE VENTAS</v>
      </c>
      <c r="W507" s="64" t="str">
        <f t="shared" si="89"/>
        <v>Inventario inicial de bienes no producidos por el sujeto pasivo</v>
      </c>
      <c r="X507" s="64" t="str">
        <f t="shared" si="94"/>
        <v/>
      </c>
      <c r="Y507" s="64" t="str">
        <f t="shared" si="95"/>
        <v/>
      </c>
      <c r="Z507" s="64" t="str">
        <f t="shared" si="96"/>
        <v/>
      </c>
      <c r="AA507" s="64" t="str">
        <f>IF(X507&lt;&gt;"",CONCATENATE(W507,"_",X507,"_",Y507,"_",Z507,"_Costo"),CONCATENATE(V507, "_",W507,"_Costo"))</f>
        <v>COSTO DE VENTAS_Inventario inicial de bienes no producidos por el sujeto pasivo_Costo</v>
      </c>
      <c r="AM507" s="81"/>
      <c r="AN507" s="81" t="s">
        <v>561</v>
      </c>
      <c r="AO507" s="81" t="s">
        <v>789</v>
      </c>
      <c r="AP507" s="81" t="s">
        <v>790</v>
      </c>
      <c r="AQ507" s="81" t="s">
        <v>792</v>
      </c>
      <c r="AR507" s="81" t="s">
        <v>444</v>
      </c>
      <c r="AS507" s="81" t="s">
        <v>444</v>
      </c>
      <c r="AT507" s="81" t="s">
        <v>444</v>
      </c>
      <c r="AU507" s="81" t="s">
        <v>2045</v>
      </c>
      <c r="AV507" s="81" t="str">
        <f>CONCATENATE("GND_",AU507,"&amp;Gasto")</f>
        <v>GND_GND_COSTO DE VENTAS_Inventario inicial de bienes no producidos por el sujeto pasivo_Costo&amp;Gasto&amp;Gasto</v>
      </c>
    </row>
    <row r="508" spans="1:48">
      <c r="A508" s="53"/>
      <c r="B508" s="53"/>
      <c r="C508" s="53"/>
      <c r="D508" s="242" t="s">
        <v>794</v>
      </c>
      <c r="E508" s="242"/>
      <c r="F508" s="242"/>
      <c r="G508" s="242"/>
      <c r="H508" s="242"/>
      <c r="I508" s="242"/>
      <c r="J508" s="9" t="s">
        <v>795</v>
      </c>
      <c r="K508" s="55" t="e">
        <f>VLOOKUP(J508,Casilleros!$A$4:$Q$830,17,FALSE)</f>
        <v>#REF!</v>
      </c>
      <c r="L508" s="255" t="s">
        <v>741</v>
      </c>
      <c r="M508" s="255"/>
      <c r="N508" s="9" t="s">
        <v>796</v>
      </c>
      <c r="O508" s="55" t="e">
        <f>VLOOKUP(N508,Casilleros!$A$4:$Q$830,17,FALSE)</f>
        <v>#REF!</v>
      </c>
      <c r="S508" s="61" t="str">
        <f>+J508</f>
        <v>7004</v>
      </c>
      <c r="T508" s="64" t="str">
        <f t="shared" si="91"/>
        <v>ESTADO DEL RESULTADO INTEGRAL</v>
      </c>
      <c r="U508" s="64" t="str">
        <f t="shared" si="85"/>
        <v>COSTOS Y GASTOS</v>
      </c>
      <c r="V508" s="64" t="str">
        <f t="shared" si="88"/>
        <v>COSTO DE VENTAS</v>
      </c>
      <c r="W508" s="64" t="str">
        <f t="shared" si="89"/>
        <v>Compras netas locales de bienes no producidos por el sujeto pasivo</v>
      </c>
      <c r="X508" s="64" t="str">
        <f t="shared" si="94"/>
        <v/>
      </c>
      <c r="Y508" s="64" t="str">
        <f t="shared" si="95"/>
        <v/>
      </c>
      <c r="Z508" s="64" t="str">
        <f t="shared" si="96"/>
        <v/>
      </c>
      <c r="AA508" s="64" t="str">
        <f t="shared" ref="AA508:AA571" si="97">IF(X508&lt;&gt;"",CONCATENATE(W508,"_",X508,"_",Y508,"_",Z508,"_Costo"),CONCATENATE(V508, "_",W508,"_Costo"))</f>
        <v>COSTO DE VENTAS_Compras netas locales de bienes no producidos por el sujeto pasivo_Costo</v>
      </c>
      <c r="AM508" s="81" t="s">
        <v>796</v>
      </c>
      <c r="AN508" s="81" t="s">
        <v>561</v>
      </c>
      <c r="AO508" s="81" t="s">
        <v>789</v>
      </c>
      <c r="AP508" s="81" t="s">
        <v>790</v>
      </c>
      <c r="AQ508" s="81" t="s">
        <v>794</v>
      </c>
      <c r="AR508" s="81" t="s">
        <v>444</v>
      </c>
      <c r="AS508" s="81" t="s">
        <v>444</v>
      </c>
      <c r="AT508" s="81" t="s">
        <v>444</v>
      </c>
      <c r="AU508" s="81" t="s">
        <v>2046</v>
      </c>
      <c r="AV508" s="81" t="str">
        <f t="shared" ref="AV508:AV571" si="98">CONCATENATE("GND_",AU508,"&amp;Gasto")</f>
        <v>GND_GND_COSTO DE VENTAS_Compras netas locales de bienes no producidos por el sujeto pasivo_Costo&amp;Gasto&amp;Gasto</v>
      </c>
    </row>
    <row r="509" spans="1:48">
      <c r="A509" s="53"/>
      <c r="B509" s="53"/>
      <c r="C509" s="53"/>
      <c r="D509" s="242" t="s">
        <v>797</v>
      </c>
      <c r="E509" s="242"/>
      <c r="F509" s="242"/>
      <c r="G509" s="242"/>
      <c r="H509" s="242"/>
      <c r="I509" s="242"/>
      <c r="J509" s="9" t="s">
        <v>798</v>
      </c>
      <c r="K509" s="55" t="e">
        <f>VLOOKUP(J509,Casilleros!$A$4:$Q$830,17,FALSE)</f>
        <v>#REF!</v>
      </c>
      <c r="L509" s="9" t="s">
        <v>799</v>
      </c>
      <c r="M509" s="55" t="e">
        <f>VLOOKUP(L509,Casilleros!$A$4:$Q$830,17,FALSE)</f>
        <v>#REF!</v>
      </c>
      <c r="N509" s="9" t="s">
        <v>800</v>
      </c>
      <c r="O509" s="55" t="e">
        <f>VLOOKUP(N509,Casilleros!$A$4:$Q$830,17,FALSE)</f>
        <v>#REF!</v>
      </c>
      <c r="S509" s="61" t="str">
        <f>+J509</f>
        <v>7007</v>
      </c>
      <c r="T509" s="64" t="str">
        <f t="shared" si="91"/>
        <v>ESTADO DEL RESULTADO INTEGRAL</v>
      </c>
      <c r="U509" s="64" t="str">
        <f t="shared" si="85"/>
        <v>COSTOS Y GASTOS</v>
      </c>
      <c r="V509" s="64" t="str">
        <f t="shared" si="88"/>
        <v>COSTO DE VENTAS</v>
      </c>
      <c r="W509" s="64" t="str">
        <f t="shared" si="89"/>
        <v>Importaciones de bienes no producidos por el sujeto pasivo</v>
      </c>
      <c r="X509" s="64" t="str">
        <f t="shared" si="94"/>
        <v/>
      </c>
      <c r="Y509" s="64" t="str">
        <f t="shared" si="95"/>
        <v/>
      </c>
      <c r="Z509" s="64" t="str">
        <f t="shared" si="96"/>
        <v/>
      </c>
      <c r="AA509" s="64" t="str">
        <f t="shared" si="97"/>
        <v>COSTO DE VENTAS_Importaciones de bienes no producidos por el sujeto pasivo_Costo</v>
      </c>
      <c r="AC509" s="82" t="s">
        <v>799</v>
      </c>
      <c r="AD509" s="76" t="s">
        <v>561</v>
      </c>
      <c r="AE509" s="76" t="s">
        <v>789</v>
      </c>
      <c r="AF509" s="76" t="s">
        <v>790</v>
      </c>
      <c r="AG509" s="76" t="s">
        <v>797</v>
      </c>
      <c r="AH509" s="76" t="s">
        <v>444</v>
      </c>
      <c r="AI509" s="76" t="s">
        <v>444</v>
      </c>
      <c r="AJ509" s="76" t="s">
        <v>444</v>
      </c>
      <c r="AK509" s="76" t="s">
        <v>1370</v>
      </c>
      <c r="AL509" s="76"/>
      <c r="AM509" s="81" t="s">
        <v>800</v>
      </c>
      <c r="AN509" s="81" t="s">
        <v>561</v>
      </c>
      <c r="AO509" s="81" t="s">
        <v>789</v>
      </c>
      <c r="AP509" s="81" t="s">
        <v>790</v>
      </c>
      <c r="AQ509" s="81" t="s">
        <v>797</v>
      </c>
      <c r="AR509" s="81" t="s">
        <v>444</v>
      </c>
      <c r="AS509" s="81" t="s">
        <v>444</v>
      </c>
      <c r="AT509" s="81" t="s">
        <v>444</v>
      </c>
      <c r="AU509" s="81" t="s">
        <v>2047</v>
      </c>
      <c r="AV509" s="81" t="str">
        <f t="shared" si="98"/>
        <v>GND_GND_COSTO DE VENTAS_Importaciones de bienes no producidos por el sujeto pasivo_Costo&amp;Gasto&amp;Gasto</v>
      </c>
    </row>
    <row r="510" spans="1:48">
      <c r="A510" s="53"/>
      <c r="B510" s="53"/>
      <c r="C510" s="53"/>
      <c r="D510" s="242" t="s">
        <v>801</v>
      </c>
      <c r="E510" s="242"/>
      <c r="F510" s="242"/>
      <c r="G510" s="242"/>
      <c r="H510" s="242"/>
      <c r="I510" s="242"/>
      <c r="J510" s="9" t="s">
        <v>802</v>
      </c>
      <c r="K510" s="55" t="e">
        <f>VLOOKUP(J510,Casilleros!$A$4:$Q$830,17,FALSE)</f>
        <v>#REF!</v>
      </c>
      <c r="L510" s="254" t="s">
        <v>741</v>
      </c>
      <c r="M510" s="254"/>
      <c r="N510" s="254" t="s">
        <v>741</v>
      </c>
      <c r="O510" s="254"/>
      <c r="S510" s="61" t="str">
        <f t="shared" ref="S510:S541" si="99">+J510</f>
        <v>7010</v>
      </c>
      <c r="T510" s="64" t="str">
        <f t="shared" ref="T510:T573" si="100">IF(A510&lt;&gt;"",A510,T509)</f>
        <v>ESTADO DEL RESULTADO INTEGRAL</v>
      </c>
      <c r="U510" s="64" t="str">
        <f t="shared" ref="U510:U573" si="101">IF(T509&lt;&gt;T510,"",(IF(B510&lt;&gt;"",B510,U509)))</f>
        <v>COSTOS Y GASTOS</v>
      </c>
      <c r="V510" s="64" t="str">
        <f t="shared" si="88"/>
        <v>COSTO DE VENTAS</v>
      </c>
      <c r="W510" s="64" t="str">
        <f t="shared" si="89"/>
        <v>(-) Inventario final de bienes no producidos por el sujeto pasivo</v>
      </c>
      <c r="X510" s="64" t="str">
        <f t="shared" ref="X510:X573" si="102">IF(W509&lt;&gt;W510,"",(IF(E510&lt;&gt;"",E510,X509)))</f>
        <v/>
      </c>
      <c r="Y510" s="64" t="str">
        <f t="shared" ref="Y510:Y573" si="103">IF(X509&lt;&gt;X510,"",(IF(F510&lt;&gt;"",F510,Y509)))</f>
        <v/>
      </c>
      <c r="Z510" s="64" t="str">
        <f t="shared" ref="Z510:Z573" si="104">IF(Y509&lt;&gt;Y510,"",(IF(G510&lt;&gt;"",G510,Z509)))</f>
        <v/>
      </c>
      <c r="AA510" s="64" t="str">
        <f t="shared" si="97"/>
        <v>COSTO DE VENTAS_(-) Inventario final de bienes no producidos por el sujeto pasivo_Costo</v>
      </c>
      <c r="AM510" s="81"/>
      <c r="AN510" s="81" t="s">
        <v>561</v>
      </c>
      <c r="AO510" s="81" t="s">
        <v>789</v>
      </c>
      <c r="AP510" s="81" t="s">
        <v>790</v>
      </c>
      <c r="AQ510" s="81" t="s">
        <v>801</v>
      </c>
      <c r="AR510" s="81" t="s">
        <v>444</v>
      </c>
      <c r="AS510" s="81" t="s">
        <v>444</v>
      </c>
      <c r="AT510" s="81" t="s">
        <v>444</v>
      </c>
      <c r="AU510" s="81" t="s">
        <v>2048</v>
      </c>
      <c r="AV510" s="81" t="str">
        <f t="shared" si="98"/>
        <v>GND_GND_COSTO DE VENTAS_(-) Inventario final de bienes no producidos por el sujeto pasivo_Costo&amp;Gasto&amp;Gasto</v>
      </c>
    </row>
    <row r="511" spans="1:48">
      <c r="A511" s="53"/>
      <c r="B511" s="53"/>
      <c r="C511" s="53"/>
      <c r="D511" s="242" t="s">
        <v>803</v>
      </c>
      <c r="E511" s="242"/>
      <c r="F511" s="242"/>
      <c r="G511" s="242"/>
      <c r="H511" s="242"/>
      <c r="I511" s="242"/>
      <c r="J511" s="9" t="s">
        <v>804</v>
      </c>
      <c r="K511" s="55" t="e">
        <f>VLOOKUP(J511,Casilleros!$A$4:$Q$830,17,FALSE)</f>
        <v>#REF!</v>
      </c>
      <c r="L511" s="254" t="s">
        <v>741</v>
      </c>
      <c r="M511" s="254"/>
      <c r="N511" s="254" t="s">
        <v>741</v>
      </c>
      <c r="O511" s="254"/>
      <c r="S511" s="61" t="str">
        <f t="shared" si="99"/>
        <v>7013</v>
      </c>
      <c r="T511" s="64" t="str">
        <f t="shared" si="100"/>
        <v>ESTADO DEL RESULTADO INTEGRAL</v>
      </c>
      <c r="U511" s="64" t="str">
        <f t="shared" si="101"/>
        <v>COSTOS Y GASTOS</v>
      </c>
      <c r="V511" s="64" t="str">
        <f t="shared" si="88"/>
        <v>COSTO DE VENTAS</v>
      </c>
      <c r="W511" s="64" t="str">
        <f t="shared" si="89"/>
        <v>Inventario inicial de materia prima</v>
      </c>
      <c r="X511" s="64" t="str">
        <f t="shared" si="102"/>
        <v/>
      </c>
      <c r="Y511" s="64" t="str">
        <f t="shared" si="103"/>
        <v/>
      </c>
      <c r="Z511" s="64" t="str">
        <f t="shared" si="104"/>
        <v/>
      </c>
      <c r="AA511" s="64" t="str">
        <f t="shared" si="97"/>
        <v>COSTO DE VENTAS_Inventario inicial de materia prima_Costo</v>
      </c>
      <c r="AM511" s="81"/>
      <c r="AN511" s="81" t="s">
        <v>561</v>
      </c>
      <c r="AO511" s="81" t="s">
        <v>789</v>
      </c>
      <c r="AP511" s="81" t="s">
        <v>790</v>
      </c>
      <c r="AQ511" s="81" t="s">
        <v>803</v>
      </c>
      <c r="AR511" s="81" t="s">
        <v>444</v>
      </c>
      <c r="AS511" s="81" t="s">
        <v>444</v>
      </c>
      <c r="AT511" s="81" t="s">
        <v>444</v>
      </c>
      <c r="AU511" s="81" t="s">
        <v>2049</v>
      </c>
      <c r="AV511" s="81" t="str">
        <f t="shared" si="98"/>
        <v>GND_GND_COSTO DE VENTAS_Inventario inicial de materia prima_Costo&amp;Gasto&amp;Gasto</v>
      </c>
    </row>
    <row r="512" spans="1:48">
      <c r="A512" s="53"/>
      <c r="B512" s="53"/>
      <c r="C512" s="53"/>
      <c r="D512" s="242" t="s">
        <v>805</v>
      </c>
      <c r="E512" s="242"/>
      <c r="F512" s="242"/>
      <c r="G512" s="242"/>
      <c r="H512" s="242"/>
      <c r="I512" s="242"/>
      <c r="J512" s="9" t="s">
        <v>806</v>
      </c>
      <c r="K512" s="55" t="e">
        <f>VLOOKUP(J512,Casilleros!$A$4:$Q$830,17,FALSE)</f>
        <v>#REF!</v>
      </c>
      <c r="L512" s="255" t="s">
        <v>741</v>
      </c>
      <c r="M512" s="255"/>
      <c r="N512" s="9" t="s">
        <v>807</v>
      </c>
      <c r="O512" s="55" t="e">
        <f>VLOOKUP(N512,Casilleros!$A$4:$Q$830,17,FALSE)</f>
        <v>#REF!</v>
      </c>
      <c r="S512" s="61" t="str">
        <f t="shared" si="99"/>
        <v>7016</v>
      </c>
      <c r="T512" s="64" t="str">
        <f t="shared" si="100"/>
        <v>ESTADO DEL RESULTADO INTEGRAL</v>
      </c>
      <c r="U512" s="64" t="str">
        <f t="shared" si="101"/>
        <v>COSTOS Y GASTOS</v>
      </c>
      <c r="V512" s="64" t="str">
        <f t="shared" si="88"/>
        <v>COSTO DE VENTAS</v>
      </c>
      <c r="W512" s="64" t="str">
        <f t="shared" si="89"/>
        <v>Compras netas locales de materia prima</v>
      </c>
      <c r="X512" s="64" t="str">
        <f t="shared" si="102"/>
        <v/>
      </c>
      <c r="Y512" s="64" t="str">
        <f t="shared" si="103"/>
        <v/>
      </c>
      <c r="Z512" s="64" t="str">
        <f t="shared" si="104"/>
        <v/>
      </c>
      <c r="AA512" s="64" t="str">
        <f t="shared" si="97"/>
        <v>COSTO DE VENTAS_Compras netas locales de materia prima_Costo</v>
      </c>
      <c r="AM512" s="81" t="s">
        <v>807</v>
      </c>
      <c r="AN512" s="81" t="s">
        <v>561</v>
      </c>
      <c r="AO512" s="81" t="s">
        <v>789</v>
      </c>
      <c r="AP512" s="81" t="s">
        <v>790</v>
      </c>
      <c r="AQ512" s="81" t="s">
        <v>805</v>
      </c>
      <c r="AR512" s="81" t="s">
        <v>444</v>
      </c>
      <c r="AS512" s="81" t="s">
        <v>444</v>
      </c>
      <c r="AT512" s="81" t="s">
        <v>444</v>
      </c>
      <c r="AU512" s="81" t="s">
        <v>2050</v>
      </c>
      <c r="AV512" s="81" t="str">
        <f t="shared" si="98"/>
        <v>GND_GND_COSTO DE VENTAS_Compras netas locales de materia prima_Costo&amp;Gasto&amp;Gasto</v>
      </c>
    </row>
    <row r="513" spans="1:48">
      <c r="A513" s="53"/>
      <c r="B513" s="53"/>
      <c r="C513" s="53"/>
      <c r="D513" s="242" t="s">
        <v>808</v>
      </c>
      <c r="E513" s="242"/>
      <c r="F513" s="242"/>
      <c r="G513" s="242"/>
      <c r="H513" s="242"/>
      <c r="I513" s="242"/>
      <c r="J513" s="9" t="s">
        <v>809</v>
      </c>
      <c r="K513" s="55" t="e">
        <f>VLOOKUP(J513,Casilleros!$A$4:$Q$830,17,FALSE)</f>
        <v>#REF!</v>
      </c>
      <c r="L513" s="255" t="s">
        <v>741</v>
      </c>
      <c r="M513" s="255"/>
      <c r="N513" s="9" t="s">
        <v>810</v>
      </c>
      <c r="O513" s="55" t="e">
        <f>VLOOKUP(N513,Casilleros!$A$4:$Q$830,17,FALSE)</f>
        <v>#REF!</v>
      </c>
      <c r="S513" s="61" t="str">
        <f t="shared" si="99"/>
        <v>7019</v>
      </c>
      <c r="T513" s="64" t="str">
        <f t="shared" si="100"/>
        <v>ESTADO DEL RESULTADO INTEGRAL</v>
      </c>
      <c r="U513" s="64" t="str">
        <f t="shared" si="101"/>
        <v>COSTOS Y GASTOS</v>
      </c>
      <c r="V513" s="64" t="str">
        <f t="shared" si="88"/>
        <v>COSTO DE VENTAS</v>
      </c>
      <c r="W513" s="64" t="str">
        <f t="shared" si="89"/>
        <v>Importaciones de materia prima</v>
      </c>
      <c r="X513" s="64" t="str">
        <f t="shared" si="102"/>
        <v/>
      </c>
      <c r="Y513" s="64" t="str">
        <f t="shared" si="103"/>
        <v/>
      </c>
      <c r="Z513" s="64" t="str">
        <f t="shared" si="104"/>
        <v/>
      </c>
      <c r="AA513" s="64" t="str">
        <f t="shared" si="97"/>
        <v>COSTO DE VENTAS_Importaciones de materia prima_Costo</v>
      </c>
      <c r="AM513" s="81" t="s">
        <v>810</v>
      </c>
      <c r="AN513" s="81" t="s">
        <v>561</v>
      </c>
      <c r="AO513" s="81" t="s">
        <v>789</v>
      </c>
      <c r="AP513" s="81" t="s">
        <v>790</v>
      </c>
      <c r="AQ513" s="81" t="s">
        <v>808</v>
      </c>
      <c r="AR513" s="81" t="s">
        <v>444</v>
      </c>
      <c r="AS513" s="81" t="s">
        <v>444</v>
      </c>
      <c r="AT513" s="81" t="s">
        <v>444</v>
      </c>
      <c r="AU513" s="81" t="s">
        <v>2051</v>
      </c>
      <c r="AV513" s="81" t="str">
        <f t="shared" si="98"/>
        <v>GND_GND_COSTO DE VENTAS_Importaciones de materia prima_Costo&amp;Gasto&amp;Gasto</v>
      </c>
    </row>
    <row r="514" spans="1:48">
      <c r="A514" s="53"/>
      <c r="B514" s="53"/>
      <c r="C514" s="53"/>
      <c r="D514" s="242" t="s">
        <v>811</v>
      </c>
      <c r="E514" s="242"/>
      <c r="F514" s="242"/>
      <c r="G514" s="242"/>
      <c r="H514" s="242"/>
      <c r="I514" s="242"/>
      <c r="J514" s="9" t="s">
        <v>812</v>
      </c>
      <c r="K514" s="55" t="e">
        <f>VLOOKUP(J514,Casilleros!$A$4:$Q$830,17,FALSE)</f>
        <v>#REF!</v>
      </c>
      <c r="L514" s="255" t="s">
        <v>741</v>
      </c>
      <c r="M514" s="255"/>
      <c r="N514" s="254" t="s">
        <v>741</v>
      </c>
      <c r="O514" s="254"/>
      <c r="S514" s="61" t="str">
        <f t="shared" si="99"/>
        <v>7022</v>
      </c>
      <c r="T514" s="64" t="str">
        <f t="shared" si="100"/>
        <v>ESTADO DEL RESULTADO INTEGRAL</v>
      </c>
      <c r="U514" s="64" t="str">
        <f t="shared" si="101"/>
        <v>COSTOS Y GASTOS</v>
      </c>
      <c r="V514" s="64" t="str">
        <f t="shared" si="88"/>
        <v>COSTO DE VENTAS</v>
      </c>
      <c r="W514" s="64" t="str">
        <f t="shared" si="89"/>
        <v>(-) Inventario final de materia prima</v>
      </c>
      <c r="X514" s="64" t="str">
        <f t="shared" si="102"/>
        <v/>
      </c>
      <c r="Y514" s="64" t="str">
        <f t="shared" si="103"/>
        <v/>
      </c>
      <c r="Z514" s="64" t="str">
        <f t="shared" si="104"/>
        <v/>
      </c>
      <c r="AA514" s="64" t="str">
        <f t="shared" si="97"/>
        <v>COSTO DE VENTAS_(-) Inventario final de materia prima_Costo</v>
      </c>
      <c r="AM514" s="81"/>
      <c r="AN514" s="81" t="s">
        <v>561</v>
      </c>
      <c r="AO514" s="81" t="s">
        <v>789</v>
      </c>
      <c r="AP514" s="81" t="s">
        <v>790</v>
      </c>
      <c r="AQ514" s="81" t="s">
        <v>811</v>
      </c>
      <c r="AR514" s="81" t="s">
        <v>444</v>
      </c>
      <c r="AS514" s="81" t="s">
        <v>444</v>
      </c>
      <c r="AT514" s="81" t="s">
        <v>444</v>
      </c>
      <c r="AU514" s="81" t="s">
        <v>2052</v>
      </c>
      <c r="AV514" s="81" t="str">
        <f t="shared" si="98"/>
        <v>GND_GND_COSTO DE VENTAS_(-) Inventario final de materia prima_Costo&amp;Gasto&amp;Gasto</v>
      </c>
    </row>
    <row r="515" spans="1:48">
      <c r="A515" s="53"/>
      <c r="B515" s="53"/>
      <c r="C515" s="53"/>
      <c r="D515" s="242" t="s">
        <v>813</v>
      </c>
      <c r="E515" s="242"/>
      <c r="F515" s="242"/>
      <c r="G515" s="242"/>
      <c r="H515" s="242"/>
      <c r="I515" s="242"/>
      <c r="J515" s="9" t="s">
        <v>814</v>
      </c>
      <c r="K515" s="55" t="e">
        <f>VLOOKUP(J515,Casilleros!$A$4:$Q$830,17,FALSE)</f>
        <v>#REF!</v>
      </c>
      <c r="L515" s="254" t="s">
        <v>741</v>
      </c>
      <c r="M515" s="254"/>
      <c r="N515" s="254" t="s">
        <v>741</v>
      </c>
      <c r="O515" s="254"/>
      <c r="S515" s="61" t="str">
        <f t="shared" si="99"/>
        <v>7025</v>
      </c>
      <c r="T515" s="64" t="str">
        <f t="shared" si="100"/>
        <v>ESTADO DEL RESULTADO INTEGRAL</v>
      </c>
      <c r="U515" s="64" t="str">
        <f t="shared" si="101"/>
        <v>COSTOS Y GASTOS</v>
      </c>
      <c r="V515" s="64" t="str">
        <f t="shared" si="88"/>
        <v>COSTO DE VENTAS</v>
      </c>
      <c r="W515" s="64" t="str">
        <f t="shared" si="89"/>
        <v>Inventario inicial de productos en proceso</v>
      </c>
      <c r="X515" s="64" t="str">
        <f t="shared" si="102"/>
        <v/>
      </c>
      <c r="Y515" s="64" t="str">
        <f t="shared" si="103"/>
        <v/>
      </c>
      <c r="Z515" s="64" t="str">
        <f t="shared" si="104"/>
        <v/>
      </c>
      <c r="AA515" s="64" t="str">
        <f t="shared" si="97"/>
        <v>COSTO DE VENTAS_Inventario inicial de productos en proceso_Costo</v>
      </c>
      <c r="AM515" s="81"/>
      <c r="AN515" s="81" t="s">
        <v>561</v>
      </c>
      <c r="AO515" s="81" t="s">
        <v>789</v>
      </c>
      <c r="AP515" s="81" t="s">
        <v>790</v>
      </c>
      <c r="AQ515" s="81" t="s">
        <v>813</v>
      </c>
      <c r="AR515" s="81" t="s">
        <v>444</v>
      </c>
      <c r="AS515" s="81" t="s">
        <v>444</v>
      </c>
      <c r="AT515" s="81" t="s">
        <v>444</v>
      </c>
      <c r="AU515" s="81" t="s">
        <v>2053</v>
      </c>
      <c r="AV515" s="81" t="str">
        <f t="shared" si="98"/>
        <v>GND_GND_COSTO DE VENTAS_Inventario inicial de productos en proceso_Costo&amp;Gasto&amp;Gasto</v>
      </c>
    </row>
    <row r="516" spans="1:48">
      <c r="A516" s="53"/>
      <c r="B516" s="53"/>
      <c r="C516" s="53"/>
      <c r="D516" s="242" t="s">
        <v>815</v>
      </c>
      <c r="E516" s="242"/>
      <c r="F516" s="242"/>
      <c r="G516" s="242"/>
      <c r="H516" s="242"/>
      <c r="I516" s="242"/>
      <c r="J516" s="9" t="s">
        <v>816</v>
      </c>
      <c r="K516" s="55" t="e">
        <f>VLOOKUP(J516,Casilleros!$A$4:$Q$830,17,FALSE)</f>
        <v>#REF!</v>
      </c>
      <c r="L516" s="254" t="s">
        <v>741</v>
      </c>
      <c r="M516" s="254"/>
      <c r="N516" s="254" t="s">
        <v>741</v>
      </c>
      <c r="O516" s="254"/>
      <c r="S516" s="61" t="str">
        <f t="shared" si="99"/>
        <v>7028</v>
      </c>
      <c r="T516" s="64" t="str">
        <f t="shared" si="100"/>
        <v>ESTADO DEL RESULTADO INTEGRAL</v>
      </c>
      <c r="U516" s="64" t="str">
        <f t="shared" si="101"/>
        <v>COSTOS Y GASTOS</v>
      </c>
      <c r="V516" s="64" t="str">
        <f t="shared" si="88"/>
        <v>COSTO DE VENTAS</v>
      </c>
      <c r="W516" s="64" t="str">
        <f t="shared" si="89"/>
        <v>(-) Inventario final de productos en proceso</v>
      </c>
      <c r="X516" s="64" t="str">
        <f t="shared" si="102"/>
        <v/>
      </c>
      <c r="Y516" s="64" t="str">
        <f t="shared" si="103"/>
        <v/>
      </c>
      <c r="Z516" s="64" t="str">
        <f t="shared" si="104"/>
        <v/>
      </c>
      <c r="AA516" s="64" t="str">
        <f t="shared" si="97"/>
        <v>COSTO DE VENTAS_(-) Inventario final de productos en proceso_Costo</v>
      </c>
      <c r="AM516" s="81"/>
      <c r="AN516" s="81" t="s">
        <v>561</v>
      </c>
      <c r="AO516" s="81" t="s">
        <v>789</v>
      </c>
      <c r="AP516" s="81" t="s">
        <v>790</v>
      </c>
      <c r="AQ516" s="81" t="s">
        <v>815</v>
      </c>
      <c r="AR516" s="81" t="s">
        <v>444</v>
      </c>
      <c r="AS516" s="81" t="s">
        <v>444</v>
      </c>
      <c r="AT516" s="81" t="s">
        <v>444</v>
      </c>
      <c r="AU516" s="81" t="s">
        <v>2054</v>
      </c>
      <c r="AV516" s="81" t="str">
        <f t="shared" si="98"/>
        <v>GND_GND_COSTO DE VENTAS_(-) Inventario final de productos en proceso_Costo&amp;Gasto&amp;Gasto</v>
      </c>
    </row>
    <row r="517" spans="1:48">
      <c r="A517" s="53"/>
      <c r="B517" s="53"/>
      <c r="C517" s="53"/>
      <c r="D517" s="242" t="s">
        <v>817</v>
      </c>
      <c r="E517" s="242"/>
      <c r="F517" s="242"/>
      <c r="G517" s="242"/>
      <c r="H517" s="242"/>
      <c r="I517" s="242"/>
      <c r="J517" s="9" t="s">
        <v>818</v>
      </c>
      <c r="K517" s="55" t="e">
        <f>VLOOKUP(J517,Casilleros!$A$4:$Q$830,17,FALSE)</f>
        <v>#REF!</v>
      </c>
      <c r="L517" s="254" t="s">
        <v>741</v>
      </c>
      <c r="M517" s="254"/>
      <c r="N517" s="254" t="s">
        <v>741</v>
      </c>
      <c r="O517" s="254"/>
      <c r="S517" s="61" t="str">
        <f t="shared" si="99"/>
        <v>7031</v>
      </c>
      <c r="T517" s="64" t="str">
        <f t="shared" si="100"/>
        <v>ESTADO DEL RESULTADO INTEGRAL</v>
      </c>
      <c r="U517" s="64" t="str">
        <f t="shared" si="101"/>
        <v>COSTOS Y GASTOS</v>
      </c>
      <c r="V517" s="64" t="str">
        <f t="shared" si="88"/>
        <v>COSTO DE VENTAS</v>
      </c>
      <c r="W517" s="64" t="str">
        <f t="shared" si="89"/>
        <v>Inventario inicial productos terminados</v>
      </c>
      <c r="X517" s="64" t="str">
        <f t="shared" si="102"/>
        <v/>
      </c>
      <c r="Y517" s="64" t="str">
        <f t="shared" si="103"/>
        <v/>
      </c>
      <c r="Z517" s="64" t="str">
        <f t="shared" si="104"/>
        <v/>
      </c>
      <c r="AA517" s="64" t="str">
        <f t="shared" si="97"/>
        <v>COSTO DE VENTAS_Inventario inicial productos terminados_Costo</v>
      </c>
      <c r="AM517" s="81"/>
      <c r="AN517" s="81" t="s">
        <v>561</v>
      </c>
      <c r="AO517" s="81" t="s">
        <v>789</v>
      </c>
      <c r="AP517" s="81" t="s">
        <v>790</v>
      </c>
      <c r="AQ517" s="81" t="s">
        <v>817</v>
      </c>
      <c r="AR517" s="81" t="s">
        <v>444</v>
      </c>
      <c r="AS517" s="81" t="s">
        <v>444</v>
      </c>
      <c r="AT517" s="81" t="s">
        <v>444</v>
      </c>
      <c r="AU517" s="81" t="s">
        <v>2055</v>
      </c>
      <c r="AV517" s="81" t="str">
        <f t="shared" si="98"/>
        <v>GND_GND_COSTO DE VENTAS_Inventario inicial productos terminados_Costo&amp;Gasto&amp;Gasto</v>
      </c>
    </row>
    <row r="518" spans="1:48">
      <c r="A518" s="53"/>
      <c r="B518" s="53"/>
      <c r="C518" s="53"/>
      <c r="D518" s="242" t="s">
        <v>819</v>
      </c>
      <c r="E518" s="242"/>
      <c r="F518" s="242"/>
      <c r="G518" s="242"/>
      <c r="H518" s="242"/>
      <c r="I518" s="242"/>
      <c r="J518" s="9" t="s">
        <v>820</v>
      </c>
      <c r="K518" s="55" t="e">
        <f>VLOOKUP(J518,Casilleros!$A$4:$Q$830,17,FALSE)</f>
        <v>#REF!</v>
      </c>
      <c r="L518" s="254" t="s">
        <v>741</v>
      </c>
      <c r="M518" s="254"/>
      <c r="N518" s="254" t="s">
        <v>741</v>
      </c>
      <c r="O518" s="254"/>
      <c r="S518" s="61" t="str">
        <f t="shared" si="99"/>
        <v>7034</v>
      </c>
      <c r="T518" s="64" t="str">
        <f t="shared" si="100"/>
        <v>ESTADO DEL RESULTADO INTEGRAL</v>
      </c>
      <c r="U518" s="64" t="str">
        <f t="shared" si="101"/>
        <v>COSTOS Y GASTOS</v>
      </c>
      <c r="V518" s="64" t="str">
        <f t="shared" si="88"/>
        <v>COSTO DE VENTAS</v>
      </c>
      <c r="W518" s="64" t="str">
        <f t="shared" si="89"/>
        <v>(-) Inventario final de productos terminados</v>
      </c>
      <c r="X518" s="64" t="str">
        <f t="shared" si="102"/>
        <v/>
      </c>
      <c r="Y518" s="64" t="str">
        <f t="shared" si="103"/>
        <v/>
      </c>
      <c r="Z518" s="64" t="str">
        <f t="shared" si="104"/>
        <v/>
      </c>
      <c r="AA518" s="64" t="str">
        <f t="shared" si="97"/>
        <v>COSTO DE VENTAS_(-) Inventario final de productos terminados_Costo</v>
      </c>
      <c r="AM518" s="81"/>
      <c r="AN518" s="81" t="s">
        <v>561</v>
      </c>
      <c r="AO518" s="81" t="s">
        <v>789</v>
      </c>
      <c r="AP518" s="81" t="s">
        <v>790</v>
      </c>
      <c r="AQ518" s="81" t="s">
        <v>819</v>
      </c>
      <c r="AR518" s="81" t="s">
        <v>444</v>
      </c>
      <c r="AS518" s="81" t="s">
        <v>444</v>
      </c>
      <c r="AT518" s="81" t="s">
        <v>444</v>
      </c>
      <c r="AU518" s="81" t="s">
        <v>2056</v>
      </c>
      <c r="AV518" s="81" t="str">
        <f t="shared" si="98"/>
        <v>GND_GND_COSTO DE VENTAS_(-) Inventario final de productos terminados_Costo&amp;Gasto&amp;Gasto</v>
      </c>
    </row>
    <row r="519" spans="1:48">
      <c r="A519" s="53"/>
      <c r="B519" s="53"/>
      <c r="C519" s="53"/>
      <c r="D519" s="242" t="s">
        <v>821</v>
      </c>
      <c r="E519" s="242"/>
      <c r="F519" s="242"/>
      <c r="G519" s="242"/>
      <c r="H519" s="242"/>
      <c r="I519" s="242"/>
      <c r="J519" s="9" t="s">
        <v>822</v>
      </c>
      <c r="K519" s="55" t="e">
        <f>VLOOKUP(J519,Casilleros!$A$4:$Q$830,17,FALSE)</f>
        <v>#REF!</v>
      </c>
      <c r="L519" s="9" t="s">
        <v>1371</v>
      </c>
      <c r="M519" s="55" t="e">
        <f>VLOOKUP(L519,Casilleros!$A$4:$Q$830,17,FALSE)</f>
        <v>#REF!</v>
      </c>
      <c r="N519" s="9">
        <v>7039</v>
      </c>
      <c r="O519" s="55" t="e">
        <f>VLOOKUP(N519,Casilleros!$A$4:$Q$830,17,FALSE)</f>
        <v>#REF!</v>
      </c>
      <c r="S519" s="61" t="str">
        <f t="shared" si="99"/>
        <v>7037</v>
      </c>
      <c r="T519" s="64" t="str">
        <f t="shared" si="100"/>
        <v>ESTADO DEL RESULTADO INTEGRAL</v>
      </c>
      <c r="U519" s="64" t="str">
        <f t="shared" si="101"/>
        <v>COSTOS Y GASTOS</v>
      </c>
      <c r="V519" s="64" t="str">
        <f t="shared" si="88"/>
        <v>COSTO DE VENTAS</v>
      </c>
      <c r="W519" s="64" t="str">
        <f t="shared" si="89"/>
        <v>(+ / -) Ajustes</v>
      </c>
      <c r="X519" s="64" t="str">
        <f t="shared" si="102"/>
        <v/>
      </c>
      <c r="Y519" s="64" t="str">
        <f t="shared" si="103"/>
        <v/>
      </c>
      <c r="Z519" s="64" t="str">
        <f t="shared" si="104"/>
        <v/>
      </c>
      <c r="AA519" s="64" t="str">
        <f t="shared" si="97"/>
        <v>COSTO DE VENTAS_(+ / -) Ajustes_Costo</v>
      </c>
      <c r="AC519" s="82" t="s">
        <v>1371</v>
      </c>
      <c r="AD519" s="76" t="s">
        <v>561</v>
      </c>
      <c r="AE519" s="76" t="s">
        <v>789</v>
      </c>
      <c r="AF519" s="76" t="s">
        <v>790</v>
      </c>
      <c r="AG519" s="76" t="s">
        <v>821</v>
      </c>
      <c r="AH519" s="76" t="s">
        <v>444</v>
      </c>
      <c r="AI519" s="76" t="s">
        <v>444</v>
      </c>
      <c r="AJ519" s="76" t="s">
        <v>444</v>
      </c>
      <c r="AK519" s="76" t="s">
        <v>1372</v>
      </c>
      <c r="AL519" s="76"/>
      <c r="AM519" s="9">
        <v>7039</v>
      </c>
      <c r="AN519" s="81" t="s">
        <v>561</v>
      </c>
      <c r="AO519" s="81" t="s">
        <v>789</v>
      </c>
      <c r="AP519" s="81" t="s">
        <v>790</v>
      </c>
      <c r="AQ519" s="81" t="s">
        <v>821</v>
      </c>
      <c r="AR519" s="81" t="s">
        <v>444</v>
      </c>
      <c r="AS519" s="81" t="s">
        <v>444</v>
      </c>
      <c r="AT519" s="81" t="s">
        <v>444</v>
      </c>
      <c r="AU519" s="81" t="s">
        <v>2057</v>
      </c>
      <c r="AV519" s="81" t="str">
        <f t="shared" si="98"/>
        <v>GND_GND_COSTO DE VENTAS_(+ / -) Ajustes_Costo&amp;Gasto&amp;Gasto</v>
      </c>
    </row>
    <row r="520" spans="1:48">
      <c r="A520" s="53"/>
      <c r="B520" s="53"/>
      <c r="C520" s="236" t="s">
        <v>823</v>
      </c>
      <c r="D520" s="236"/>
      <c r="E520" s="236"/>
      <c r="F520" s="236"/>
      <c r="G520" s="236"/>
      <c r="H520" s="236"/>
      <c r="I520" s="236"/>
      <c r="J520" s="246" t="s">
        <v>144</v>
      </c>
      <c r="K520" s="246"/>
      <c r="L520" s="246" t="s">
        <v>11</v>
      </c>
      <c r="M520" s="246"/>
      <c r="N520" s="246" t="s">
        <v>791</v>
      </c>
      <c r="O520" s="246"/>
      <c r="S520" s="61" t="str">
        <f t="shared" si="99"/>
        <v>Costo</v>
      </c>
      <c r="T520" s="64" t="str">
        <f t="shared" si="100"/>
        <v>ESTADO DEL RESULTADO INTEGRAL</v>
      </c>
      <c r="U520" s="64" t="str">
        <f t="shared" si="101"/>
        <v>COSTOS Y GASTOS</v>
      </c>
      <c r="V520" s="64" t="str">
        <f t="shared" si="88"/>
        <v>GASTOS POR BENEFICIOS A LOS EMPLEADOS Y HONORARIOS</v>
      </c>
      <c r="W520" s="64" t="str">
        <f t="shared" si="89"/>
        <v/>
      </c>
      <c r="X520" s="64" t="str">
        <f t="shared" si="102"/>
        <v/>
      </c>
      <c r="Y520" s="64" t="str">
        <f t="shared" si="103"/>
        <v/>
      </c>
      <c r="Z520" s="64" t="str">
        <f t="shared" si="104"/>
        <v/>
      </c>
      <c r="AA520" s="64" t="str">
        <f t="shared" si="97"/>
        <v>GASTOS POR BENEFICIOS A LOS EMPLEADOS Y HONORARIOS__Costo</v>
      </c>
      <c r="AM520" s="81"/>
      <c r="AN520" s="81" t="s">
        <v>561</v>
      </c>
      <c r="AO520" s="81" t="s">
        <v>789</v>
      </c>
      <c r="AP520" s="81" t="s">
        <v>823</v>
      </c>
      <c r="AQ520" s="81" t="s">
        <v>444</v>
      </c>
      <c r="AR520" s="81" t="s">
        <v>444</v>
      </c>
      <c r="AS520" s="81" t="s">
        <v>444</v>
      </c>
      <c r="AT520" s="81" t="s">
        <v>444</v>
      </c>
      <c r="AU520" s="81" t="s">
        <v>2058</v>
      </c>
      <c r="AV520" s="81" t="str">
        <f t="shared" si="98"/>
        <v>GND_GND_GASTOS POR BENEFICIOS A LOS EMPLEADOS Y HONORARIOS__Costo&amp;Gasto&amp;Gasto</v>
      </c>
    </row>
    <row r="521" spans="1:48">
      <c r="A521" s="53"/>
      <c r="B521" s="53"/>
      <c r="C521" s="53"/>
      <c r="D521" s="242" t="s">
        <v>824</v>
      </c>
      <c r="E521" s="242"/>
      <c r="F521" s="242"/>
      <c r="G521" s="242"/>
      <c r="H521" s="242"/>
      <c r="I521" s="242"/>
      <c r="J521" s="9" t="s">
        <v>825</v>
      </c>
      <c r="K521" s="55" t="e">
        <f>VLOOKUP(J521,Casilleros!$A$4:$Q$830,17,FALSE)</f>
        <v>#REF!</v>
      </c>
      <c r="L521" s="9" t="s">
        <v>826</v>
      </c>
      <c r="M521" s="74" t="e">
        <f>VLOOKUP(L521,Casilleros!$A$4:$Q$830,17,FALSE)</f>
        <v>#REF!</v>
      </c>
      <c r="N521" s="9" t="s">
        <v>827</v>
      </c>
      <c r="O521" s="234" t="e">
        <f>+#REF!</f>
        <v>#REF!</v>
      </c>
      <c r="S521" s="61" t="str">
        <f t="shared" si="99"/>
        <v>7040</v>
      </c>
      <c r="T521" s="64" t="str">
        <f t="shared" si="100"/>
        <v>ESTADO DEL RESULTADO INTEGRAL</v>
      </c>
      <c r="U521" s="64" t="str">
        <f t="shared" si="101"/>
        <v>COSTOS Y GASTOS</v>
      </c>
      <c r="V521" s="64" t="str">
        <f t="shared" si="88"/>
        <v>GASTOS POR BENEFICIOS A LOS EMPLEADOS Y HONORARIOS</v>
      </c>
      <c r="W521" s="64" t="str">
        <f t="shared" si="89"/>
        <v>Sueldos, salarios y demás remuneraciones que constituyen materia gravada del iess</v>
      </c>
      <c r="X521" s="64" t="str">
        <f t="shared" si="102"/>
        <v/>
      </c>
      <c r="Y521" s="64" t="str">
        <f t="shared" si="103"/>
        <v/>
      </c>
      <c r="Z521" s="64" t="str">
        <f t="shared" si="104"/>
        <v/>
      </c>
      <c r="AA521" s="64" t="str">
        <f t="shared" si="97"/>
        <v>GASTOS POR BENEFICIOS A LOS EMPLEADOS Y HONORARIOS_Sueldos, salarios y demás remuneraciones que constituyen materia gravada del iess_Costo</v>
      </c>
      <c r="AC521" s="76" t="s">
        <v>826</v>
      </c>
      <c r="AD521" s="76" t="s">
        <v>561</v>
      </c>
      <c r="AE521" s="76" t="s">
        <v>789</v>
      </c>
      <c r="AF521" s="76" t="s">
        <v>823</v>
      </c>
      <c r="AG521" s="76" t="s">
        <v>824</v>
      </c>
      <c r="AH521" s="76" t="s">
        <v>444</v>
      </c>
      <c r="AI521" s="76" t="s">
        <v>444</v>
      </c>
      <c r="AJ521" s="76" t="s">
        <v>444</v>
      </c>
      <c r="AK521" s="76" t="s">
        <v>1373</v>
      </c>
      <c r="AL521" s="76"/>
      <c r="AM521" s="9" t="s">
        <v>827</v>
      </c>
      <c r="AN521" s="81" t="s">
        <v>561</v>
      </c>
      <c r="AO521" s="81" t="s">
        <v>789</v>
      </c>
      <c r="AP521" s="81" t="s">
        <v>823</v>
      </c>
      <c r="AQ521" s="81" t="s">
        <v>824</v>
      </c>
      <c r="AR521" s="81" t="s">
        <v>444</v>
      </c>
      <c r="AS521" s="81" t="s">
        <v>444</v>
      </c>
      <c r="AT521" s="81" t="s">
        <v>444</v>
      </c>
      <c r="AU521" s="81" t="s">
        <v>2059</v>
      </c>
      <c r="AV521" s="81" t="str">
        <f t="shared" si="98"/>
        <v>GND_GND_GASTOS POR BENEFICIOS A LOS EMPLEADOS Y HONORARIOS_Sueldos, salarios y demás remuneraciones que constituyen materia gravada del iess_Costo&amp;Gasto&amp;Gasto</v>
      </c>
    </row>
    <row r="522" spans="1:48">
      <c r="A522" s="53"/>
      <c r="B522" s="53"/>
      <c r="C522" s="53"/>
      <c r="D522" s="242" t="s">
        <v>828</v>
      </c>
      <c r="E522" s="242"/>
      <c r="F522" s="242"/>
      <c r="G522" s="242"/>
      <c r="H522" s="242"/>
      <c r="I522" s="242"/>
      <c r="J522" s="9" t="s">
        <v>829</v>
      </c>
      <c r="K522" s="55" t="e">
        <f>VLOOKUP(J522,Casilleros!$A$4:$Q$830,17,FALSE)</f>
        <v>#REF!</v>
      </c>
      <c r="L522" s="9" t="s">
        <v>830</v>
      </c>
      <c r="M522" s="74" t="e">
        <f>VLOOKUP(L522,Casilleros!$A$4:$Q$830,17,FALSE)</f>
        <v>#REF!</v>
      </c>
      <c r="N522" s="9" t="s">
        <v>831</v>
      </c>
      <c r="O522" s="55" t="e">
        <f>VLOOKUP(N522,Casilleros!$A$4:$Q$830,17,FALSE)</f>
        <v>#REF!</v>
      </c>
      <c r="P522" s="67" t="e">
        <f>161259-M522</f>
        <v>#REF!</v>
      </c>
      <c r="S522" s="61" t="str">
        <f t="shared" si="99"/>
        <v>7043</v>
      </c>
      <c r="T522" s="64" t="str">
        <f t="shared" si="100"/>
        <v>ESTADO DEL RESULTADO INTEGRAL</v>
      </c>
      <c r="U522" s="64" t="str">
        <f t="shared" si="101"/>
        <v>COSTOS Y GASTOS</v>
      </c>
      <c r="V522" s="64" t="str">
        <f t="shared" si="88"/>
        <v>GASTOS POR BENEFICIOS A LOS EMPLEADOS Y HONORARIOS</v>
      </c>
      <c r="W522" s="64" t="str">
        <f t="shared" si="89"/>
        <v>Beneficios sociales, indemnizaciones y otras remuneraciones que no constituyen materia gravada del IESS</v>
      </c>
      <c r="X522" s="64" t="str">
        <f t="shared" si="102"/>
        <v/>
      </c>
      <c r="Y522" s="64" t="str">
        <f t="shared" si="103"/>
        <v/>
      </c>
      <c r="Z522" s="64" t="str">
        <f t="shared" si="104"/>
        <v/>
      </c>
      <c r="AA522" s="64" t="str">
        <f t="shared" si="97"/>
        <v>GASTOS POR BENEFICIOS A LOS EMPLEADOS Y HONORARIOS_Beneficios sociales, indemnizaciones y otras remuneraciones que no constituyen materia gravada del IESS_Costo</v>
      </c>
      <c r="AC522" s="76" t="s">
        <v>830</v>
      </c>
      <c r="AD522" s="76" t="s">
        <v>561</v>
      </c>
      <c r="AE522" s="76" t="s">
        <v>789</v>
      </c>
      <c r="AF522" s="76" t="s">
        <v>823</v>
      </c>
      <c r="AG522" s="76" t="s">
        <v>828</v>
      </c>
      <c r="AH522" s="76" t="s">
        <v>444</v>
      </c>
      <c r="AI522" s="76" t="s">
        <v>444</v>
      </c>
      <c r="AJ522" s="76" t="s">
        <v>444</v>
      </c>
      <c r="AK522" s="76" t="s">
        <v>1374</v>
      </c>
      <c r="AL522" s="76"/>
      <c r="AM522" s="9" t="s">
        <v>831</v>
      </c>
      <c r="AN522" s="81" t="s">
        <v>561</v>
      </c>
      <c r="AO522" s="81" t="s">
        <v>789</v>
      </c>
      <c r="AP522" s="81" t="s">
        <v>823</v>
      </c>
      <c r="AQ522" s="81" t="s">
        <v>828</v>
      </c>
      <c r="AR522" s="81" t="s">
        <v>444</v>
      </c>
      <c r="AS522" s="81" t="s">
        <v>444</v>
      </c>
      <c r="AT522" s="81" t="s">
        <v>444</v>
      </c>
      <c r="AU522" s="81" t="s">
        <v>2060</v>
      </c>
      <c r="AV522" s="81" t="str">
        <f t="shared" si="98"/>
        <v>GND_GND_GASTOS POR BENEFICIOS A LOS EMPLEADOS Y HONORARIOS_Beneficios sociales, indemnizaciones y otras remuneraciones que no constituyen materia gravada del IESS_Costo&amp;Gasto&amp;Gasto</v>
      </c>
    </row>
    <row r="523" spans="1:48">
      <c r="A523" s="53"/>
      <c r="B523" s="53"/>
      <c r="C523" s="53"/>
      <c r="D523" s="242" t="s">
        <v>832</v>
      </c>
      <c r="E523" s="242"/>
      <c r="F523" s="242"/>
      <c r="G523" s="242"/>
      <c r="H523" s="242"/>
      <c r="I523" s="242"/>
      <c r="J523" s="9" t="s">
        <v>833</v>
      </c>
      <c r="K523" s="55" t="e">
        <f>VLOOKUP(J523,Casilleros!$A$4:$Q$830,17,FALSE)</f>
        <v>#REF!</v>
      </c>
      <c r="L523" s="9" t="s">
        <v>834</v>
      </c>
      <c r="M523" s="74" t="e">
        <f>VLOOKUP(L523,Casilleros!$A$4:$Q$830,17,FALSE)</f>
        <v>#REF!</v>
      </c>
      <c r="N523" s="9" t="s">
        <v>835</v>
      </c>
      <c r="O523" s="55" t="e">
        <f>VLOOKUP(N523,Casilleros!$A$4:$Q$830,17,FALSE)</f>
        <v>#REF!</v>
      </c>
      <c r="S523" s="61" t="str">
        <f t="shared" si="99"/>
        <v>7046</v>
      </c>
      <c r="T523" s="64" t="str">
        <f t="shared" si="100"/>
        <v>ESTADO DEL RESULTADO INTEGRAL</v>
      </c>
      <c r="U523" s="64" t="str">
        <f t="shared" si="101"/>
        <v>COSTOS Y GASTOS</v>
      </c>
      <c r="V523" s="64" t="str">
        <f t="shared" si="88"/>
        <v>GASTOS POR BENEFICIOS A LOS EMPLEADOS Y HONORARIOS</v>
      </c>
      <c r="W523" s="64" t="str">
        <f t="shared" si="89"/>
        <v>Aporte a la seguridad social (incluye fondo de reserva)</v>
      </c>
      <c r="X523" s="64" t="str">
        <f t="shared" si="102"/>
        <v/>
      </c>
      <c r="Y523" s="64" t="str">
        <f t="shared" si="103"/>
        <v/>
      </c>
      <c r="Z523" s="64" t="str">
        <f t="shared" si="104"/>
        <v/>
      </c>
      <c r="AA523" s="64" t="str">
        <f t="shared" si="97"/>
        <v>GASTOS POR BENEFICIOS A LOS EMPLEADOS Y HONORARIOS_Aporte a la seguridad social (incluye fondo de reserva)_Costo</v>
      </c>
      <c r="AC523" s="76" t="s">
        <v>834</v>
      </c>
      <c r="AD523" s="76" t="s">
        <v>561</v>
      </c>
      <c r="AE523" s="76" t="s">
        <v>789</v>
      </c>
      <c r="AF523" s="76" t="s">
        <v>823</v>
      </c>
      <c r="AG523" s="76" t="s">
        <v>832</v>
      </c>
      <c r="AH523" s="76" t="s">
        <v>444</v>
      </c>
      <c r="AI523" s="76" t="s">
        <v>444</v>
      </c>
      <c r="AJ523" s="76" t="s">
        <v>444</v>
      </c>
      <c r="AK523" s="76" t="s">
        <v>1375</v>
      </c>
      <c r="AL523" s="76"/>
      <c r="AM523" s="9" t="s">
        <v>835</v>
      </c>
      <c r="AN523" s="81" t="s">
        <v>561</v>
      </c>
      <c r="AO523" s="81" t="s">
        <v>789</v>
      </c>
      <c r="AP523" s="81" t="s">
        <v>823</v>
      </c>
      <c r="AQ523" s="81" t="s">
        <v>832</v>
      </c>
      <c r="AR523" s="81" t="s">
        <v>444</v>
      </c>
      <c r="AS523" s="81" t="s">
        <v>444</v>
      </c>
      <c r="AT523" s="81" t="s">
        <v>444</v>
      </c>
      <c r="AU523" s="81" t="s">
        <v>2061</v>
      </c>
      <c r="AV523" s="81" t="str">
        <f t="shared" si="98"/>
        <v>GND_GND_GASTOS POR BENEFICIOS A LOS EMPLEADOS Y HONORARIOS_Aporte a la seguridad social (incluye fondo de reserva)_Costo&amp;Gasto&amp;Gasto</v>
      </c>
    </row>
    <row r="524" spans="1:48">
      <c r="A524" s="53"/>
      <c r="B524" s="53"/>
      <c r="C524" s="53"/>
      <c r="D524" s="242" t="s">
        <v>836</v>
      </c>
      <c r="E524" s="242"/>
      <c r="F524" s="242"/>
      <c r="G524" s="242"/>
      <c r="H524" s="242"/>
      <c r="I524" s="242"/>
      <c r="J524" s="9" t="s">
        <v>837</v>
      </c>
      <c r="K524" s="55" t="e">
        <f>VLOOKUP(J524,Casilleros!$A$4:$Q$830,17,FALSE)</f>
        <v>#REF!</v>
      </c>
      <c r="L524" s="9" t="s">
        <v>838</v>
      </c>
      <c r="M524" s="55" t="e">
        <f>VLOOKUP(L524,Casilleros!$A$4:$Q$830,17,FALSE)</f>
        <v>#REF!</v>
      </c>
      <c r="N524" s="9" t="s">
        <v>839</v>
      </c>
      <c r="O524" s="55" t="e">
        <f>VLOOKUP(N524,Casilleros!$A$4:$Q$830,17,FALSE)</f>
        <v>#REF!</v>
      </c>
      <c r="S524" s="61" t="str">
        <f t="shared" si="99"/>
        <v>7049</v>
      </c>
      <c r="T524" s="64" t="str">
        <f t="shared" si="100"/>
        <v>ESTADO DEL RESULTADO INTEGRAL</v>
      </c>
      <c r="U524" s="64" t="str">
        <f t="shared" si="101"/>
        <v>COSTOS Y GASTOS</v>
      </c>
      <c r="V524" s="64" t="str">
        <f t="shared" si="88"/>
        <v>GASTOS POR BENEFICIOS A LOS EMPLEADOS Y HONORARIOS</v>
      </c>
      <c r="W524" s="64" t="str">
        <f t="shared" si="89"/>
        <v>Honorarios profesionales y dietas</v>
      </c>
      <c r="X524" s="64" t="str">
        <f t="shared" si="102"/>
        <v/>
      </c>
      <c r="Y524" s="64" t="str">
        <f t="shared" si="103"/>
        <v/>
      </c>
      <c r="Z524" s="64" t="str">
        <f t="shared" si="104"/>
        <v/>
      </c>
      <c r="AA524" s="64" t="str">
        <f t="shared" si="97"/>
        <v>GASTOS POR BENEFICIOS A LOS EMPLEADOS Y HONORARIOS_Honorarios profesionales y dietas_Costo</v>
      </c>
      <c r="AC524" s="76" t="s">
        <v>838</v>
      </c>
      <c r="AD524" s="76" t="s">
        <v>561</v>
      </c>
      <c r="AE524" s="76" t="s">
        <v>789</v>
      </c>
      <c r="AF524" s="76" t="s">
        <v>823</v>
      </c>
      <c r="AG524" s="76" t="s">
        <v>836</v>
      </c>
      <c r="AH524" s="76" t="s">
        <v>444</v>
      </c>
      <c r="AI524" s="76" t="s">
        <v>444</v>
      </c>
      <c r="AJ524" s="76" t="s">
        <v>444</v>
      </c>
      <c r="AK524" s="76" t="s">
        <v>1376</v>
      </c>
      <c r="AL524" s="76"/>
      <c r="AM524" s="9" t="s">
        <v>839</v>
      </c>
      <c r="AN524" s="81" t="s">
        <v>561</v>
      </c>
      <c r="AO524" s="81" t="s">
        <v>789</v>
      </c>
      <c r="AP524" s="81" t="s">
        <v>823</v>
      </c>
      <c r="AQ524" s="81" t="s">
        <v>836</v>
      </c>
      <c r="AR524" s="81" t="s">
        <v>444</v>
      </c>
      <c r="AS524" s="81" t="s">
        <v>444</v>
      </c>
      <c r="AT524" s="81" t="s">
        <v>444</v>
      </c>
      <c r="AU524" s="81" t="s">
        <v>2062</v>
      </c>
      <c r="AV524" s="81" t="str">
        <f t="shared" si="98"/>
        <v>GND_GND_GASTOS POR BENEFICIOS A LOS EMPLEADOS Y HONORARIOS_Honorarios profesionales y dietas_Costo&amp;Gasto&amp;Gasto</v>
      </c>
    </row>
    <row r="525" spans="1:48">
      <c r="A525" s="53"/>
      <c r="B525" s="53"/>
      <c r="C525" s="53"/>
      <c r="D525" s="242" t="s">
        <v>840</v>
      </c>
      <c r="E525" s="242"/>
      <c r="F525" s="242"/>
      <c r="G525" s="242"/>
      <c r="H525" s="242"/>
      <c r="I525" s="242"/>
      <c r="J525" s="9" t="s">
        <v>841</v>
      </c>
      <c r="K525" s="55" t="e">
        <f>VLOOKUP(J525,Casilleros!$A$4:$Q$830,17,FALSE)</f>
        <v>#REF!</v>
      </c>
      <c r="L525" s="9" t="s">
        <v>842</v>
      </c>
      <c r="M525" s="55" t="e">
        <f>VLOOKUP(L525,Casilleros!$A$4:$Q$830,17,FALSE)</f>
        <v>#REF!</v>
      </c>
      <c r="N525" s="9" t="s">
        <v>843</v>
      </c>
      <c r="O525" s="55" t="e">
        <f>VLOOKUP(N525,Casilleros!$A$4:$Q$830,17,FALSE)</f>
        <v>#REF!</v>
      </c>
      <c r="S525" s="61" t="str">
        <f t="shared" si="99"/>
        <v>7052</v>
      </c>
      <c r="T525" s="64" t="str">
        <f t="shared" si="100"/>
        <v>ESTADO DEL RESULTADO INTEGRAL</v>
      </c>
      <c r="U525" s="64" t="str">
        <f t="shared" si="101"/>
        <v>COSTOS Y GASTOS</v>
      </c>
      <c r="V525" s="64" t="str">
        <f t="shared" si="88"/>
        <v>GASTOS POR BENEFICIOS A LOS EMPLEADOS Y HONORARIOS</v>
      </c>
      <c r="W525" s="64" t="str">
        <f t="shared" si="89"/>
        <v>Honorarios y otros pagos a no residentes por servicios ocasionales</v>
      </c>
      <c r="X525" s="64" t="str">
        <f t="shared" si="102"/>
        <v/>
      </c>
      <c r="Y525" s="64" t="str">
        <f t="shared" si="103"/>
        <v/>
      </c>
      <c r="Z525" s="64" t="str">
        <f t="shared" si="104"/>
        <v/>
      </c>
      <c r="AA525" s="64" t="str">
        <f t="shared" si="97"/>
        <v>GASTOS POR BENEFICIOS A LOS EMPLEADOS Y HONORARIOS_Honorarios y otros pagos a no residentes por servicios ocasionales_Costo</v>
      </c>
      <c r="AC525" s="76" t="s">
        <v>842</v>
      </c>
      <c r="AD525" s="76" t="s">
        <v>561</v>
      </c>
      <c r="AE525" s="76" t="s">
        <v>789</v>
      </c>
      <c r="AF525" s="76" t="s">
        <v>823</v>
      </c>
      <c r="AG525" s="76" t="s">
        <v>840</v>
      </c>
      <c r="AH525" s="76" t="s">
        <v>444</v>
      </c>
      <c r="AI525" s="76" t="s">
        <v>444</v>
      </c>
      <c r="AJ525" s="76" t="s">
        <v>444</v>
      </c>
      <c r="AK525" s="76" t="s">
        <v>1377</v>
      </c>
      <c r="AL525" s="76"/>
      <c r="AM525" s="9" t="s">
        <v>843</v>
      </c>
      <c r="AN525" s="81" t="s">
        <v>561</v>
      </c>
      <c r="AO525" s="81" t="s">
        <v>789</v>
      </c>
      <c r="AP525" s="81" t="s">
        <v>823</v>
      </c>
      <c r="AQ525" s="81" t="s">
        <v>840</v>
      </c>
      <c r="AR525" s="81" t="s">
        <v>444</v>
      </c>
      <c r="AS525" s="81" t="s">
        <v>444</v>
      </c>
      <c r="AT525" s="81" t="s">
        <v>444</v>
      </c>
      <c r="AU525" s="81" t="s">
        <v>2063</v>
      </c>
      <c r="AV525" s="81" t="str">
        <f t="shared" si="98"/>
        <v>GND_GND_GASTOS POR BENEFICIOS A LOS EMPLEADOS Y HONORARIOS_Honorarios y otros pagos a no residentes por servicios ocasionales_Costo&amp;Gasto&amp;Gasto</v>
      </c>
    </row>
    <row r="526" spans="1:48">
      <c r="A526" s="53"/>
      <c r="B526" s="53"/>
      <c r="C526" s="53"/>
      <c r="D526" s="242" t="s">
        <v>844</v>
      </c>
      <c r="E526" s="242"/>
      <c r="F526" s="242"/>
      <c r="G526" s="242"/>
      <c r="H526" s="242"/>
      <c r="I526" s="242"/>
      <c r="J526" s="9" t="s">
        <v>845</v>
      </c>
      <c r="K526" s="55" t="e">
        <f>VLOOKUP(J526,Casilleros!$A$4:$Q$830,17,FALSE)</f>
        <v>#REF!</v>
      </c>
      <c r="L526" s="9" t="s">
        <v>846</v>
      </c>
      <c r="M526" s="55" t="e">
        <f>VLOOKUP(L526,Casilleros!$A$4:$Q$830,17,FALSE)</f>
        <v>#REF!</v>
      </c>
      <c r="N526" s="9" t="s">
        <v>847</v>
      </c>
      <c r="O526" s="201" t="e">
        <f>+M526</f>
        <v>#REF!</v>
      </c>
      <c r="S526" s="61" t="str">
        <f t="shared" si="99"/>
        <v>7055</v>
      </c>
      <c r="T526" s="64" t="str">
        <f t="shared" si="100"/>
        <v>ESTADO DEL RESULTADO INTEGRAL</v>
      </c>
      <c r="U526" s="64" t="str">
        <f t="shared" si="101"/>
        <v>COSTOS Y GASTOS</v>
      </c>
      <c r="V526" s="64" t="str">
        <f t="shared" si="88"/>
        <v>GASTOS POR BENEFICIOS A LOS EMPLEADOS Y HONORARIOS</v>
      </c>
      <c r="W526" s="64" t="str">
        <f t="shared" si="89"/>
        <v>Jubilación patronal</v>
      </c>
      <c r="X526" s="64" t="str">
        <f t="shared" si="102"/>
        <v/>
      </c>
      <c r="Y526" s="64" t="str">
        <f t="shared" si="103"/>
        <v/>
      </c>
      <c r="Z526" s="64" t="str">
        <f t="shared" si="104"/>
        <v/>
      </c>
      <c r="AA526" s="64" t="str">
        <f t="shared" si="97"/>
        <v>GASTOS POR BENEFICIOS A LOS EMPLEADOS Y HONORARIOS_Jubilación patronal_Costo</v>
      </c>
      <c r="AC526" s="76" t="s">
        <v>846</v>
      </c>
      <c r="AD526" s="76" t="s">
        <v>561</v>
      </c>
      <c r="AE526" s="76" t="s">
        <v>789</v>
      </c>
      <c r="AF526" s="76" t="s">
        <v>823</v>
      </c>
      <c r="AG526" s="76" t="s">
        <v>844</v>
      </c>
      <c r="AH526" s="76" t="s">
        <v>444</v>
      </c>
      <c r="AI526" s="76" t="s">
        <v>444</v>
      </c>
      <c r="AJ526" s="76" t="s">
        <v>444</v>
      </c>
      <c r="AK526" s="76" t="s">
        <v>1378</v>
      </c>
      <c r="AL526" s="76"/>
      <c r="AM526" s="9" t="s">
        <v>847</v>
      </c>
      <c r="AN526" s="81" t="s">
        <v>561</v>
      </c>
      <c r="AO526" s="81" t="s">
        <v>789</v>
      </c>
      <c r="AP526" s="81" t="s">
        <v>823</v>
      </c>
      <c r="AQ526" s="81" t="s">
        <v>844</v>
      </c>
      <c r="AR526" s="81" t="s">
        <v>444</v>
      </c>
      <c r="AS526" s="81" t="s">
        <v>444</v>
      </c>
      <c r="AT526" s="81" t="s">
        <v>444</v>
      </c>
      <c r="AU526" s="81" t="s">
        <v>2064</v>
      </c>
      <c r="AV526" s="81" t="str">
        <f t="shared" si="98"/>
        <v>GND_GND_GASTOS POR BENEFICIOS A LOS EMPLEADOS Y HONORARIOS_Jubilación patronal_Costo&amp;Gasto&amp;Gasto</v>
      </c>
    </row>
    <row r="527" spans="1:48">
      <c r="A527" s="53"/>
      <c r="B527" s="53"/>
      <c r="C527" s="53"/>
      <c r="D527" s="242" t="s">
        <v>473</v>
      </c>
      <c r="E527" s="242"/>
      <c r="F527" s="242"/>
      <c r="G527" s="242"/>
      <c r="H527" s="242"/>
      <c r="I527" s="242"/>
      <c r="J527" s="9" t="s">
        <v>848</v>
      </c>
      <c r="K527" s="55" t="e">
        <f>VLOOKUP(J527,Casilleros!$A$4:$Q$830,17,FALSE)</f>
        <v>#REF!</v>
      </c>
      <c r="L527" s="9" t="s">
        <v>849</v>
      </c>
      <c r="M527" s="55" t="e">
        <f>VLOOKUP(L527,Casilleros!$A$4:$Q$830,17,FALSE)</f>
        <v>#REF!</v>
      </c>
      <c r="N527" s="9" t="s">
        <v>850</v>
      </c>
      <c r="O527" s="201" t="e">
        <f>+M527</f>
        <v>#REF!</v>
      </c>
      <c r="S527" s="61" t="str">
        <f t="shared" si="99"/>
        <v>7058</v>
      </c>
      <c r="T527" s="64" t="str">
        <f t="shared" si="100"/>
        <v>ESTADO DEL RESULTADO INTEGRAL</v>
      </c>
      <c r="U527" s="64" t="str">
        <f t="shared" si="101"/>
        <v>COSTOS Y GASTOS</v>
      </c>
      <c r="V527" s="64" t="str">
        <f t="shared" si="88"/>
        <v>GASTOS POR BENEFICIOS A LOS EMPLEADOS Y HONORARIOS</v>
      </c>
      <c r="W527" s="64" t="str">
        <f t="shared" si="89"/>
        <v>Desahucio</v>
      </c>
      <c r="X527" s="64" t="str">
        <f t="shared" si="102"/>
        <v/>
      </c>
      <c r="Y527" s="64" t="str">
        <f t="shared" si="103"/>
        <v/>
      </c>
      <c r="Z527" s="64" t="str">
        <f t="shared" si="104"/>
        <v/>
      </c>
      <c r="AA527" s="64" t="str">
        <f t="shared" si="97"/>
        <v>GASTOS POR BENEFICIOS A LOS EMPLEADOS Y HONORARIOS_Desahucio_Costo</v>
      </c>
      <c r="AC527" s="76" t="s">
        <v>849</v>
      </c>
      <c r="AD527" s="76" t="s">
        <v>561</v>
      </c>
      <c r="AE527" s="76" t="s">
        <v>789</v>
      </c>
      <c r="AF527" s="76" t="s">
        <v>823</v>
      </c>
      <c r="AG527" s="76" t="s">
        <v>473</v>
      </c>
      <c r="AH527" s="76" t="s">
        <v>444</v>
      </c>
      <c r="AI527" s="76" t="s">
        <v>444</v>
      </c>
      <c r="AJ527" s="76" t="s">
        <v>444</v>
      </c>
      <c r="AK527" s="76" t="s">
        <v>1379</v>
      </c>
      <c r="AL527" s="76"/>
      <c r="AM527" s="9" t="s">
        <v>850</v>
      </c>
      <c r="AN527" s="81" t="s">
        <v>561</v>
      </c>
      <c r="AO527" s="81" t="s">
        <v>789</v>
      </c>
      <c r="AP527" s="81" t="s">
        <v>823</v>
      </c>
      <c r="AQ527" s="81" t="s">
        <v>473</v>
      </c>
      <c r="AR527" s="81" t="s">
        <v>444</v>
      </c>
      <c r="AS527" s="81" t="s">
        <v>444</v>
      </c>
      <c r="AT527" s="81" t="s">
        <v>444</v>
      </c>
      <c r="AU527" s="81" t="s">
        <v>2065</v>
      </c>
      <c r="AV527" s="81" t="str">
        <f t="shared" si="98"/>
        <v>GND_GND_GASTOS POR BENEFICIOS A LOS EMPLEADOS Y HONORARIOS_Desahucio_Costo&amp;Gasto&amp;Gasto</v>
      </c>
    </row>
    <row r="528" spans="1:48">
      <c r="A528" s="53"/>
      <c r="B528" s="53"/>
      <c r="C528" s="53"/>
      <c r="D528" s="242" t="s">
        <v>122</v>
      </c>
      <c r="E528" s="242"/>
      <c r="F528" s="242"/>
      <c r="G528" s="242"/>
      <c r="H528" s="242"/>
      <c r="I528" s="242"/>
      <c r="J528" s="9" t="s">
        <v>851</v>
      </c>
      <c r="K528" s="55" t="e">
        <f>VLOOKUP(J528,Casilleros!$A$4:$Q$830,17,FALSE)</f>
        <v>#REF!</v>
      </c>
      <c r="L528" s="9" t="s">
        <v>852</v>
      </c>
      <c r="M528" s="55" t="e">
        <f>VLOOKUP(L528,Casilleros!$A$4:$Q$830,17,FALSE)</f>
        <v>#REF!</v>
      </c>
      <c r="N528" s="9" t="s">
        <v>853</v>
      </c>
      <c r="O528" s="55" t="e">
        <f>VLOOKUP(N528,Casilleros!$A$4:$Q$830,17,FALSE)</f>
        <v>#REF!</v>
      </c>
      <c r="S528" s="61" t="str">
        <f t="shared" si="99"/>
        <v>7061</v>
      </c>
      <c r="T528" s="64" t="str">
        <f t="shared" si="100"/>
        <v>ESTADO DEL RESULTADO INTEGRAL</v>
      </c>
      <c r="U528" s="64" t="str">
        <f t="shared" si="101"/>
        <v>COSTOS Y GASTOS</v>
      </c>
      <c r="V528" s="64" t="str">
        <f t="shared" si="88"/>
        <v>GASTOS POR BENEFICIOS A LOS EMPLEADOS Y HONORARIOS</v>
      </c>
      <c r="W528" s="64" t="str">
        <f t="shared" si="89"/>
        <v>Otros</v>
      </c>
      <c r="X528" s="64" t="str">
        <f t="shared" si="102"/>
        <v/>
      </c>
      <c r="Y528" s="64" t="str">
        <f t="shared" si="103"/>
        <v/>
      </c>
      <c r="Z528" s="64" t="str">
        <f t="shared" si="104"/>
        <v/>
      </c>
      <c r="AA528" s="64" t="str">
        <f t="shared" si="97"/>
        <v>GASTOS POR BENEFICIOS A LOS EMPLEADOS Y HONORARIOS_Otros_Costo</v>
      </c>
      <c r="AC528" s="76" t="s">
        <v>852</v>
      </c>
      <c r="AD528" s="76" t="s">
        <v>561</v>
      </c>
      <c r="AE528" s="76" t="s">
        <v>789</v>
      </c>
      <c r="AF528" s="76" t="s">
        <v>823</v>
      </c>
      <c r="AG528" s="76" t="s">
        <v>122</v>
      </c>
      <c r="AH528" s="76" t="s">
        <v>444</v>
      </c>
      <c r="AI528" s="76" t="s">
        <v>444</v>
      </c>
      <c r="AJ528" s="76" t="s">
        <v>444</v>
      </c>
      <c r="AK528" s="76" t="s">
        <v>1380</v>
      </c>
      <c r="AL528" s="76"/>
      <c r="AM528" s="9" t="s">
        <v>853</v>
      </c>
      <c r="AN528" s="81" t="s">
        <v>561</v>
      </c>
      <c r="AO528" s="81" t="s">
        <v>789</v>
      </c>
      <c r="AP528" s="81" t="s">
        <v>823</v>
      </c>
      <c r="AQ528" s="81" t="s">
        <v>122</v>
      </c>
      <c r="AR528" s="81" t="s">
        <v>444</v>
      </c>
      <c r="AS528" s="81" t="s">
        <v>444</v>
      </c>
      <c r="AT528" s="81" t="s">
        <v>444</v>
      </c>
      <c r="AU528" s="81" t="s">
        <v>2066</v>
      </c>
      <c r="AV528" s="81" t="str">
        <f t="shared" si="98"/>
        <v>GND_GND_GASTOS POR BENEFICIOS A LOS EMPLEADOS Y HONORARIOS_Otros_Costo&amp;Gasto&amp;Gasto</v>
      </c>
    </row>
    <row r="529" spans="1:48">
      <c r="A529" s="53"/>
      <c r="B529" s="53"/>
      <c r="C529" s="236" t="s">
        <v>854</v>
      </c>
      <c r="D529" s="236"/>
      <c r="E529" s="236"/>
      <c r="F529" s="236"/>
      <c r="G529" s="236"/>
      <c r="H529" s="236"/>
      <c r="I529" s="236"/>
      <c r="J529" s="236"/>
      <c r="K529" s="236"/>
      <c r="L529" s="236"/>
      <c r="M529" s="236"/>
      <c r="N529" s="236"/>
      <c r="O529" s="236"/>
      <c r="S529" s="61">
        <f t="shared" si="99"/>
        <v>0</v>
      </c>
      <c r="T529" s="64" t="str">
        <f t="shared" si="100"/>
        <v>ESTADO DEL RESULTADO INTEGRAL</v>
      </c>
      <c r="U529" s="64" t="str">
        <f t="shared" si="101"/>
        <v>COSTOS Y GASTOS</v>
      </c>
      <c r="V529" s="64" t="str">
        <f t="shared" si="88"/>
        <v>GASTOS POR DEPRECIACIONES</v>
      </c>
      <c r="W529" s="64" t="str">
        <f t="shared" si="89"/>
        <v/>
      </c>
      <c r="X529" s="64" t="str">
        <f t="shared" si="102"/>
        <v/>
      </c>
      <c r="Y529" s="64" t="str">
        <f t="shared" si="103"/>
        <v/>
      </c>
      <c r="Z529" s="64" t="str">
        <f t="shared" si="104"/>
        <v/>
      </c>
      <c r="AA529" s="64" t="str">
        <f t="shared" si="97"/>
        <v>GASTOS POR DEPRECIACIONES__Costo</v>
      </c>
      <c r="AC529" s="76">
        <v>0</v>
      </c>
      <c r="AD529" s="76" t="s">
        <v>561</v>
      </c>
      <c r="AE529" s="76" t="s">
        <v>789</v>
      </c>
      <c r="AF529" s="76" t="s">
        <v>854</v>
      </c>
      <c r="AG529" s="76" t="s">
        <v>444</v>
      </c>
      <c r="AH529" s="76" t="s">
        <v>444</v>
      </c>
      <c r="AI529" s="76" t="s">
        <v>444</v>
      </c>
      <c r="AJ529" s="76" t="s">
        <v>444</v>
      </c>
      <c r="AK529" s="76" t="s">
        <v>1381</v>
      </c>
      <c r="AL529" s="76"/>
      <c r="AM529" s="81"/>
      <c r="AN529" s="81" t="s">
        <v>561</v>
      </c>
      <c r="AO529" s="81" t="s">
        <v>789</v>
      </c>
      <c r="AP529" s="81" t="s">
        <v>854</v>
      </c>
      <c r="AQ529" s="81" t="s">
        <v>444</v>
      </c>
      <c r="AR529" s="81" t="s">
        <v>444</v>
      </c>
      <c r="AS529" s="81" t="s">
        <v>444</v>
      </c>
      <c r="AT529" s="81" t="s">
        <v>444</v>
      </c>
      <c r="AU529" s="81" t="s">
        <v>2067</v>
      </c>
      <c r="AV529" s="81" t="str">
        <f t="shared" si="98"/>
        <v>GND_GND_GASTOS POR DEPRECIACIONES__Costo&amp;Gasto&amp;Gasto</v>
      </c>
    </row>
    <row r="530" spans="1:48">
      <c r="A530" s="53"/>
      <c r="B530" s="53"/>
      <c r="C530" s="53"/>
      <c r="D530" s="247" t="s">
        <v>855</v>
      </c>
      <c r="E530" s="247"/>
      <c r="F530" s="247"/>
      <c r="G530" s="247"/>
      <c r="H530" s="247"/>
      <c r="I530" s="247"/>
      <c r="J530" s="246" t="s">
        <v>144</v>
      </c>
      <c r="K530" s="246"/>
      <c r="L530" s="246" t="s">
        <v>11</v>
      </c>
      <c r="M530" s="246"/>
      <c r="N530" s="246" t="s">
        <v>791</v>
      </c>
      <c r="O530" s="246"/>
      <c r="S530" s="61" t="str">
        <f t="shared" si="99"/>
        <v>Costo</v>
      </c>
      <c r="T530" s="64" t="str">
        <f t="shared" si="100"/>
        <v>ESTADO DEL RESULTADO INTEGRAL</v>
      </c>
      <c r="U530" s="64" t="str">
        <f t="shared" si="101"/>
        <v>COSTOS Y GASTOS</v>
      </c>
      <c r="V530" s="64" t="str">
        <f t="shared" si="88"/>
        <v>GASTOS POR DEPRECIACIONES</v>
      </c>
      <c r="W530" s="64" t="str">
        <f t="shared" si="89"/>
        <v>DEL COSTO HISTÓRICO DE PROPIEDADES, PLANTA Y EQUIPO</v>
      </c>
      <c r="X530" s="64" t="str">
        <f t="shared" si="102"/>
        <v/>
      </c>
      <c r="Y530" s="64" t="str">
        <f t="shared" si="103"/>
        <v/>
      </c>
      <c r="Z530" s="64" t="str">
        <f t="shared" si="104"/>
        <v/>
      </c>
      <c r="AA530" s="64" t="str">
        <f t="shared" si="97"/>
        <v>GASTOS POR DEPRECIACIONES_DEL COSTO HISTÓRICO DE PROPIEDADES, PLANTA Y EQUIPO_Costo</v>
      </c>
      <c r="AC530" s="76" t="s">
        <v>144</v>
      </c>
      <c r="AD530" s="76" t="s">
        <v>561</v>
      </c>
      <c r="AE530" s="76" t="s">
        <v>789</v>
      </c>
      <c r="AF530" s="76" t="s">
        <v>854</v>
      </c>
      <c r="AG530" s="76" t="s">
        <v>855</v>
      </c>
      <c r="AH530" s="76" t="s">
        <v>444</v>
      </c>
      <c r="AI530" s="76" t="s">
        <v>444</v>
      </c>
      <c r="AJ530" s="76" t="s">
        <v>444</v>
      </c>
      <c r="AK530" s="76" t="s">
        <v>1382</v>
      </c>
      <c r="AL530" s="76"/>
      <c r="AM530" s="81"/>
      <c r="AN530" s="81" t="s">
        <v>561</v>
      </c>
      <c r="AO530" s="81" t="s">
        <v>789</v>
      </c>
      <c r="AP530" s="81" t="s">
        <v>854</v>
      </c>
      <c r="AQ530" s="81" t="s">
        <v>855</v>
      </c>
      <c r="AR530" s="81" t="s">
        <v>444</v>
      </c>
      <c r="AS530" s="81" t="s">
        <v>444</v>
      </c>
      <c r="AT530" s="81" t="s">
        <v>444</v>
      </c>
      <c r="AU530" s="81" t="s">
        <v>2068</v>
      </c>
      <c r="AV530" s="81" t="str">
        <f t="shared" si="98"/>
        <v>GND_GND_GASTOS POR DEPRECIACIONES_DEL COSTO HISTÓRICO DE PROPIEDADES, PLANTA Y EQUIPO_Costo&amp;Gasto&amp;Gasto</v>
      </c>
    </row>
    <row r="531" spans="1:48">
      <c r="A531" s="53"/>
      <c r="B531" s="53"/>
      <c r="C531" s="53"/>
      <c r="D531" s="53"/>
      <c r="E531" s="242" t="s">
        <v>856</v>
      </c>
      <c r="F531" s="242"/>
      <c r="G531" s="242"/>
      <c r="H531" s="242"/>
      <c r="I531" s="242"/>
      <c r="J531" s="9" t="s">
        <v>857</v>
      </c>
      <c r="K531" s="55" t="e">
        <f>VLOOKUP(J531,Casilleros!$A$4:$Q$830,17,FALSE)</f>
        <v>#REF!</v>
      </c>
      <c r="L531" s="9" t="s">
        <v>858</v>
      </c>
      <c r="M531" s="55" t="e">
        <f>VLOOKUP(L531,Casilleros!$A$4:$Q$830,17,FALSE)</f>
        <v>#REF!</v>
      </c>
      <c r="N531" s="9" t="s">
        <v>859</v>
      </c>
      <c r="O531" s="55" t="e">
        <f>VLOOKUP(N531,Casilleros!$A$4:$Q$830,17,FALSE)</f>
        <v>#REF!</v>
      </c>
      <c r="S531" s="61" t="str">
        <f t="shared" si="99"/>
        <v>7064</v>
      </c>
      <c r="T531" s="64" t="str">
        <f t="shared" si="100"/>
        <v>ESTADO DEL RESULTADO INTEGRAL</v>
      </c>
      <c r="U531" s="64" t="str">
        <f t="shared" si="101"/>
        <v>COSTOS Y GASTOS</v>
      </c>
      <c r="V531" s="64" t="str">
        <f t="shared" si="88"/>
        <v>GASTOS POR DEPRECIACIONES</v>
      </c>
      <c r="W531" s="64" t="str">
        <f t="shared" si="89"/>
        <v>DEL COSTO HISTÓRICO DE PROPIEDADES, PLANTA Y EQUIPO</v>
      </c>
      <c r="X531" s="64" t="str">
        <f t="shared" si="102"/>
        <v>Acelerada</v>
      </c>
      <c r="Y531" s="64" t="str">
        <f t="shared" si="103"/>
        <v/>
      </c>
      <c r="Z531" s="64" t="str">
        <f t="shared" si="104"/>
        <v/>
      </c>
      <c r="AA531" s="64" t="str">
        <f t="shared" si="97"/>
        <v>DEL COSTO HISTÓRICO DE PROPIEDADES, PLANTA Y EQUIPO_Acelerada___Costo</v>
      </c>
      <c r="AC531" s="76" t="s">
        <v>858</v>
      </c>
      <c r="AD531" s="76" t="s">
        <v>561</v>
      </c>
      <c r="AE531" s="76" t="s">
        <v>789</v>
      </c>
      <c r="AF531" s="76" t="s">
        <v>854</v>
      </c>
      <c r="AG531" s="76" t="s">
        <v>855</v>
      </c>
      <c r="AH531" s="76" t="s">
        <v>856</v>
      </c>
      <c r="AI531" s="76" t="s">
        <v>444</v>
      </c>
      <c r="AJ531" s="76" t="s">
        <v>444</v>
      </c>
      <c r="AK531" s="76" t="s">
        <v>1383</v>
      </c>
      <c r="AL531" s="76"/>
      <c r="AM531" s="9" t="s">
        <v>859</v>
      </c>
      <c r="AN531" s="81" t="s">
        <v>561</v>
      </c>
      <c r="AO531" s="81" t="s">
        <v>789</v>
      </c>
      <c r="AP531" s="81" t="s">
        <v>854</v>
      </c>
      <c r="AQ531" s="81" t="s">
        <v>855</v>
      </c>
      <c r="AR531" s="81" t="s">
        <v>856</v>
      </c>
      <c r="AS531" s="81" t="s">
        <v>444</v>
      </c>
      <c r="AT531" s="81" t="s">
        <v>444</v>
      </c>
      <c r="AU531" s="81" t="s">
        <v>2069</v>
      </c>
      <c r="AV531" s="81" t="str">
        <f t="shared" si="98"/>
        <v>GND_GND_DEL COSTO HISTÓRICO DE PROPIEDADES, PLANTA Y EQUIPO_Acelerada___Costo&amp;Gasto&amp;Gasto</v>
      </c>
    </row>
    <row r="532" spans="1:48">
      <c r="A532" s="53"/>
      <c r="B532" s="53"/>
      <c r="C532" s="53"/>
      <c r="D532" s="53"/>
      <c r="E532" s="242" t="s">
        <v>860</v>
      </c>
      <c r="F532" s="242"/>
      <c r="G532" s="242"/>
      <c r="H532" s="242"/>
      <c r="I532" s="242"/>
      <c r="J532" s="9" t="s">
        <v>861</v>
      </c>
      <c r="K532" s="55" t="e">
        <f>VLOOKUP(J532,Casilleros!$A$4:$Q$830,17,FALSE)</f>
        <v>#REF!</v>
      </c>
      <c r="L532" s="9" t="s">
        <v>862</v>
      </c>
      <c r="M532" s="55" t="e">
        <f>VLOOKUP(L532,Casilleros!$A$4:$Q$830,17,FALSE)</f>
        <v>#REF!</v>
      </c>
      <c r="N532" s="9" t="s">
        <v>863</v>
      </c>
      <c r="O532" s="74" t="e">
        <f>+BC!D235</f>
        <v>#REF!</v>
      </c>
      <c r="S532" s="61" t="str">
        <f t="shared" si="99"/>
        <v>7067</v>
      </c>
      <c r="T532" s="64" t="str">
        <f t="shared" si="100"/>
        <v>ESTADO DEL RESULTADO INTEGRAL</v>
      </c>
      <c r="U532" s="64" t="str">
        <f t="shared" si="101"/>
        <v>COSTOS Y GASTOS</v>
      </c>
      <c r="V532" s="64" t="str">
        <f t="shared" si="88"/>
        <v>GASTOS POR DEPRECIACIONES</v>
      </c>
      <c r="W532" s="64" t="str">
        <f t="shared" si="89"/>
        <v>DEL COSTO HISTÓRICO DE PROPIEDADES, PLANTA Y EQUIPO</v>
      </c>
      <c r="X532" s="64" t="str">
        <f t="shared" si="102"/>
        <v>No acelerada</v>
      </c>
      <c r="Y532" s="64" t="str">
        <f t="shared" si="103"/>
        <v/>
      </c>
      <c r="Z532" s="64" t="str">
        <f t="shared" si="104"/>
        <v/>
      </c>
      <c r="AA532" s="64" t="str">
        <f t="shared" si="97"/>
        <v>DEL COSTO HISTÓRICO DE PROPIEDADES, PLANTA Y EQUIPO_No acelerada___Costo</v>
      </c>
      <c r="AC532" s="76" t="s">
        <v>862</v>
      </c>
      <c r="AD532" s="76" t="s">
        <v>561</v>
      </c>
      <c r="AE532" s="76" t="s">
        <v>789</v>
      </c>
      <c r="AF532" s="76" t="s">
        <v>854</v>
      </c>
      <c r="AG532" s="76" t="s">
        <v>855</v>
      </c>
      <c r="AH532" s="76" t="s">
        <v>860</v>
      </c>
      <c r="AI532" s="76" t="s">
        <v>444</v>
      </c>
      <c r="AJ532" s="76" t="s">
        <v>444</v>
      </c>
      <c r="AK532" s="76" t="s">
        <v>1384</v>
      </c>
      <c r="AL532" s="76"/>
      <c r="AM532" s="9" t="s">
        <v>863</v>
      </c>
      <c r="AN532" s="81" t="s">
        <v>561</v>
      </c>
      <c r="AO532" s="81" t="s">
        <v>789</v>
      </c>
      <c r="AP532" s="81" t="s">
        <v>854</v>
      </c>
      <c r="AQ532" s="81" t="s">
        <v>855</v>
      </c>
      <c r="AR532" s="81" t="s">
        <v>860</v>
      </c>
      <c r="AS532" s="81" t="s">
        <v>444</v>
      </c>
      <c r="AT532" s="81" t="s">
        <v>444</v>
      </c>
      <c r="AU532" s="81" t="s">
        <v>2070</v>
      </c>
      <c r="AV532" s="81" t="str">
        <f t="shared" si="98"/>
        <v>GND_GND_DEL COSTO HISTÓRICO DE PROPIEDADES, PLANTA Y EQUIPO_No acelerada___Costo&amp;Gasto&amp;Gasto</v>
      </c>
    </row>
    <row r="533" spans="1:48">
      <c r="A533" s="53"/>
      <c r="B533" s="53"/>
      <c r="C533" s="53"/>
      <c r="D533" s="242" t="s">
        <v>864</v>
      </c>
      <c r="E533" s="242"/>
      <c r="F533" s="242"/>
      <c r="G533" s="242"/>
      <c r="H533" s="242"/>
      <c r="I533" s="242"/>
      <c r="J533" s="9" t="s">
        <v>865</v>
      </c>
      <c r="K533" s="55" t="e">
        <f>VLOOKUP(J533,Casilleros!$A$4:$Q$830,17,FALSE)</f>
        <v>#REF!</v>
      </c>
      <c r="L533" s="9" t="s">
        <v>866</v>
      </c>
      <c r="M533" s="55" t="e">
        <f>VLOOKUP(L533,Casilleros!$A$4:$Q$830,17,FALSE)</f>
        <v>#REF!</v>
      </c>
      <c r="N533" s="9" t="s">
        <v>867</v>
      </c>
      <c r="O533" s="55" t="e">
        <f>VLOOKUP(N533,Casilleros!$A$4:$Q$830,17,FALSE)</f>
        <v>#REF!</v>
      </c>
      <c r="S533" s="61" t="str">
        <f t="shared" si="99"/>
        <v>7070</v>
      </c>
      <c r="T533" s="64" t="str">
        <f t="shared" si="100"/>
        <v>ESTADO DEL RESULTADO INTEGRAL</v>
      </c>
      <c r="U533" s="64" t="str">
        <f t="shared" si="101"/>
        <v>COSTOS Y GASTOS</v>
      </c>
      <c r="V533" s="64" t="str">
        <f t="shared" si="88"/>
        <v>GASTOS POR DEPRECIACIONES</v>
      </c>
      <c r="W533" s="64" t="str">
        <f t="shared" si="89"/>
        <v>Del costo histórico de propiedades de inversión</v>
      </c>
      <c r="X533" s="64" t="str">
        <f t="shared" si="102"/>
        <v/>
      </c>
      <c r="Y533" s="64" t="str">
        <f t="shared" si="103"/>
        <v/>
      </c>
      <c r="Z533" s="64" t="str">
        <f t="shared" si="104"/>
        <v/>
      </c>
      <c r="AA533" s="64" t="str">
        <f t="shared" si="97"/>
        <v>GASTOS POR DEPRECIACIONES_Del costo histórico de propiedades de inversión_Costo</v>
      </c>
      <c r="AC533" s="76" t="s">
        <v>866</v>
      </c>
      <c r="AD533" s="76" t="s">
        <v>561</v>
      </c>
      <c r="AE533" s="76" t="s">
        <v>789</v>
      </c>
      <c r="AF533" s="76" t="s">
        <v>854</v>
      </c>
      <c r="AG533" s="76" t="s">
        <v>864</v>
      </c>
      <c r="AH533" s="76" t="s">
        <v>444</v>
      </c>
      <c r="AI533" s="76" t="s">
        <v>444</v>
      </c>
      <c r="AJ533" s="76" t="s">
        <v>444</v>
      </c>
      <c r="AK533" s="76" t="s">
        <v>1385</v>
      </c>
      <c r="AL533" s="76"/>
      <c r="AM533" s="9" t="s">
        <v>867</v>
      </c>
      <c r="AN533" s="81" t="s">
        <v>561</v>
      </c>
      <c r="AO533" s="81" t="s">
        <v>789</v>
      </c>
      <c r="AP533" s="81" t="s">
        <v>854</v>
      </c>
      <c r="AQ533" s="81" t="s">
        <v>864</v>
      </c>
      <c r="AR533" s="81" t="s">
        <v>444</v>
      </c>
      <c r="AS533" s="81" t="s">
        <v>444</v>
      </c>
      <c r="AT533" s="81" t="s">
        <v>444</v>
      </c>
      <c r="AU533" s="81" t="s">
        <v>2071</v>
      </c>
      <c r="AV533" s="81" t="str">
        <f t="shared" si="98"/>
        <v>GND_GND_GASTOS POR DEPRECIACIONES_Del costo histórico de propiedades de inversión_Costo&amp;Gasto&amp;Gasto</v>
      </c>
    </row>
    <row r="534" spans="1:48">
      <c r="A534" s="53"/>
      <c r="B534" s="53"/>
      <c r="C534" s="53"/>
      <c r="D534" s="242" t="s">
        <v>868</v>
      </c>
      <c r="E534" s="242"/>
      <c r="F534" s="242"/>
      <c r="G534" s="242"/>
      <c r="H534" s="242"/>
      <c r="I534" s="242"/>
      <c r="J534" s="9" t="s">
        <v>869</v>
      </c>
      <c r="K534" s="55" t="e">
        <f>VLOOKUP(J534,Casilleros!$A$4:$Q$830,17,FALSE)</f>
        <v>#REF!</v>
      </c>
      <c r="L534" s="9" t="s">
        <v>870</v>
      </c>
      <c r="M534" s="55" t="e">
        <f>VLOOKUP(L534,Casilleros!$A$4:$Q$830,17,FALSE)</f>
        <v>#REF!</v>
      </c>
      <c r="N534" s="9" t="s">
        <v>871</v>
      </c>
      <c r="O534" s="55" t="e">
        <f>VLOOKUP(N534,Casilleros!$A$4:$Q$830,17,FALSE)</f>
        <v>#REF!</v>
      </c>
      <c r="S534" s="61" t="str">
        <f t="shared" si="99"/>
        <v>7073</v>
      </c>
      <c r="T534" s="64" t="str">
        <f t="shared" si="100"/>
        <v>ESTADO DEL RESULTADO INTEGRAL</v>
      </c>
      <c r="U534" s="64" t="str">
        <f t="shared" si="101"/>
        <v>COSTOS Y GASTOS</v>
      </c>
      <c r="V534" s="64" t="str">
        <f t="shared" si="88"/>
        <v>GASTOS POR DEPRECIACIONES</v>
      </c>
      <c r="W534" s="64" t="str">
        <f t="shared" si="89"/>
        <v>Del costo histórico de activos para exploración, evaluación y explotación de recursos minerales</v>
      </c>
      <c r="X534" s="64" t="str">
        <f t="shared" si="102"/>
        <v/>
      </c>
      <c r="Y534" s="64" t="str">
        <f t="shared" si="103"/>
        <v/>
      </c>
      <c r="Z534" s="64" t="str">
        <f t="shared" si="104"/>
        <v/>
      </c>
      <c r="AA534" s="64" t="str">
        <f t="shared" si="97"/>
        <v>GASTOS POR DEPRECIACIONES_Del costo histórico de activos para exploración, evaluación y explotación de recursos minerales_Costo</v>
      </c>
      <c r="AC534" s="76" t="s">
        <v>870</v>
      </c>
      <c r="AD534" s="76" t="s">
        <v>561</v>
      </c>
      <c r="AE534" s="76" t="s">
        <v>789</v>
      </c>
      <c r="AF534" s="76" t="s">
        <v>854</v>
      </c>
      <c r="AG534" s="76" t="s">
        <v>868</v>
      </c>
      <c r="AH534" s="76" t="s">
        <v>444</v>
      </c>
      <c r="AI534" s="76" t="s">
        <v>444</v>
      </c>
      <c r="AJ534" s="76" t="s">
        <v>444</v>
      </c>
      <c r="AK534" s="76" t="s">
        <v>1386</v>
      </c>
      <c r="AL534" s="76"/>
      <c r="AM534" s="9" t="s">
        <v>871</v>
      </c>
      <c r="AN534" s="81" t="s">
        <v>561</v>
      </c>
      <c r="AO534" s="81" t="s">
        <v>789</v>
      </c>
      <c r="AP534" s="81" t="s">
        <v>854</v>
      </c>
      <c r="AQ534" s="81" t="s">
        <v>868</v>
      </c>
      <c r="AR534" s="81" t="s">
        <v>444</v>
      </c>
      <c r="AS534" s="81" t="s">
        <v>444</v>
      </c>
      <c r="AT534" s="81" t="s">
        <v>444</v>
      </c>
      <c r="AU534" s="81" t="s">
        <v>2072</v>
      </c>
      <c r="AV534" s="81" t="str">
        <f t="shared" si="98"/>
        <v>GND_GND_GASTOS POR DEPRECIACIONES_Del costo histórico de activos para exploración, evaluación y explotación de recursos minerales_Costo&amp;Gasto&amp;Gasto</v>
      </c>
    </row>
    <row r="535" spans="1:48">
      <c r="A535" s="53"/>
      <c r="B535" s="53"/>
      <c r="C535" s="53"/>
      <c r="D535" s="247" t="s">
        <v>872</v>
      </c>
      <c r="E535" s="247"/>
      <c r="F535" s="247"/>
      <c r="G535" s="247"/>
      <c r="H535" s="247"/>
      <c r="I535" s="247"/>
      <c r="J535" s="246" t="s">
        <v>144</v>
      </c>
      <c r="K535" s="246"/>
      <c r="L535" s="246" t="s">
        <v>11</v>
      </c>
      <c r="M535" s="246"/>
      <c r="N535" s="246" t="s">
        <v>791</v>
      </c>
      <c r="O535" s="246"/>
      <c r="S535" s="61" t="str">
        <f t="shared" si="99"/>
        <v>Costo</v>
      </c>
      <c r="T535" s="64" t="str">
        <f t="shared" si="100"/>
        <v>ESTADO DEL RESULTADO INTEGRAL</v>
      </c>
      <c r="U535" s="64" t="str">
        <f t="shared" si="101"/>
        <v>COSTOS Y GASTOS</v>
      </c>
      <c r="V535" s="64" t="str">
        <f t="shared" si="88"/>
        <v>GASTOS POR DEPRECIACIONES</v>
      </c>
      <c r="W535" s="64" t="str">
        <f t="shared" si="89"/>
        <v>DEL AJUSTE ACUMULADO POR REEXPRESIONES O REVALUACIONES</v>
      </c>
      <c r="X535" s="64" t="str">
        <f t="shared" si="102"/>
        <v/>
      </c>
      <c r="Y535" s="64" t="str">
        <f t="shared" si="103"/>
        <v/>
      </c>
      <c r="Z535" s="64" t="str">
        <f t="shared" si="104"/>
        <v/>
      </c>
      <c r="AA535" s="64" t="str">
        <f t="shared" si="97"/>
        <v>GASTOS POR DEPRECIACIONES_DEL AJUSTE ACUMULADO POR REEXPRESIONES O REVALUACIONES_Costo</v>
      </c>
      <c r="AC535" s="76" t="s">
        <v>144</v>
      </c>
      <c r="AD535" s="76" t="s">
        <v>561</v>
      </c>
      <c r="AE535" s="76" t="s">
        <v>789</v>
      </c>
      <c r="AF535" s="76" t="s">
        <v>854</v>
      </c>
      <c r="AG535" s="76" t="s">
        <v>872</v>
      </c>
      <c r="AH535" s="76" t="s">
        <v>444</v>
      </c>
      <c r="AI535" s="76" t="s">
        <v>444</v>
      </c>
      <c r="AJ535" s="76" t="s">
        <v>444</v>
      </c>
      <c r="AK535" s="76" t="s">
        <v>1387</v>
      </c>
      <c r="AL535" s="76"/>
      <c r="AM535" s="81"/>
      <c r="AN535" s="81" t="s">
        <v>561</v>
      </c>
      <c r="AO535" s="81" t="s">
        <v>789</v>
      </c>
      <c r="AP535" s="81" t="s">
        <v>854</v>
      </c>
      <c r="AQ535" s="81" t="s">
        <v>872</v>
      </c>
      <c r="AR535" s="81" t="s">
        <v>444</v>
      </c>
      <c r="AS535" s="81" t="s">
        <v>444</v>
      </c>
      <c r="AT535" s="81" t="s">
        <v>444</v>
      </c>
      <c r="AU535" s="81" t="s">
        <v>2073</v>
      </c>
      <c r="AV535" s="81" t="str">
        <f t="shared" si="98"/>
        <v>GND_GND_GASTOS POR DEPRECIACIONES_DEL AJUSTE ACUMULADO POR REEXPRESIONES O REVALUACIONES_Costo&amp;Gasto&amp;Gasto</v>
      </c>
    </row>
    <row r="536" spans="1:48">
      <c r="A536" s="53"/>
      <c r="B536" s="53"/>
      <c r="C536" s="53"/>
      <c r="D536" s="53"/>
      <c r="E536" s="242" t="s">
        <v>873</v>
      </c>
      <c r="F536" s="242"/>
      <c r="G536" s="242"/>
      <c r="H536" s="242"/>
      <c r="I536" s="242"/>
      <c r="J536" s="9" t="s">
        <v>874</v>
      </c>
      <c r="K536" s="55" t="e">
        <f>VLOOKUP(J536,Casilleros!$A$4:$Q$830,17,FALSE)</f>
        <v>#REF!</v>
      </c>
      <c r="L536" s="9" t="s">
        <v>875</v>
      </c>
      <c r="M536" s="55" t="e">
        <f>VLOOKUP(L536,Casilleros!$A$4:$Q$830,17,FALSE)</f>
        <v>#REF!</v>
      </c>
      <c r="N536" s="9" t="s">
        <v>876</v>
      </c>
      <c r="O536" s="55" t="e">
        <f>VLOOKUP(N536,Casilleros!$A$4:$Q$830,17,FALSE)</f>
        <v>#REF!</v>
      </c>
      <c r="S536" s="61" t="str">
        <f t="shared" si="99"/>
        <v>7076</v>
      </c>
      <c r="T536" s="64" t="str">
        <f t="shared" si="100"/>
        <v>ESTADO DEL RESULTADO INTEGRAL</v>
      </c>
      <c r="U536" s="64" t="str">
        <f t="shared" si="101"/>
        <v>COSTOS Y GASTOS</v>
      </c>
      <c r="V536" s="64" t="str">
        <f t="shared" si="88"/>
        <v>GASTOS POR DEPRECIACIONES</v>
      </c>
      <c r="W536" s="64" t="str">
        <f t="shared" si="89"/>
        <v>DEL AJUSTE ACUMULADO POR REEXPRESIONES O REVALUACIONES</v>
      </c>
      <c r="X536" s="64" t="str">
        <f t="shared" si="102"/>
        <v>Propiedades, planta y equipo</v>
      </c>
      <c r="Y536" s="64" t="str">
        <f t="shared" si="103"/>
        <v/>
      </c>
      <c r="Z536" s="64" t="str">
        <f t="shared" si="104"/>
        <v/>
      </c>
      <c r="AA536" s="64" t="str">
        <f t="shared" si="97"/>
        <v>DEL AJUSTE ACUMULADO POR REEXPRESIONES O REVALUACIONES_Propiedades, planta y equipo___Costo</v>
      </c>
      <c r="AC536" s="76" t="s">
        <v>875</v>
      </c>
      <c r="AD536" s="76" t="s">
        <v>561</v>
      </c>
      <c r="AE536" s="76" t="s">
        <v>789</v>
      </c>
      <c r="AF536" s="76" t="s">
        <v>854</v>
      </c>
      <c r="AG536" s="76" t="s">
        <v>872</v>
      </c>
      <c r="AH536" s="76" t="s">
        <v>873</v>
      </c>
      <c r="AI536" s="76" t="s">
        <v>444</v>
      </c>
      <c r="AJ536" s="76" t="s">
        <v>444</v>
      </c>
      <c r="AK536" s="76" t="s">
        <v>1388</v>
      </c>
      <c r="AL536" s="76"/>
      <c r="AM536" s="9" t="s">
        <v>876</v>
      </c>
      <c r="AN536" s="81" t="s">
        <v>561</v>
      </c>
      <c r="AO536" s="81" t="s">
        <v>789</v>
      </c>
      <c r="AP536" s="81" t="s">
        <v>854</v>
      </c>
      <c r="AQ536" s="81" t="s">
        <v>872</v>
      </c>
      <c r="AR536" s="81" t="s">
        <v>873</v>
      </c>
      <c r="AS536" s="81" t="s">
        <v>444</v>
      </c>
      <c r="AT536" s="81" t="s">
        <v>444</v>
      </c>
      <c r="AU536" s="81" t="s">
        <v>2074</v>
      </c>
      <c r="AV536" s="81" t="str">
        <f t="shared" si="98"/>
        <v>GND_GND_DEL AJUSTE ACUMULADO POR REEXPRESIONES O REVALUACIONES_Propiedades, planta y equipo___Costo&amp;Gasto&amp;Gasto</v>
      </c>
    </row>
    <row r="537" spans="1:48">
      <c r="A537" s="53"/>
      <c r="B537" s="53"/>
      <c r="C537" s="53"/>
      <c r="D537" s="53"/>
      <c r="E537" s="242" t="s">
        <v>877</v>
      </c>
      <c r="F537" s="242"/>
      <c r="G537" s="242"/>
      <c r="H537" s="242"/>
      <c r="I537" s="242"/>
      <c r="J537" s="9" t="s">
        <v>878</v>
      </c>
      <c r="K537" s="55" t="e">
        <f>VLOOKUP(J537,Casilleros!$A$4:$Q$830,17,FALSE)</f>
        <v>#REF!</v>
      </c>
      <c r="L537" s="9" t="s">
        <v>879</v>
      </c>
      <c r="M537" s="55" t="e">
        <f>VLOOKUP(L537,Casilleros!$A$4:$Q$830,17,FALSE)</f>
        <v>#REF!</v>
      </c>
      <c r="N537" s="9" t="s">
        <v>880</v>
      </c>
      <c r="O537" s="55" t="e">
        <f>VLOOKUP(N537,Casilleros!$A$4:$Q$830,17,FALSE)</f>
        <v>#REF!</v>
      </c>
      <c r="S537" s="61" t="str">
        <f t="shared" si="99"/>
        <v>7079</v>
      </c>
      <c r="T537" s="64" t="str">
        <f t="shared" si="100"/>
        <v>ESTADO DEL RESULTADO INTEGRAL</v>
      </c>
      <c r="U537" s="64" t="str">
        <f t="shared" si="101"/>
        <v>COSTOS Y GASTOS</v>
      </c>
      <c r="V537" s="64" t="str">
        <f t="shared" si="88"/>
        <v>GASTOS POR DEPRECIACIONES</v>
      </c>
      <c r="W537" s="64" t="str">
        <f t="shared" si="89"/>
        <v>DEL AJUSTE ACUMULADO POR REEXPRESIONES O REVALUACIONES</v>
      </c>
      <c r="X537" s="64" t="str">
        <f t="shared" si="102"/>
        <v>Propiedades de inversión</v>
      </c>
      <c r="Y537" s="64" t="str">
        <f t="shared" si="103"/>
        <v/>
      </c>
      <c r="Z537" s="64" t="str">
        <f t="shared" si="104"/>
        <v/>
      </c>
      <c r="AA537" s="64" t="str">
        <f t="shared" si="97"/>
        <v>DEL AJUSTE ACUMULADO POR REEXPRESIONES O REVALUACIONES_Propiedades de inversión___Costo</v>
      </c>
      <c r="AC537" s="76" t="s">
        <v>879</v>
      </c>
      <c r="AD537" s="76" t="s">
        <v>561</v>
      </c>
      <c r="AE537" s="76" t="s">
        <v>789</v>
      </c>
      <c r="AF537" s="76" t="s">
        <v>854</v>
      </c>
      <c r="AG537" s="76" t="s">
        <v>872</v>
      </c>
      <c r="AH537" s="76" t="s">
        <v>877</v>
      </c>
      <c r="AI537" s="76" t="s">
        <v>444</v>
      </c>
      <c r="AJ537" s="76" t="s">
        <v>444</v>
      </c>
      <c r="AK537" s="76" t="s">
        <v>1389</v>
      </c>
      <c r="AL537" s="76"/>
      <c r="AM537" s="9" t="s">
        <v>880</v>
      </c>
      <c r="AN537" s="81" t="s">
        <v>561</v>
      </c>
      <c r="AO537" s="81" t="s">
        <v>789</v>
      </c>
      <c r="AP537" s="81" t="s">
        <v>854</v>
      </c>
      <c r="AQ537" s="81" t="s">
        <v>872</v>
      </c>
      <c r="AR537" s="81" t="s">
        <v>877</v>
      </c>
      <c r="AS537" s="81" t="s">
        <v>444</v>
      </c>
      <c r="AT537" s="81" t="s">
        <v>444</v>
      </c>
      <c r="AU537" s="81" t="s">
        <v>2075</v>
      </c>
      <c r="AV537" s="81" t="str">
        <f t="shared" si="98"/>
        <v>GND_GND_DEL AJUSTE ACUMULADO POR REEXPRESIONES O REVALUACIONES_Propiedades de inversión___Costo&amp;Gasto&amp;Gasto</v>
      </c>
    </row>
    <row r="538" spans="1:48">
      <c r="A538" s="53"/>
      <c r="B538" s="53"/>
      <c r="C538" s="53"/>
      <c r="D538" s="53"/>
      <c r="E538" s="242" t="s">
        <v>881</v>
      </c>
      <c r="F538" s="242"/>
      <c r="G538" s="242"/>
      <c r="H538" s="242"/>
      <c r="I538" s="242"/>
      <c r="J538" s="9" t="s">
        <v>882</v>
      </c>
      <c r="K538" s="55" t="e">
        <f>VLOOKUP(J538,Casilleros!$A$4:$Q$830,17,FALSE)</f>
        <v>#REF!</v>
      </c>
      <c r="L538" s="9" t="s">
        <v>883</v>
      </c>
      <c r="M538" s="55" t="e">
        <f>VLOOKUP(L538,Casilleros!$A$4:$Q$830,17,FALSE)</f>
        <v>#REF!</v>
      </c>
      <c r="N538" s="9" t="s">
        <v>884</v>
      </c>
      <c r="O538" s="55" t="e">
        <f>VLOOKUP(N538,Casilleros!$A$4:$Q$830,17,FALSE)</f>
        <v>#REF!</v>
      </c>
      <c r="S538" s="61" t="str">
        <f t="shared" si="99"/>
        <v>7082</v>
      </c>
      <c r="T538" s="64" t="str">
        <f t="shared" si="100"/>
        <v>ESTADO DEL RESULTADO INTEGRAL</v>
      </c>
      <c r="U538" s="64" t="str">
        <f t="shared" si="101"/>
        <v>COSTOS Y GASTOS</v>
      </c>
      <c r="V538" s="64" t="str">
        <f t="shared" si="88"/>
        <v>GASTOS POR DEPRECIACIONES</v>
      </c>
      <c r="W538" s="64" t="str">
        <f t="shared" si="89"/>
        <v>DEL AJUSTE ACUMULADO POR REEXPRESIONES O REVALUACIONES</v>
      </c>
      <c r="X538" s="64" t="str">
        <f t="shared" si="102"/>
        <v>Activos para exploración, evaluación y explotación de recursos minerales</v>
      </c>
      <c r="Y538" s="64" t="str">
        <f t="shared" si="103"/>
        <v/>
      </c>
      <c r="Z538" s="64" t="str">
        <f t="shared" si="104"/>
        <v/>
      </c>
      <c r="AA538" s="64" t="str">
        <f t="shared" si="97"/>
        <v>DEL AJUSTE ACUMULADO POR REEXPRESIONES O REVALUACIONES_Activos para exploración, evaluación y explotación de recursos minerales___Costo</v>
      </c>
      <c r="AC538" s="76" t="s">
        <v>883</v>
      </c>
      <c r="AD538" s="76" t="s">
        <v>561</v>
      </c>
      <c r="AE538" s="76" t="s">
        <v>789</v>
      </c>
      <c r="AF538" s="76" t="s">
        <v>854</v>
      </c>
      <c r="AG538" s="76" t="s">
        <v>872</v>
      </c>
      <c r="AH538" s="76" t="s">
        <v>881</v>
      </c>
      <c r="AI538" s="76" t="s">
        <v>444</v>
      </c>
      <c r="AJ538" s="76" t="s">
        <v>444</v>
      </c>
      <c r="AK538" s="76" t="s">
        <v>1390</v>
      </c>
      <c r="AL538" s="76"/>
      <c r="AM538" s="9" t="s">
        <v>884</v>
      </c>
      <c r="AN538" s="81" t="s">
        <v>561</v>
      </c>
      <c r="AO538" s="81" t="s">
        <v>789</v>
      </c>
      <c r="AP538" s="81" t="s">
        <v>854</v>
      </c>
      <c r="AQ538" s="81" t="s">
        <v>872</v>
      </c>
      <c r="AR538" s="81" t="s">
        <v>881</v>
      </c>
      <c r="AS538" s="81" t="s">
        <v>444</v>
      </c>
      <c r="AT538" s="81" t="s">
        <v>444</v>
      </c>
      <c r="AU538" s="81" t="s">
        <v>2076</v>
      </c>
      <c r="AV538" s="81" t="str">
        <f t="shared" si="98"/>
        <v>GND_GND_DEL AJUSTE ACUMULADO POR REEXPRESIONES O REVALUACIONES_Activos para exploración, evaluación y explotación de recursos minerales___Costo&amp;Gasto&amp;Gasto</v>
      </c>
    </row>
    <row r="539" spans="1:48">
      <c r="A539" s="53"/>
      <c r="B539" s="53"/>
      <c r="C539" s="53"/>
      <c r="D539" s="53"/>
      <c r="E539" s="242" t="s">
        <v>122</v>
      </c>
      <c r="F539" s="242"/>
      <c r="G539" s="242"/>
      <c r="H539" s="242"/>
      <c r="I539" s="242"/>
      <c r="J539" s="9" t="s">
        <v>885</v>
      </c>
      <c r="K539" s="55" t="e">
        <f>VLOOKUP(J539,Casilleros!$A$4:$Q$830,17,FALSE)</f>
        <v>#REF!</v>
      </c>
      <c r="L539" s="9" t="s">
        <v>886</v>
      </c>
      <c r="M539" s="55" t="e">
        <f>VLOOKUP(L539,Casilleros!$A$4:$Q$830,17,FALSE)</f>
        <v>#REF!</v>
      </c>
      <c r="N539" s="9" t="s">
        <v>887</v>
      </c>
      <c r="O539" s="55" t="e">
        <f>VLOOKUP(N539,Casilleros!$A$4:$Q$830,17,FALSE)</f>
        <v>#REF!</v>
      </c>
      <c r="S539" s="61" t="str">
        <f t="shared" si="99"/>
        <v>7085</v>
      </c>
      <c r="T539" s="64" t="str">
        <f t="shared" si="100"/>
        <v>ESTADO DEL RESULTADO INTEGRAL</v>
      </c>
      <c r="U539" s="64" t="str">
        <f t="shared" si="101"/>
        <v>COSTOS Y GASTOS</v>
      </c>
      <c r="V539" s="64" t="str">
        <f t="shared" si="88"/>
        <v>GASTOS POR DEPRECIACIONES</v>
      </c>
      <c r="W539" s="64" t="str">
        <f t="shared" si="89"/>
        <v>DEL AJUSTE ACUMULADO POR REEXPRESIONES O REVALUACIONES</v>
      </c>
      <c r="X539" s="64" t="str">
        <f t="shared" si="102"/>
        <v>Otros</v>
      </c>
      <c r="Y539" s="64" t="str">
        <f t="shared" si="103"/>
        <v/>
      </c>
      <c r="Z539" s="64" t="str">
        <f t="shared" si="104"/>
        <v/>
      </c>
      <c r="AA539" s="64" t="str">
        <f t="shared" si="97"/>
        <v>DEL AJUSTE ACUMULADO POR REEXPRESIONES O REVALUACIONES_Otros___Costo</v>
      </c>
      <c r="AC539" s="76" t="s">
        <v>886</v>
      </c>
      <c r="AD539" s="76" t="s">
        <v>561</v>
      </c>
      <c r="AE539" s="76" t="s">
        <v>789</v>
      </c>
      <c r="AF539" s="76" t="s">
        <v>854</v>
      </c>
      <c r="AG539" s="76" t="s">
        <v>872</v>
      </c>
      <c r="AH539" s="76" t="s">
        <v>122</v>
      </c>
      <c r="AI539" s="76" t="s">
        <v>444</v>
      </c>
      <c r="AJ539" s="76" t="s">
        <v>444</v>
      </c>
      <c r="AK539" s="76" t="s">
        <v>1391</v>
      </c>
      <c r="AL539" s="76"/>
      <c r="AM539" s="9" t="s">
        <v>887</v>
      </c>
      <c r="AN539" s="81" t="s">
        <v>561</v>
      </c>
      <c r="AO539" s="81" t="s">
        <v>789</v>
      </c>
      <c r="AP539" s="81" t="s">
        <v>854</v>
      </c>
      <c r="AQ539" s="81" t="s">
        <v>872</v>
      </c>
      <c r="AR539" s="81" t="s">
        <v>122</v>
      </c>
      <c r="AS539" s="81" t="s">
        <v>444</v>
      </c>
      <c r="AT539" s="81" t="s">
        <v>444</v>
      </c>
      <c r="AU539" s="81" t="s">
        <v>2077</v>
      </c>
      <c r="AV539" s="81" t="str">
        <f t="shared" si="98"/>
        <v>GND_GND_DEL AJUSTE ACUMULADO POR REEXPRESIONES O REVALUACIONES_Otros___Costo&amp;Gasto&amp;Gasto</v>
      </c>
    </row>
    <row r="540" spans="1:48">
      <c r="A540" s="53"/>
      <c r="B540" s="53"/>
      <c r="C540" s="53"/>
      <c r="D540" s="242" t="s">
        <v>888</v>
      </c>
      <c r="E540" s="242"/>
      <c r="F540" s="242"/>
      <c r="G540" s="242"/>
      <c r="H540" s="242"/>
      <c r="I540" s="242"/>
      <c r="J540" s="9" t="s">
        <v>889</v>
      </c>
      <c r="K540" s="55" t="e">
        <f>VLOOKUP(J540,Casilleros!$A$4:$Q$830,17,FALSE)</f>
        <v>#REF!</v>
      </c>
      <c r="L540" s="9" t="s">
        <v>890</v>
      </c>
      <c r="M540" s="55" t="e">
        <f>VLOOKUP(L540,Casilleros!$A$4:$Q$830,17,FALSE)</f>
        <v>#REF!</v>
      </c>
      <c r="N540" s="9" t="s">
        <v>891</v>
      </c>
      <c r="O540" s="55" t="e">
        <f>VLOOKUP(N540,Casilleros!$A$4:$Q$830,17,FALSE)</f>
        <v>#REF!</v>
      </c>
      <c r="S540" s="61" t="str">
        <f t="shared" si="99"/>
        <v>7088</v>
      </c>
      <c r="T540" s="64" t="str">
        <f t="shared" si="100"/>
        <v>ESTADO DEL RESULTADO INTEGRAL</v>
      </c>
      <c r="U540" s="64" t="str">
        <f t="shared" si="101"/>
        <v>COSTOS Y GASTOS</v>
      </c>
      <c r="V540" s="64" t="str">
        <f t="shared" ref="V540:V603" si="105">IF(U539&lt;&gt;U540,"",(IF(C540&lt;&gt;"",C540,V539)))</f>
        <v>GASTOS POR DEPRECIACIONES</v>
      </c>
      <c r="W540" s="64" t="str">
        <f t="shared" ref="W540:W603" si="106">IF(V539&lt;&gt;V540,"",(IF(D540&lt;&gt;"",D540,W539)))</f>
        <v>De Activos Biológicos</v>
      </c>
      <c r="X540" s="64" t="str">
        <f t="shared" si="102"/>
        <v/>
      </c>
      <c r="Y540" s="64" t="str">
        <f t="shared" si="103"/>
        <v/>
      </c>
      <c r="Z540" s="64" t="str">
        <f t="shared" si="104"/>
        <v/>
      </c>
      <c r="AA540" s="64" t="str">
        <f t="shared" si="97"/>
        <v>GASTOS POR DEPRECIACIONES_De Activos Biológicos_Costo</v>
      </c>
      <c r="AC540" s="76" t="s">
        <v>890</v>
      </c>
      <c r="AD540" s="76" t="s">
        <v>561</v>
      </c>
      <c r="AE540" s="76" t="s">
        <v>789</v>
      </c>
      <c r="AF540" s="76" t="s">
        <v>854</v>
      </c>
      <c r="AG540" s="76" t="s">
        <v>888</v>
      </c>
      <c r="AH540" s="76" t="s">
        <v>444</v>
      </c>
      <c r="AI540" s="76" t="s">
        <v>444</v>
      </c>
      <c r="AJ540" s="76" t="s">
        <v>444</v>
      </c>
      <c r="AK540" s="76" t="s">
        <v>1392</v>
      </c>
      <c r="AL540" s="76"/>
      <c r="AM540" s="9" t="s">
        <v>891</v>
      </c>
      <c r="AN540" s="81" t="s">
        <v>561</v>
      </c>
      <c r="AO540" s="81" t="s">
        <v>789</v>
      </c>
      <c r="AP540" s="81" t="s">
        <v>854</v>
      </c>
      <c r="AQ540" s="81" t="s">
        <v>888</v>
      </c>
      <c r="AR540" s="81" t="s">
        <v>444</v>
      </c>
      <c r="AS540" s="81" t="s">
        <v>444</v>
      </c>
      <c r="AT540" s="81" t="s">
        <v>444</v>
      </c>
      <c r="AU540" s="81" t="s">
        <v>2078</v>
      </c>
      <c r="AV540" s="81" t="str">
        <f t="shared" si="98"/>
        <v>GND_GND_GASTOS POR DEPRECIACIONES_De Activos Biológicos_Costo&amp;Gasto&amp;Gasto</v>
      </c>
    </row>
    <row r="541" spans="1:48">
      <c r="A541" s="53"/>
      <c r="B541" s="53"/>
      <c r="C541" s="53"/>
      <c r="D541" s="242" t="s">
        <v>892</v>
      </c>
      <c r="E541" s="242"/>
      <c r="F541" s="242"/>
      <c r="G541" s="242"/>
      <c r="H541" s="242"/>
      <c r="I541" s="242"/>
      <c r="J541" s="9" t="s">
        <v>893</v>
      </c>
      <c r="K541" s="55" t="e">
        <f>VLOOKUP(J541,Casilleros!$A$4:$Q$830,17,FALSE)</f>
        <v>#REF!</v>
      </c>
      <c r="L541" s="9" t="s">
        <v>894</v>
      </c>
      <c r="M541" s="55" t="e">
        <f>VLOOKUP(L541,Casilleros!$A$4:$Q$830,17,FALSE)</f>
        <v>#REF!</v>
      </c>
      <c r="N541" s="9" t="s">
        <v>895</v>
      </c>
      <c r="O541" s="55" t="e">
        <f>VLOOKUP(N541,Casilleros!$A$4:$Q$830,17,FALSE)</f>
        <v>#REF!</v>
      </c>
      <c r="S541" s="61" t="str">
        <f t="shared" si="99"/>
        <v>7091</v>
      </c>
      <c r="T541" s="64" t="str">
        <f t="shared" si="100"/>
        <v>ESTADO DEL RESULTADO INTEGRAL</v>
      </c>
      <c r="U541" s="64" t="str">
        <f t="shared" si="101"/>
        <v>COSTOS Y GASTOS</v>
      </c>
      <c r="V541" s="64" t="str">
        <f t="shared" si="105"/>
        <v>GASTOS POR DEPRECIACIONES</v>
      </c>
      <c r="W541" s="64" t="str">
        <f t="shared" si="106"/>
        <v>Otras depreciaciones</v>
      </c>
      <c r="X541" s="64" t="str">
        <f t="shared" si="102"/>
        <v/>
      </c>
      <c r="Y541" s="64" t="str">
        <f t="shared" si="103"/>
        <v/>
      </c>
      <c r="Z541" s="64" t="str">
        <f t="shared" si="104"/>
        <v/>
      </c>
      <c r="AA541" s="64" t="str">
        <f t="shared" si="97"/>
        <v>GASTOS POR DEPRECIACIONES_Otras depreciaciones_Costo</v>
      </c>
      <c r="AC541" s="76" t="s">
        <v>894</v>
      </c>
      <c r="AD541" s="76" t="s">
        <v>561</v>
      </c>
      <c r="AE541" s="76" t="s">
        <v>789</v>
      </c>
      <c r="AF541" s="76" t="s">
        <v>854</v>
      </c>
      <c r="AG541" s="76" t="s">
        <v>892</v>
      </c>
      <c r="AH541" s="76" t="s">
        <v>444</v>
      </c>
      <c r="AI541" s="76" t="s">
        <v>444</v>
      </c>
      <c r="AJ541" s="76" t="s">
        <v>444</v>
      </c>
      <c r="AK541" s="76" t="s">
        <v>1393</v>
      </c>
      <c r="AL541" s="76"/>
      <c r="AM541" s="9" t="s">
        <v>895</v>
      </c>
      <c r="AN541" s="81" t="s">
        <v>561</v>
      </c>
      <c r="AO541" s="81" t="s">
        <v>789</v>
      </c>
      <c r="AP541" s="81" t="s">
        <v>854</v>
      </c>
      <c r="AQ541" s="81" t="s">
        <v>892</v>
      </c>
      <c r="AR541" s="81" t="s">
        <v>444</v>
      </c>
      <c r="AS541" s="81" t="s">
        <v>444</v>
      </c>
      <c r="AT541" s="81" t="s">
        <v>444</v>
      </c>
      <c r="AU541" s="81" t="s">
        <v>2079</v>
      </c>
      <c r="AV541" s="81" t="str">
        <f t="shared" si="98"/>
        <v>GND_GND_GASTOS POR DEPRECIACIONES_Otras depreciaciones_Costo&amp;Gasto&amp;Gasto</v>
      </c>
    </row>
    <row r="542" spans="1:48">
      <c r="A542" s="53"/>
      <c r="B542" s="53"/>
      <c r="C542" s="247" t="s">
        <v>896</v>
      </c>
      <c r="D542" s="247"/>
      <c r="E542" s="247"/>
      <c r="F542" s="247"/>
      <c r="G542" s="247"/>
      <c r="H542" s="247"/>
      <c r="I542" s="247"/>
      <c r="J542" s="246" t="s">
        <v>144</v>
      </c>
      <c r="K542" s="246"/>
      <c r="L542" s="246" t="s">
        <v>11</v>
      </c>
      <c r="M542" s="246"/>
      <c r="N542" s="246" t="s">
        <v>791</v>
      </c>
      <c r="O542" s="246"/>
      <c r="S542" s="61" t="str">
        <f t="shared" ref="S542:S571" si="107">+J542</f>
        <v>Costo</v>
      </c>
      <c r="T542" s="64" t="str">
        <f t="shared" si="100"/>
        <v>ESTADO DEL RESULTADO INTEGRAL</v>
      </c>
      <c r="U542" s="64" t="str">
        <f t="shared" si="101"/>
        <v>COSTOS Y GASTOS</v>
      </c>
      <c r="V542" s="64" t="str">
        <f t="shared" si="105"/>
        <v>GASTOS POR AMORTIZACIONES</v>
      </c>
      <c r="W542" s="64" t="str">
        <f t="shared" si="106"/>
        <v/>
      </c>
      <c r="X542" s="64" t="str">
        <f t="shared" si="102"/>
        <v/>
      </c>
      <c r="Y542" s="64" t="str">
        <f t="shared" si="103"/>
        <v/>
      </c>
      <c r="Z542" s="64" t="str">
        <f t="shared" si="104"/>
        <v/>
      </c>
      <c r="AA542" s="64" t="str">
        <f t="shared" si="97"/>
        <v>GASTOS POR AMORTIZACIONES__Costo</v>
      </c>
      <c r="AC542" s="76" t="s">
        <v>144</v>
      </c>
      <c r="AD542" s="76" t="s">
        <v>561</v>
      </c>
      <c r="AE542" s="76" t="s">
        <v>789</v>
      </c>
      <c r="AF542" s="76" t="s">
        <v>896</v>
      </c>
      <c r="AG542" s="76" t="s">
        <v>444</v>
      </c>
      <c r="AH542" s="76" t="s">
        <v>444</v>
      </c>
      <c r="AI542" s="76" t="s">
        <v>444</v>
      </c>
      <c r="AJ542" s="76" t="s">
        <v>444</v>
      </c>
      <c r="AK542" s="76" t="s">
        <v>1394</v>
      </c>
      <c r="AL542" s="76"/>
      <c r="AM542" s="81"/>
      <c r="AN542" s="81" t="s">
        <v>561</v>
      </c>
      <c r="AO542" s="81" t="s">
        <v>789</v>
      </c>
      <c r="AP542" s="81" t="s">
        <v>896</v>
      </c>
      <c r="AQ542" s="81" t="s">
        <v>444</v>
      </c>
      <c r="AR542" s="81" t="s">
        <v>444</v>
      </c>
      <c r="AS542" s="81" t="s">
        <v>444</v>
      </c>
      <c r="AT542" s="81" t="s">
        <v>444</v>
      </c>
      <c r="AU542" s="81" t="s">
        <v>2080</v>
      </c>
      <c r="AV542" s="81" t="str">
        <f t="shared" si="98"/>
        <v>GND_GND_GASTOS POR AMORTIZACIONES__Costo&amp;Gasto&amp;Gasto</v>
      </c>
    </row>
    <row r="543" spans="1:48">
      <c r="A543" s="53"/>
      <c r="B543" s="53"/>
      <c r="C543" s="53"/>
      <c r="D543" s="242" t="s">
        <v>897</v>
      </c>
      <c r="E543" s="242"/>
      <c r="F543" s="242"/>
      <c r="G543" s="242"/>
      <c r="H543" s="242"/>
      <c r="I543" s="242"/>
      <c r="J543" s="9" t="s">
        <v>898</v>
      </c>
      <c r="K543" s="55" t="e">
        <f>VLOOKUP(J543,Casilleros!$A$4:$Q$830,17,FALSE)</f>
        <v>#REF!</v>
      </c>
      <c r="L543" s="9" t="s">
        <v>899</v>
      </c>
      <c r="M543" s="55" t="e">
        <f>VLOOKUP(L543,Casilleros!$A$4:$Q$830,17,FALSE)</f>
        <v>#REF!</v>
      </c>
      <c r="N543" s="9" t="s">
        <v>900</v>
      </c>
      <c r="O543" s="74" t="e">
        <f>VLOOKUP(N543,Casilleros!$A$4:$Q$830,17,FALSE)</f>
        <v>#REF!</v>
      </c>
      <c r="S543" s="61" t="str">
        <f t="shared" si="107"/>
        <v>7094</v>
      </c>
      <c r="T543" s="64" t="str">
        <f t="shared" si="100"/>
        <v>ESTADO DEL RESULTADO INTEGRAL</v>
      </c>
      <c r="U543" s="64" t="str">
        <f t="shared" si="101"/>
        <v>COSTOS Y GASTOS</v>
      </c>
      <c r="V543" s="64" t="str">
        <f t="shared" si="105"/>
        <v>GASTOS POR AMORTIZACIONES</v>
      </c>
      <c r="W543" s="64" t="str">
        <f t="shared" si="106"/>
        <v>Del costo histórico de Activos Intangibles</v>
      </c>
      <c r="X543" s="64" t="str">
        <f t="shared" si="102"/>
        <v/>
      </c>
      <c r="Y543" s="64" t="str">
        <f t="shared" si="103"/>
        <v/>
      </c>
      <c r="Z543" s="64" t="str">
        <f t="shared" si="104"/>
        <v/>
      </c>
      <c r="AA543" s="64" t="str">
        <f t="shared" si="97"/>
        <v>GASTOS POR AMORTIZACIONES_Del costo histórico de Activos Intangibles_Costo</v>
      </c>
      <c r="AC543" s="76" t="s">
        <v>899</v>
      </c>
      <c r="AD543" s="76" t="s">
        <v>561</v>
      </c>
      <c r="AE543" s="76" t="s">
        <v>789</v>
      </c>
      <c r="AF543" s="76" t="s">
        <v>896</v>
      </c>
      <c r="AG543" s="76" t="s">
        <v>897</v>
      </c>
      <c r="AH543" s="76" t="s">
        <v>444</v>
      </c>
      <c r="AI543" s="76" t="s">
        <v>444</v>
      </c>
      <c r="AJ543" s="76" t="s">
        <v>444</v>
      </c>
      <c r="AK543" s="76" t="s">
        <v>1395</v>
      </c>
      <c r="AL543" s="76"/>
      <c r="AM543" s="9" t="s">
        <v>900</v>
      </c>
      <c r="AN543" s="81" t="s">
        <v>561</v>
      </c>
      <c r="AO543" s="81" t="s">
        <v>789</v>
      </c>
      <c r="AP543" s="81" t="s">
        <v>896</v>
      </c>
      <c r="AQ543" s="81" t="s">
        <v>897</v>
      </c>
      <c r="AR543" s="81" t="s">
        <v>444</v>
      </c>
      <c r="AS543" s="81" t="s">
        <v>444</v>
      </c>
      <c r="AT543" s="81" t="s">
        <v>444</v>
      </c>
      <c r="AU543" s="81" t="s">
        <v>2081</v>
      </c>
      <c r="AV543" s="81" t="str">
        <f t="shared" si="98"/>
        <v>GND_GND_GASTOS POR AMORTIZACIONES_Del costo histórico de Activos Intangibles_Costo&amp;Gasto&amp;Gasto</v>
      </c>
    </row>
    <row r="544" spans="1:48">
      <c r="A544" s="53"/>
      <c r="B544" s="53"/>
      <c r="C544" s="53"/>
      <c r="D544" s="242" t="s">
        <v>901</v>
      </c>
      <c r="E544" s="242"/>
      <c r="F544" s="242"/>
      <c r="G544" s="242"/>
      <c r="H544" s="242"/>
      <c r="I544" s="242"/>
      <c r="J544" s="9" t="s">
        <v>902</v>
      </c>
      <c r="K544" s="55" t="e">
        <f>VLOOKUP(J544,Casilleros!$A$4:$Q$830,17,FALSE)</f>
        <v>#REF!</v>
      </c>
      <c r="L544" s="9" t="s">
        <v>903</v>
      </c>
      <c r="M544" s="55" t="e">
        <f>VLOOKUP(L544,Casilleros!$A$4:$Q$830,17,FALSE)</f>
        <v>#REF!</v>
      </c>
      <c r="N544" s="9" t="s">
        <v>904</v>
      </c>
      <c r="O544" s="55" t="e">
        <f>VLOOKUP(N544,Casilleros!$A$4:$Q$830,17,FALSE)</f>
        <v>#REF!</v>
      </c>
      <c r="S544" s="61" t="str">
        <f t="shared" si="107"/>
        <v>7097</v>
      </c>
      <c r="T544" s="64" t="str">
        <f t="shared" si="100"/>
        <v>ESTADO DEL RESULTADO INTEGRAL</v>
      </c>
      <c r="U544" s="64" t="str">
        <f t="shared" si="101"/>
        <v>COSTOS Y GASTOS</v>
      </c>
      <c r="V544" s="64" t="str">
        <f t="shared" si="105"/>
        <v>GASTOS POR AMORTIZACIONES</v>
      </c>
      <c r="W544" s="64" t="str">
        <f t="shared" si="106"/>
        <v>Del costo histórico de activos para la exploración evaluación y explotación de recursos minerales</v>
      </c>
      <c r="X544" s="64" t="str">
        <f t="shared" si="102"/>
        <v/>
      </c>
      <c r="Y544" s="64" t="str">
        <f t="shared" si="103"/>
        <v/>
      </c>
      <c r="Z544" s="64" t="str">
        <f t="shared" si="104"/>
        <v/>
      </c>
      <c r="AA544" s="64" t="str">
        <f t="shared" si="97"/>
        <v>GASTOS POR AMORTIZACIONES_Del costo histórico de activos para la exploración evaluación y explotación de recursos minerales_Costo</v>
      </c>
      <c r="AC544" s="76" t="s">
        <v>903</v>
      </c>
      <c r="AD544" s="76" t="s">
        <v>561</v>
      </c>
      <c r="AE544" s="76" t="s">
        <v>789</v>
      </c>
      <c r="AF544" s="76" t="s">
        <v>896</v>
      </c>
      <c r="AG544" s="76" t="s">
        <v>901</v>
      </c>
      <c r="AH544" s="76" t="s">
        <v>444</v>
      </c>
      <c r="AI544" s="76" t="s">
        <v>444</v>
      </c>
      <c r="AJ544" s="76" t="s">
        <v>444</v>
      </c>
      <c r="AK544" s="76" t="s">
        <v>1396</v>
      </c>
      <c r="AL544" s="76"/>
      <c r="AM544" s="9" t="s">
        <v>904</v>
      </c>
      <c r="AN544" s="81" t="s">
        <v>561</v>
      </c>
      <c r="AO544" s="81" t="s">
        <v>789</v>
      </c>
      <c r="AP544" s="81" t="s">
        <v>896</v>
      </c>
      <c r="AQ544" s="81" t="s">
        <v>901</v>
      </c>
      <c r="AR544" s="81" t="s">
        <v>444</v>
      </c>
      <c r="AS544" s="81" t="s">
        <v>444</v>
      </c>
      <c r="AT544" s="81" t="s">
        <v>444</v>
      </c>
      <c r="AU544" s="81" t="s">
        <v>2082</v>
      </c>
      <c r="AV544" s="81" t="str">
        <f t="shared" si="98"/>
        <v>GND_GND_GASTOS POR AMORTIZACIONES_Del costo histórico de activos para la exploración evaluación y explotación de recursos minerales_Costo&amp;Gasto&amp;Gasto</v>
      </c>
    </row>
    <row r="545" spans="1:48">
      <c r="A545" s="53"/>
      <c r="B545" s="53"/>
      <c r="C545" s="53"/>
      <c r="D545" s="247" t="s">
        <v>872</v>
      </c>
      <c r="E545" s="247"/>
      <c r="F545" s="247"/>
      <c r="G545" s="247"/>
      <c r="H545" s="247"/>
      <c r="I545" s="247"/>
      <c r="J545" s="246" t="s">
        <v>144</v>
      </c>
      <c r="K545" s="246"/>
      <c r="L545" s="246" t="s">
        <v>11</v>
      </c>
      <c r="M545" s="246"/>
      <c r="N545" s="246" t="s">
        <v>791</v>
      </c>
      <c r="O545" s="246"/>
      <c r="S545" s="61" t="str">
        <f t="shared" si="107"/>
        <v>Costo</v>
      </c>
      <c r="T545" s="64" t="str">
        <f t="shared" si="100"/>
        <v>ESTADO DEL RESULTADO INTEGRAL</v>
      </c>
      <c r="U545" s="64" t="str">
        <f t="shared" si="101"/>
        <v>COSTOS Y GASTOS</v>
      </c>
      <c r="V545" s="64" t="str">
        <f t="shared" si="105"/>
        <v>GASTOS POR AMORTIZACIONES</v>
      </c>
      <c r="W545" s="64" t="str">
        <f t="shared" si="106"/>
        <v>DEL AJUSTE ACUMULADO POR REEXPRESIONES O REVALUACIONES</v>
      </c>
      <c r="X545" s="64" t="str">
        <f t="shared" si="102"/>
        <v/>
      </c>
      <c r="Y545" s="64" t="str">
        <f t="shared" si="103"/>
        <v/>
      </c>
      <c r="Z545" s="64" t="str">
        <f t="shared" si="104"/>
        <v/>
      </c>
      <c r="AA545" s="64" t="str">
        <f t="shared" si="97"/>
        <v>GASTOS POR AMORTIZACIONES_DEL AJUSTE ACUMULADO POR REEXPRESIONES O REVALUACIONES_Costo</v>
      </c>
      <c r="AC545" s="76" t="s">
        <v>144</v>
      </c>
      <c r="AD545" s="76" t="s">
        <v>561</v>
      </c>
      <c r="AE545" s="76" t="s">
        <v>789</v>
      </c>
      <c r="AF545" s="76" t="s">
        <v>896</v>
      </c>
      <c r="AG545" s="76" t="s">
        <v>872</v>
      </c>
      <c r="AH545" s="76" t="s">
        <v>444</v>
      </c>
      <c r="AI545" s="76" t="s">
        <v>444</v>
      </c>
      <c r="AJ545" s="76" t="s">
        <v>444</v>
      </c>
      <c r="AK545" s="76" t="s">
        <v>1397</v>
      </c>
      <c r="AL545" s="76"/>
      <c r="AM545" s="81"/>
      <c r="AN545" s="81" t="s">
        <v>561</v>
      </c>
      <c r="AO545" s="81" t="s">
        <v>789</v>
      </c>
      <c r="AP545" s="81" t="s">
        <v>896</v>
      </c>
      <c r="AQ545" s="81" t="s">
        <v>872</v>
      </c>
      <c r="AR545" s="81" t="s">
        <v>444</v>
      </c>
      <c r="AS545" s="81" t="s">
        <v>444</v>
      </c>
      <c r="AT545" s="81" t="s">
        <v>444</v>
      </c>
      <c r="AU545" s="81" t="s">
        <v>2083</v>
      </c>
      <c r="AV545" s="81" t="str">
        <f t="shared" si="98"/>
        <v>GND_GND_GASTOS POR AMORTIZACIONES_DEL AJUSTE ACUMULADO POR REEXPRESIONES O REVALUACIONES_Costo&amp;Gasto&amp;Gasto</v>
      </c>
    </row>
    <row r="546" spans="1:48">
      <c r="A546" s="53"/>
      <c r="B546" s="53"/>
      <c r="C546" s="53"/>
      <c r="D546" s="53"/>
      <c r="E546" s="242" t="s">
        <v>541</v>
      </c>
      <c r="F546" s="242"/>
      <c r="G546" s="242"/>
      <c r="H546" s="242"/>
      <c r="I546" s="242"/>
      <c r="J546" s="9" t="s">
        <v>905</v>
      </c>
      <c r="K546" s="55" t="e">
        <f>VLOOKUP(J546,Casilleros!$A$4:$Q$830,17,FALSE)</f>
        <v>#REF!</v>
      </c>
      <c r="L546" s="9" t="s">
        <v>906</v>
      </c>
      <c r="M546" s="55" t="e">
        <f>VLOOKUP(L546,Casilleros!$A$4:$Q$830,17,FALSE)</f>
        <v>#REF!</v>
      </c>
      <c r="N546" s="9" t="s">
        <v>907</v>
      </c>
      <c r="O546" s="55" t="e">
        <f>VLOOKUP(N546,Casilleros!$A$4:$Q$830,17,FALSE)</f>
        <v>#REF!</v>
      </c>
      <c r="S546" s="61" t="str">
        <f t="shared" si="107"/>
        <v>7100</v>
      </c>
      <c r="T546" s="64" t="str">
        <f t="shared" si="100"/>
        <v>ESTADO DEL RESULTADO INTEGRAL</v>
      </c>
      <c r="U546" s="64" t="str">
        <f t="shared" si="101"/>
        <v>COSTOS Y GASTOS</v>
      </c>
      <c r="V546" s="64" t="str">
        <f t="shared" si="105"/>
        <v>GASTOS POR AMORTIZACIONES</v>
      </c>
      <c r="W546" s="64" t="str">
        <f t="shared" si="106"/>
        <v>DEL AJUSTE ACUMULADO POR REEXPRESIONES O REVALUACIONES</v>
      </c>
      <c r="X546" s="64" t="str">
        <f t="shared" si="102"/>
        <v>Activos intangibles</v>
      </c>
      <c r="Y546" s="64" t="str">
        <f t="shared" si="103"/>
        <v/>
      </c>
      <c r="Z546" s="64" t="str">
        <f t="shared" si="104"/>
        <v/>
      </c>
      <c r="AA546" s="64" t="str">
        <f t="shared" si="97"/>
        <v>DEL AJUSTE ACUMULADO POR REEXPRESIONES O REVALUACIONES_Activos intangibles___Costo</v>
      </c>
      <c r="AC546" s="76" t="s">
        <v>906</v>
      </c>
      <c r="AD546" s="76" t="s">
        <v>561</v>
      </c>
      <c r="AE546" s="76" t="s">
        <v>789</v>
      </c>
      <c r="AF546" s="76" t="s">
        <v>896</v>
      </c>
      <c r="AG546" s="76" t="s">
        <v>872</v>
      </c>
      <c r="AH546" s="76" t="s">
        <v>541</v>
      </c>
      <c r="AI546" s="76" t="s">
        <v>444</v>
      </c>
      <c r="AJ546" s="76" t="s">
        <v>444</v>
      </c>
      <c r="AK546" s="76" t="s">
        <v>1398</v>
      </c>
      <c r="AL546" s="76"/>
      <c r="AM546" s="9" t="s">
        <v>907</v>
      </c>
      <c r="AN546" s="81" t="s">
        <v>561</v>
      </c>
      <c r="AO546" s="81" t="s">
        <v>789</v>
      </c>
      <c r="AP546" s="81" t="s">
        <v>896</v>
      </c>
      <c r="AQ546" s="81" t="s">
        <v>872</v>
      </c>
      <c r="AR546" s="81" t="s">
        <v>541</v>
      </c>
      <c r="AS546" s="81" t="s">
        <v>444</v>
      </c>
      <c r="AT546" s="81" t="s">
        <v>444</v>
      </c>
      <c r="AU546" s="81" t="s">
        <v>2084</v>
      </c>
      <c r="AV546" s="81" t="str">
        <f t="shared" si="98"/>
        <v>GND_GND_DEL AJUSTE ACUMULADO POR REEXPRESIONES O REVALUACIONES_Activos intangibles___Costo&amp;Gasto&amp;Gasto</v>
      </c>
    </row>
    <row r="547" spans="1:48">
      <c r="A547" s="53"/>
      <c r="B547" s="53"/>
      <c r="C547" s="53"/>
      <c r="D547" s="53"/>
      <c r="E547" s="242" t="s">
        <v>908</v>
      </c>
      <c r="F547" s="242"/>
      <c r="G547" s="242"/>
      <c r="H547" s="242"/>
      <c r="I547" s="242"/>
      <c r="J547" s="9" t="s">
        <v>909</v>
      </c>
      <c r="K547" s="55" t="e">
        <f>VLOOKUP(J547,Casilleros!$A$4:$Q$830,17,FALSE)</f>
        <v>#REF!</v>
      </c>
      <c r="L547" s="9" t="s">
        <v>910</v>
      </c>
      <c r="M547" s="55" t="e">
        <f>VLOOKUP(L547,Casilleros!$A$4:$Q$830,17,FALSE)</f>
        <v>#REF!</v>
      </c>
      <c r="N547" s="9" t="s">
        <v>911</v>
      </c>
      <c r="O547" s="55" t="e">
        <f>VLOOKUP(N547,Casilleros!$A$4:$Q$830,17,FALSE)</f>
        <v>#REF!</v>
      </c>
      <c r="S547" s="61" t="str">
        <f t="shared" si="107"/>
        <v>7103</v>
      </c>
      <c r="T547" s="64" t="str">
        <f t="shared" si="100"/>
        <v>ESTADO DEL RESULTADO INTEGRAL</v>
      </c>
      <c r="U547" s="64" t="str">
        <f t="shared" si="101"/>
        <v>COSTOS Y GASTOS</v>
      </c>
      <c r="V547" s="64" t="str">
        <f t="shared" si="105"/>
        <v>GASTOS POR AMORTIZACIONES</v>
      </c>
      <c r="W547" s="64" t="str">
        <f t="shared" si="106"/>
        <v>DEL AJUSTE ACUMULADO POR REEXPRESIONES O REVALUACIONES</v>
      </c>
      <c r="X547" s="64" t="str">
        <f t="shared" si="102"/>
        <v>Activos para la exploración. Evaluación y explotación de recursos minerales</v>
      </c>
      <c r="Y547" s="64" t="str">
        <f t="shared" si="103"/>
        <v/>
      </c>
      <c r="Z547" s="64" t="str">
        <f t="shared" si="104"/>
        <v/>
      </c>
      <c r="AA547" s="64" t="str">
        <f t="shared" si="97"/>
        <v>DEL AJUSTE ACUMULADO POR REEXPRESIONES O REVALUACIONES_Activos para la exploración. Evaluación y explotación de recursos minerales___Costo</v>
      </c>
      <c r="AC547" s="76" t="s">
        <v>910</v>
      </c>
      <c r="AD547" s="76" t="s">
        <v>561</v>
      </c>
      <c r="AE547" s="76" t="s">
        <v>789</v>
      </c>
      <c r="AF547" s="76" t="s">
        <v>896</v>
      </c>
      <c r="AG547" s="76" t="s">
        <v>872</v>
      </c>
      <c r="AH547" s="76" t="s">
        <v>908</v>
      </c>
      <c r="AI547" s="76" t="s">
        <v>444</v>
      </c>
      <c r="AJ547" s="76" t="s">
        <v>444</v>
      </c>
      <c r="AK547" s="76" t="s">
        <v>1399</v>
      </c>
      <c r="AL547" s="76"/>
      <c r="AM547" s="9" t="s">
        <v>911</v>
      </c>
      <c r="AN547" s="81" t="s">
        <v>561</v>
      </c>
      <c r="AO547" s="81" t="s">
        <v>789</v>
      </c>
      <c r="AP547" s="81" t="s">
        <v>896</v>
      </c>
      <c r="AQ547" s="81" t="s">
        <v>872</v>
      </c>
      <c r="AR547" s="81" t="s">
        <v>908</v>
      </c>
      <c r="AS547" s="81" t="s">
        <v>444</v>
      </c>
      <c r="AT547" s="81" t="s">
        <v>444</v>
      </c>
      <c r="AU547" s="81" t="s">
        <v>2085</v>
      </c>
      <c r="AV547" s="81" t="str">
        <f t="shared" si="98"/>
        <v>GND_GND_DEL AJUSTE ACUMULADO POR REEXPRESIONES O REVALUACIONES_Activos para la exploración. Evaluación y explotación de recursos minerales___Costo&amp;Gasto&amp;Gasto</v>
      </c>
    </row>
    <row r="548" spans="1:48">
      <c r="A548" s="53"/>
      <c r="B548" s="53"/>
      <c r="C548" s="53"/>
      <c r="D548" s="53"/>
      <c r="E548" s="242" t="s">
        <v>122</v>
      </c>
      <c r="F548" s="242"/>
      <c r="G548" s="242"/>
      <c r="H548" s="242"/>
      <c r="I548" s="242"/>
      <c r="J548" s="9" t="s">
        <v>912</v>
      </c>
      <c r="K548" s="55" t="e">
        <f>VLOOKUP(J548,Casilleros!$A$4:$Q$830,17,FALSE)</f>
        <v>#REF!</v>
      </c>
      <c r="L548" s="9" t="s">
        <v>913</v>
      </c>
      <c r="M548" s="55" t="e">
        <f>VLOOKUP(L548,Casilleros!$A$4:$Q$830,17,FALSE)</f>
        <v>#REF!</v>
      </c>
      <c r="N548" s="9" t="s">
        <v>914</v>
      </c>
      <c r="O548" s="55" t="e">
        <f>VLOOKUP(N548,Casilleros!$A$4:$Q$830,17,FALSE)</f>
        <v>#REF!</v>
      </c>
      <c r="S548" s="61" t="str">
        <f t="shared" si="107"/>
        <v>7106</v>
      </c>
      <c r="T548" s="64" t="str">
        <f t="shared" si="100"/>
        <v>ESTADO DEL RESULTADO INTEGRAL</v>
      </c>
      <c r="U548" s="64" t="str">
        <f t="shared" si="101"/>
        <v>COSTOS Y GASTOS</v>
      </c>
      <c r="V548" s="64" t="str">
        <f t="shared" si="105"/>
        <v>GASTOS POR AMORTIZACIONES</v>
      </c>
      <c r="W548" s="64" t="str">
        <f t="shared" si="106"/>
        <v>DEL AJUSTE ACUMULADO POR REEXPRESIONES O REVALUACIONES</v>
      </c>
      <c r="X548" s="64" t="str">
        <f t="shared" si="102"/>
        <v>Otros</v>
      </c>
      <c r="Y548" s="64" t="str">
        <f t="shared" si="103"/>
        <v/>
      </c>
      <c r="Z548" s="64" t="str">
        <f t="shared" si="104"/>
        <v/>
      </c>
      <c r="AA548" s="64" t="str">
        <f t="shared" si="97"/>
        <v>DEL AJUSTE ACUMULADO POR REEXPRESIONES O REVALUACIONES_Otros___Costo</v>
      </c>
      <c r="AC548" s="76" t="s">
        <v>913</v>
      </c>
      <c r="AD548" s="76" t="s">
        <v>561</v>
      </c>
      <c r="AE548" s="76" t="s">
        <v>789</v>
      </c>
      <c r="AF548" s="76" t="s">
        <v>896</v>
      </c>
      <c r="AG548" s="76" t="s">
        <v>872</v>
      </c>
      <c r="AH548" s="76" t="s">
        <v>122</v>
      </c>
      <c r="AI548" s="76" t="s">
        <v>444</v>
      </c>
      <c r="AJ548" s="76" t="s">
        <v>444</v>
      </c>
      <c r="AK548" s="76" t="s">
        <v>1391</v>
      </c>
      <c r="AL548" s="76"/>
      <c r="AM548" s="9" t="s">
        <v>914</v>
      </c>
      <c r="AN548" s="81" t="s">
        <v>561</v>
      </c>
      <c r="AO548" s="81" t="s">
        <v>789</v>
      </c>
      <c r="AP548" s="81" t="s">
        <v>896</v>
      </c>
      <c r="AQ548" s="81" t="s">
        <v>872</v>
      </c>
      <c r="AR548" s="81" t="s">
        <v>122</v>
      </c>
      <c r="AS548" s="81" t="s">
        <v>444</v>
      </c>
      <c r="AT548" s="81" t="s">
        <v>444</v>
      </c>
      <c r="AU548" s="81" t="s">
        <v>2077</v>
      </c>
      <c r="AV548" s="81" t="str">
        <f t="shared" si="98"/>
        <v>GND_GND_DEL AJUSTE ACUMULADO POR REEXPRESIONES O REVALUACIONES_Otros___Costo&amp;Gasto&amp;Gasto</v>
      </c>
    </row>
    <row r="549" spans="1:48">
      <c r="A549" s="53"/>
      <c r="B549" s="53"/>
      <c r="C549" s="53"/>
      <c r="D549" s="242" t="s">
        <v>915</v>
      </c>
      <c r="E549" s="242"/>
      <c r="F549" s="242"/>
      <c r="G549" s="242"/>
      <c r="H549" s="242"/>
      <c r="I549" s="242"/>
      <c r="J549" s="9" t="s">
        <v>916</v>
      </c>
      <c r="K549" s="55" t="e">
        <f>VLOOKUP(J549,Casilleros!$A$4:$Q$830,17,FALSE)</f>
        <v>#REF!</v>
      </c>
      <c r="L549" s="9" t="s">
        <v>917</v>
      </c>
      <c r="M549" s="55" t="e">
        <f>VLOOKUP(L549,Casilleros!$A$4:$Q$830,17,FALSE)</f>
        <v>#REF!</v>
      </c>
      <c r="N549" s="9" t="s">
        <v>918</v>
      </c>
      <c r="O549" s="55" t="e">
        <f>VLOOKUP(N549,Casilleros!$A$4:$Q$830,17,FALSE)</f>
        <v>#REF!</v>
      </c>
      <c r="S549" s="61" t="str">
        <f t="shared" si="107"/>
        <v>7109</v>
      </c>
      <c r="T549" s="64" t="str">
        <f t="shared" si="100"/>
        <v>ESTADO DEL RESULTADO INTEGRAL</v>
      </c>
      <c r="U549" s="64" t="str">
        <f t="shared" si="101"/>
        <v>COSTOS Y GASTOS</v>
      </c>
      <c r="V549" s="64" t="str">
        <f t="shared" si="105"/>
        <v>GASTOS POR AMORTIZACIONES</v>
      </c>
      <c r="W549" s="64" t="str">
        <f t="shared" si="106"/>
        <v>Otras amortizaciones</v>
      </c>
      <c r="X549" s="64" t="str">
        <f t="shared" si="102"/>
        <v/>
      </c>
      <c r="Y549" s="64" t="str">
        <f t="shared" si="103"/>
        <v/>
      </c>
      <c r="Z549" s="64" t="str">
        <f t="shared" si="104"/>
        <v/>
      </c>
      <c r="AA549" s="64" t="str">
        <f t="shared" si="97"/>
        <v>GASTOS POR AMORTIZACIONES_Otras amortizaciones_Costo</v>
      </c>
      <c r="AC549" s="76" t="s">
        <v>917</v>
      </c>
      <c r="AD549" s="76" t="s">
        <v>561</v>
      </c>
      <c r="AE549" s="76" t="s">
        <v>789</v>
      </c>
      <c r="AF549" s="76" t="s">
        <v>896</v>
      </c>
      <c r="AG549" s="76" t="s">
        <v>915</v>
      </c>
      <c r="AH549" s="76" t="s">
        <v>444</v>
      </c>
      <c r="AI549" s="76" t="s">
        <v>444</v>
      </c>
      <c r="AJ549" s="76" t="s">
        <v>444</v>
      </c>
      <c r="AK549" s="76" t="s">
        <v>1400</v>
      </c>
      <c r="AL549" s="76"/>
      <c r="AM549" s="9" t="s">
        <v>918</v>
      </c>
      <c r="AN549" s="81" t="s">
        <v>561</v>
      </c>
      <c r="AO549" s="81" t="s">
        <v>789</v>
      </c>
      <c r="AP549" s="81" t="s">
        <v>896</v>
      </c>
      <c r="AQ549" s="81" t="s">
        <v>915</v>
      </c>
      <c r="AR549" s="81" t="s">
        <v>444</v>
      </c>
      <c r="AS549" s="81" t="s">
        <v>444</v>
      </c>
      <c r="AT549" s="81" t="s">
        <v>444</v>
      </c>
      <c r="AU549" s="81" t="s">
        <v>2086</v>
      </c>
      <c r="AV549" s="81" t="str">
        <f t="shared" si="98"/>
        <v>GND_GND_GASTOS POR AMORTIZACIONES_Otras amortizaciones_Costo&amp;Gasto&amp;Gasto</v>
      </c>
    </row>
    <row r="550" spans="1:48">
      <c r="A550" s="53"/>
      <c r="B550" s="53"/>
      <c r="C550" s="236" t="s">
        <v>919</v>
      </c>
      <c r="D550" s="236"/>
      <c r="E550" s="236"/>
      <c r="F550" s="236"/>
      <c r="G550" s="236"/>
      <c r="H550" s="236"/>
      <c r="I550" s="236"/>
      <c r="J550" s="246" t="s">
        <v>144</v>
      </c>
      <c r="K550" s="246"/>
      <c r="L550" s="246" t="s">
        <v>11</v>
      </c>
      <c r="M550" s="246"/>
      <c r="N550" s="246" t="s">
        <v>791</v>
      </c>
      <c r="O550" s="246"/>
      <c r="S550" s="61" t="str">
        <f t="shared" si="107"/>
        <v>Costo</v>
      </c>
      <c r="T550" s="64" t="str">
        <f t="shared" si="100"/>
        <v>ESTADO DEL RESULTADO INTEGRAL</v>
      </c>
      <c r="U550" s="64" t="str">
        <f t="shared" si="101"/>
        <v>COSTOS Y GASTOS</v>
      </c>
      <c r="V550" s="64" t="str">
        <f t="shared" si="105"/>
        <v>PÉRDIDAS NETAS POR DETERIORO EN EL VALOR</v>
      </c>
      <c r="W550" s="64" t="str">
        <f t="shared" si="106"/>
        <v/>
      </c>
      <c r="X550" s="64" t="str">
        <f t="shared" si="102"/>
        <v/>
      </c>
      <c r="Y550" s="64" t="str">
        <f t="shared" si="103"/>
        <v/>
      </c>
      <c r="Z550" s="64" t="str">
        <f t="shared" si="104"/>
        <v/>
      </c>
      <c r="AA550" s="64" t="str">
        <f t="shared" si="97"/>
        <v>PÉRDIDAS NETAS POR DETERIORO EN EL VALOR__Costo</v>
      </c>
      <c r="AC550" s="76" t="s">
        <v>144</v>
      </c>
      <c r="AD550" s="76" t="s">
        <v>561</v>
      </c>
      <c r="AE550" s="76" t="s">
        <v>789</v>
      </c>
      <c r="AF550" s="76" t="s">
        <v>919</v>
      </c>
      <c r="AG550" s="76" t="s">
        <v>444</v>
      </c>
      <c r="AH550" s="76" t="s">
        <v>444</v>
      </c>
      <c r="AI550" s="76" t="s">
        <v>444</v>
      </c>
      <c r="AJ550" s="76" t="s">
        <v>444</v>
      </c>
      <c r="AK550" s="76" t="s">
        <v>1401</v>
      </c>
      <c r="AL550" s="76"/>
      <c r="AM550" s="81"/>
      <c r="AN550" s="81" t="s">
        <v>561</v>
      </c>
      <c r="AO550" s="81" t="s">
        <v>789</v>
      </c>
      <c r="AP550" s="81" t="s">
        <v>919</v>
      </c>
      <c r="AQ550" s="81" t="s">
        <v>444</v>
      </c>
      <c r="AR550" s="81" t="s">
        <v>444</v>
      </c>
      <c r="AS550" s="81" t="s">
        <v>444</v>
      </c>
      <c r="AT550" s="81" t="s">
        <v>444</v>
      </c>
      <c r="AU550" s="81" t="s">
        <v>2087</v>
      </c>
      <c r="AV550" s="81" t="str">
        <f t="shared" si="98"/>
        <v>GND_GND_PÉRDIDAS NETAS POR DETERIORO EN EL VALOR__Costo&amp;Gasto&amp;Gasto</v>
      </c>
    </row>
    <row r="551" spans="1:48">
      <c r="A551" s="53"/>
      <c r="B551" s="53"/>
      <c r="C551" s="53"/>
      <c r="D551" s="242" t="s">
        <v>920</v>
      </c>
      <c r="E551" s="242"/>
      <c r="F551" s="242"/>
      <c r="G551" s="242"/>
      <c r="H551" s="242"/>
      <c r="I551" s="242"/>
      <c r="J551" s="254" t="s">
        <v>741</v>
      </c>
      <c r="K551" s="254"/>
      <c r="L551" s="9" t="s">
        <v>921</v>
      </c>
      <c r="M551" s="74" t="e">
        <f>VLOOKUP(L551,Casilleros!$A$4:$Q$830,17,FALSE)</f>
        <v>#REF!</v>
      </c>
      <c r="N551" s="9" t="s">
        <v>922</v>
      </c>
      <c r="O551" s="55" t="e">
        <f>VLOOKUP(N551,Casilleros!$A$4:$Q$830,17,FALSE)</f>
        <v>#REF!</v>
      </c>
      <c r="S551" s="61" t="str">
        <f t="shared" si="107"/>
        <v>.</v>
      </c>
      <c r="T551" s="64" t="str">
        <f t="shared" si="100"/>
        <v>ESTADO DEL RESULTADO INTEGRAL</v>
      </c>
      <c r="U551" s="64" t="str">
        <f t="shared" si="101"/>
        <v>COSTOS Y GASTOS</v>
      </c>
      <c r="V551" s="64" t="str">
        <f t="shared" si="105"/>
        <v>PÉRDIDAS NETAS POR DETERIORO EN EL VALOR</v>
      </c>
      <c r="W551" s="64" t="str">
        <f t="shared" si="106"/>
        <v>De activos financieros (de provisiones para créditos incobrables)</v>
      </c>
      <c r="X551" s="64" t="str">
        <f t="shared" si="102"/>
        <v/>
      </c>
      <c r="Y551" s="64" t="str">
        <f t="shared" si="103"/>
        <v/>
      </c>
      <c r="Z551" s="64" t="str">
        <f t="shared" si="104"/>
        <v/>
      </c>
      <c r="AA551" s="64" t="str">
        <f t="shared" si="97"/>
        <v>PÉRDIDAS NETAS POR DETERIORO EN EL VALOR_De activos financieros (de provisiones para créditos incobrables)_Costo</v>
      </c>
      <c r="AC551" s="76" t="s">
        <v>921</v>
      </c>
      <c r="AD551" s="76" t="s">
        <v>561</v>
      </c>
      <c r="AE551" s="76" t="s">
        <v>789</v>
      </c>
      <c r="AF551" s="76" t="s">
        <v>919</v>
      </c>
      <c r="AG551" s="76" t="s">
        <v>920</v>
      </c>
      <c r="AH551" s="76" t="s">
        <v>444</v>
      </c>
      <c r="AI551" s="76" t="s">
        <v>444</v>
      </c>
      <c r="AJ551" s="76" t="s">
        <v>444</v>
      </c>
      <c r="AK551" s="76" t="s">
        <v>1402</v>
      </c>
      <c r="AL551" s="76"/>
      <c r="AM551" s="9" t="s">
        <v>922</v>
      </c>
      <c r="AN551" s="81" t="s">
        <v>561</v>
      </c>
      <c r="AO551" s="81" t="s">
        <v>789</v>
      </c>
      <c r="AP551" s="81" t="s">
        <v>919</v>
      </c>
      <c r="AQ551" s="81" t="s">
        <v>920</v>
      </c>
      <c r="AR551" s="81" t="s">
        <v>444</v>
      </c>
      <c r="AS551" s="81" t="s">
        <v>444</v>
      </c>
      <c r="AT551" s="81" t="s">
        <v>444</v>
      </c>
      <c r="AU551" s="81" t="s">
        <v>2088</v>
      </c>
      <c r="AV551" s="81" t="str">
        <f t="shared" si="98"/>
        <v>GND_GND_PÉRDIDAS NETAS POR DETERIORO EN EL VALOR_De activos financieros (de provisiones para créditos incobrables)_Costo&amp;Gasto&amp;Gasto</v>
      </c>
    </row>
    <row r="552" spans="1:48">
      <c r="A552" s="53"/>
      <c r="B552" s="53"/>
      <c r="C552" s="53"/>
      <c r="D552" s="242" t="s">
        <v>633</v>
      </c>
      <c r="E552" s="242"/>
      <c r="F552" s="242"/>
      <c r="G552" s="242"/>
      <c r="H552" s="242"/>
      <c r="I552" s="242"/>
      <c r="J552" s="9" t="s">
        <v>923</v>
      </c>
      <c r="K552" s="55" t="e">
        <f>VLOOKUP(J552,Casilleros!$A$4:$Q$830,17,FALSE)</f>
        <v>#REF!</v>
      </c>
      <c r="L552" s="9" t="s">
        <v>924</v>
      </c>
      <c r="M552" s="55" t="e">
        <f>VLOOKUP(L552,Casilleros!$A$4:$Q$830,17,FALSE)</f>
        <v>#REF!</v>
      </c>
      <c r="N552" s="9" t="s">
        <v>925</v>
      </c>
      <c r="O552" s="55" t="e">
        <f>VLOOKUP(N552,Casilleros!$A$4:$Q$830,17,FALSE)</f>
        <v>#REF!</v>
      </c>
      <c r="S552" s="61" t="str">
        <f t="shared" si="107"/>
        <v>7115</v>
      </c>
      <c r="T552" s="64" t="str">
        <f t="shared" si="100"/>
        <v>ESTADO DEL RESULTADO INTEGRAL</v>
      </c>
      <c r="U552" s="64" t="str">
        <f t="shared" si="101"/>
        <v>COSTOS Y GASTOS</v>
      </c>
      <c r="V552" s="64" t="str">
        <f t="shared" si="105"/>
        <v>PÉRDIDAS NETAS POR DETERIORO EN EL VALOR</v>
      </c>
      <c r="W552" s="64" t="str">
        <f t="shared" si="106"/>
        <v>De inventarios</v>
      </c>
      <c r="X552" s="64" t="str">
        <f t="shared" si="102"/>
        <v/>
      </c>
      <c r="Y552" s="64" t="str">
        <f t="shared" si="103"/>
        <v/>
      </c>
      <c r="Z552" s="64" t="str">
        <f t="shared" si="104"/>
        <v/>
      </c>
      <c r="AA552" s="64" t="str">
        <f t="shared" si="97"/>
        <v>PÉRDIDAS NETAS POR DETERIORO EN EL VALOR_De inventarios_Costo</v>
      </c>
      <c r="AC552" s="76" t="s">
        <v>924</v>
      </c>
      <c r="AD552" s="76" t="s">
        <v>561</v>
      </c>
      <c r="AE552" s="76" t="s">
        <v>789</v>
      </c>
      <c r="AF552" s="76" t="s">
        <v>919</v>
      </c>
      <c r="AG552" s="76" t="s">
        <v>633</v>
      </c>
      <c r="AH552" s="76" t="s">
        <v>444</v>
      </c>
      <c r="AI552" s="76" t="s">
        <v>444</v>
      </c>
      <c r="AJ552" s="76" t="s">
        <v>444</v>
      </c>
      <c r="AK552" s="76" t="s">
        <v>1403</v>
      </c>
      <c r="AL552" s="76"/>
      <c r="AM552" s="9" t="s">
        <v>925</v>
      </c>
      <c r="AN552" s="81" t="s">
        <v>561</v>
      </c>
      <c r="AO552" s="81" t="s">
        <v>789</v>
      </c>
      <c r="AP552" s="81" t="s">
        <v>919</v>
      </c>
      <c r="AQ552" s="81" t="s">
        <v>633</v>
      </c>
      <c r="AR552" s="81" t="s">
        <v>444</v>
      </c>
      <c r="AS552" s="81" t="s">
        <v>444</v>
      </c>
      <c r="AT552" s="81" t="s">
        <v>444</v>
      </c>
      <c r="AU552" s="81" t="s">
        <v>2089</v>
      </c>
      <c r="AV552" s="81" t="str">
        <f t="shared" si="98"/>
        <v>GND_GND_PÉRDIDAS NETAS POR DETERIORO EN EL VALOR_De inventarios_Costo&amp;Gasto&amp;Gasto</v>
      </c>
    </row>
    <row r="553" spans="1:48">
      <c r="A553" s="53"/>
      <c r="B553" s="53"/>
      <c r="C553" s="53"/>
      <c r="D553" s="242" t="s">
        <v>636</v>
      </c>
      <c r="E553" s="242"/>
      <c r="F553" s="242"/>
      <c r="G553" s="242"/>
      <c r="H553" s="242"/>
      <c r="I553" s="242"/>
      <c r="J553" s="254" t="s">
        <v>741</v>
      </c>
      <c r="K553" s="254"/>
      <c r="L553" s="9" t="s">
        <v>926</v>
      </c>
      <c r="M553" s="55" t="e">
        <f>VLOOKUP(L553,Casilleros!$A$4:$Q$830,17,FALSE)</f>
        <v>#REF!</v>
      </c>
      <c r="N553" s="9" t="s">
        <v>927</v>
      </c>
      <c r="O553" s="55" t="e">
        <f>VLOOKUP(N553,Casilleros!$A$4:$Q$830,17,FALSE)</f>
        <v>#REF!</v>
      </c>
      <c r="S553" s="61" t="str">
        <f t="shared" si="107"/>
        <v>.</v>
      </c>
      <c r="T553" s="64" t="str">
        <f t="shared" si="100"/>
        <v>ESTADO DEL RESULTADO INTEGRAL</v>
      </c>
      <c r="U553" s="64" t="str">
        <f t="shared" si="101"/>
        <v>COSTOS Y GASTOS</v>
      </c>
      <c r="V553" s="64" t="str">
        <f t="shared" si="105"/>
        <v>PÉRDIDAS NETAS POR DETERIORO EN EL VALOR</v>
      </c>
      <c r="W553" s="64" t="str">
        <f t="shared" si="106"/>
        <v>De activos no corrientes mantenidos para la venta</v>
      </c>
      <c r="X553" s="64" t="str">
        <f t="shared" si="102"/>
        <v/>
      </c>
      <c r="Y553" s="64" t="str">
        <f t="shared" si="103"/>
        <v/>
      </c>
      <c r="Z553" s="64" t="str">
        <f t="shared" si="104"/>
        <v/>
      </c>
      <c r="AA553" s="64" t="str">
        <f t="shared" si="97"/>
        <v>PÉRDIDAS NETAS POR DETERIORO EN EL VALOR_De activos no corrientes mantenidos para la venta_Costo</v>
      </c>
      <c r="AC553" s="76" t="s">
        <v>926</v>
      </c>
      <c r="AD553" s="76" t="s">
        <v>561</v>
      </c>
      <c r="AE553" s="76" t="s">
        <v>789</v>
      </c>
      <c r="AF553" s="76" t="s">
        <v>919</v>
      </c>
      <c r="AG553" s="76" t="s">
        <v>636</v>
      </c>
      <c r="AH553" s="76" t="s">
        <v>444</v>
      </c>
      <c r="AI553" s="76" t="s">
        <v>444</v>
      </c>
      <c r="AJ553" s="76" t="s">
        <v>444</v>
      </c>
      <c r="AK553" s="76" t="s">
        <v>1404</v>
      </c>
      <c r="AL553" s="76"/>
      <c r="AM553" s="9" t="s">
        <v>927</v>
      </c>
      <c r="AN553" s="81" t="s">
        <v>561</v>
      </c>
      <c r="AO553" s="81" t="s">
        <v>789</v>
      </c>
      <c r="AP553" s="81" t="s">
        <v>919</v>
      </c>
      <c r="AQ553" s="81" t="s">
        <v>636</v>
      </c>
      <c r="AR553" s="81" t="s">
        <v>444</v>
      </c>
      <c r="AS553" s="81" t="s">
        <v>444</v>
      </c>
      <c r="AT553" s="81" t="s">
        <v>444</v>
      </c>
      <c r="AU553" s="81" t="s">
        <v>2090</v>
      </c>
      <c r="AV553" s="81" t="str">
        <f t="shared" si="98"/>
        <v>GND_GND_PÉRDIDAS NETAS POR DETERIORO EN EL VALOR_De activos no corrientes mantenidos para la venta_Costo&amp;Gasto&amp;Gasto</v>
      </c>
    </row>
    <row r="554" spans="1:48">
      <c r="A554" s="53"/>
      <c r="B554" s="53"/>
      <c r="C554" s="53"/>
      <c r="D554" s="242" t="s">
        <v>639</v>
      </c>
      <c r="E554" s="242"/>
      <c r="F554" s="242"/>
      <c r="G554" s="242"/>
      <c r="H554" s="242"/>
      <c r="I554" s="242"/>
      <c r="J554" s="254" t="s">
        <v>741</v>
      </c>
      <c r="K554" s="254"/>
      <c r="L554" s="9" t="s">
        <v>928</v>
      </c>
      <c r="M554" s="55" t="e">
        <f>VLOOKUP(L554,Casilleros!$A$4:$Q$830,17,FALSE)</f>
        <v>#REF!</v>
      </c>
      <c r="N554" s="9" t="s">
        <v>929</v>
      </c>
      <c r="O554" s="55" t="e">
        <f>VLOOKUP(N554,Casilleros!$A$4:$Q$830,17,FALSE)</f>
        <v>#REF!</v>
      </c>
      <c r="S554" s="61" t="str">
        <f t="shared" si="107"/>
        <v>.</v>
      </c>
      <c r="T554" s="64" t="str">
        <f t="shared" si="100"/>
        <v>ESTADO DEL RESULTADO INTEGRAL</v>
      </c>
      <c r="U554" s="64" t="str">
        <f t="shared" si="101"/>
        <v>COSTOS Y GASTOS</v>
      </c>
      <c r="V554" s="64" t="str">
        <f t="shared" si="105"/>
        <v>PÉRDIDAS NETAS POR DETERIORO EN EL VALOR</v>
      </c>
      <c r="W554" s="64" t="str">
        <f t="shared" si="106"/>
        <v>De activos biológicos</v>
      </c>
      <c r="X554" s="64" t="str">
        <f t="shared" si="102"/>
        <v/>
      </c>
      <c r="Y554" s="64" t="str">
        <f t="shared" si="103"/>
        <v/>
      </c>
      <c r="Z554" s="64" t="str">
        <f t="shared" si="104"/>
        <v/>
      </c>
      <c r="AA554" s="64" t="str">
        <f t="shared" si="97"/>
        <v>PÉRDIDAS NETAS POR DETERIORO EN EL VALOR_De activos biológicos_Costo</v>
      </c>
      <c r="AC554" s="76" t="s">
        <v>928</v>
      </c>
      <c r="AD554" s="76" t="s">
        <v>561</v>
      </c>
      <c r="AE554" s="76" t="s">
        <v>789</v>
      </c>
      <c r="AF554" s="76" t="s">
        <v>919</v>
      </c>
      <c r="AG554" s="76" t="s">
        <v>639</v>
      </c>
      <c r="AH554" s="76" t="s">
        <v>444</v>
      </c>
      <c r="AI554" s="76" t="s">
        <v>444</v>
      </c>
      <c r="AJ554" s="76" t="s">
        <v>444</v>
      </c>
      <c r="AK554" s="76" t="s">
        <v>1405</v>
      </c>
      <c r="AL554" s="76"/>
      <c r="AM554" s="9" t="s">
        <v>929</v>
      </c>
      <c r="AN554" s="81" t="s">
        <v>561</v>
      </c>
      <c r="AO554" s="81" t="s">
        <v>789</v>
      </c>
      <c r="AP554" s="81" t="s">
        <v>919</v>
      </c>
      <c r="AQ554" s="81" t="s">
        <v>639</v>
      </c>
      <c r="AR554" s="81" t="s">
        <v>444</v>
      </c>
      <c r="AS554" s="81" t="s">
        <v>444</v>
      </c>
      <c r="AT554" s="81" t="s">
        <v>444</v>
      </c>
      <c r="AU554" s="81" t="s">
        <v>2091</v>
      </c>
      <c r="AV554" s="81" t="str">
        <f t="shared" si="98"/>
        <v>GND_GND_PÉRDIDAS NETAS POR DETERIORO EN EL VALOR_De activos biológicos_Costo&amp;Gasto&amp;Gasto</v>
      </c>
    </row>
    <row r="555" spans="1:48">
      <c r="A555" s="53"/>
      <c r="B555" s="53"/>
      <c r="C555" s="53"/>
      <c r="D555" s="242" t="s">
        <v>642</v>
      </c>
      <c r="E555" s="242"/>
      <c r="F555" s="242"/>
      <c r="G555" s="242"/>
      <c r="H555" s="242"/>
      <c r="I555" s="242"/>
      <c r="J555" s="9" t="s">
        <v>930</v>
      </c>
      <c r="K555" s="55" t="e">
        <f>VLOOKUP(J555,Casilleros!$A$4:$Q$830,17,FALSE)</f>
        <v>#REF!</v>
      </c>
      <c r="L555" s="9" t="s">
        <v>931</v>
      </c>
      <c r="M555" s="55" t="e">
        <f>VLOOKUP(L555,Casilleros!$A$4:$Q$830,17,FALSE)</f>
        <v>#REF!</v>
      </c>
      <c r="N555" s="9" t="s">
        <v>932</v>
      </c>
      <c r="O555" s="55" t="e">
        <f>VLOOKUP(N555,Casilleros!$A$4:$Q$830,17,FALSE)</f>
        <v>#REF!</v>
      </c>
      <c r="S555" s="61" t="str">
        <f t="shared" si="107"/>
        <v>7124</v>
      </c>
      <c r="T555" s="64" t="str">
        <f t="shared" si="100"/>
        <v>ESTADO DEL RESULTADO INTEGRAL</v>
      </c>
      <c r="U555" s="64" t="str">
        <f t="shared" si="101"/>
        <v>COSTOS Y GASTOS</v>
      </c>
      <c r="V555" s="64" t="str">
        <f t="shared" si="105"/>
        <v>PÉRDIDAS NETAS POR DETERIORO EN EL VALOR</v>
      </c>
      <c r="W555" s="64" t="str">
        <f t="shared" si="106"/>
        <v>De propiedades, planta y equipo</v>
      </c>
      <c r="X555" s="64" t="str">
        <f t="shared" si="102"/>
        <v/>
      </c>
      <c r="Y555" s="64" t="str">
        <f t="shared" si="103"/>
        <v/>
      </c>
      <c r="Z555" s="64" t="str">
        <f t="shared" si="104"/>
        <v/>
      </c>
      <c r="AA555" s="64" t="str">
        <f t="shared" si="97"/>
        <v>PÉRDIDAS NETAS POR DETERIORO EN EL VALOR_De propiedades, planta y equipo_Costo</v>
      </c>
      <c r="AC555" s="76" t="s">
        <v>931</v>
      </c>
      <c r="AD555" s="76" t="s">
        <v>561</v>
      </c>
      <c r="AE555" s="76" t="s">
        <v>789</v>
      </c>
      <c r="AF555" s="76" t="s">
        <v>919</v>
      </c>
      <c r="AG555" s="76" t="s">
        <v>642</v>
      </c>
      <c r="AH555" s="76" t="s">
        <v>444</v>
      </c>
      <c r="AI555" s="76" t="s">
        <v>444</v>
      </c>
      <c r="AJ555" s="76" t="s">
        <v>444</v>
      </c>
      <c r="AK555" s="76" t="s">
        <v>1406</v>
      </c>
      <c r="AL555" s="76"/>
      <c r="AM555" s="9" t="s">
        <v>932</v>
      </c>
      <c r="AN555" s="81" t="s">
        <v>561</v>
      </c>
      <c r="AO555" s="81" t="s">
        <v>789</v>
      </c>
      <c r="AP555" s="81" t="s">
        <v>919</v>
      </c>
      <c r="AQ555" s="81" t="s">
        <v>642</v>
      </c>
      <c r="AR555" s="81" t="s">
        <v>444</v>
      </c>
      <c r="AS555" s="81" t="s">
        <v>444</v>
      </c>
      <c r="AT555" s="81" t="s">
        <v>444</v>
      </c>
      <c r="AU555" s="81" t="s">
        <v>2092</v>
      </c>
      <c r="AV555" s="81" t="str">
        <f t="shared" si="98"/>
        <v>GND_GND_PÉRDIDAS NETAS POR DETERIORO EN EL VALOR_De propiedades, planta y equipo_Costo&amp;Gasto&amp;Gasto</v>
      </c>
    </row>
    <row r="556" spans="1:48">
      <c r="A556" s="53"/>
      <c r="B556" s="53"/>
      <c r="C556" s="53"/>
      <c r="D556" s="242" t="s">
        <v>645</v>
      </c>
      <c r="E556" s="242"/>
      <c r="F556" s="242"/>
      <c r="G556" s="242"/>
      <c r="H556" s="242"/>
      <c r="I556" s="242"/>
      <c r="J556" s="9" t="s">
        <v>933</v>
      </c>
      <c r="K556" s="55" t="e">
        <f>VLOOKUP(J556,Casilleros!$A$4:$Q$830,17,FALSE)</f>
        <v>#REF!</v>
      </c>
      <c r="L556" s="9" t="s">
        <v>934</v>
      </c>
      <c r="M556" s="55" t="e">
        <f>VLOOKUP(L556,Casilleros!$A$4:$Q$830,17,FALSE)</f>
        <v>#REF!</v>
      </c>
      <c r="N556" s="9" t="s">
        <v>935</v>
      </c>
      <c r="O556" s="55" t="e">
        <f>VLOOKUP(N556,Casilleros!$A$4:$Q$830,17,FALSE)</f>
        <v>#REF!</v>
      </c>
      <c r="S556" s="61" t="str">
        <f t="shared" si="107"/>
        <v>7127</v>
      </c>
      <c r="T556" s="64" t="str">
        <f t="shared" si="100"/>
        <v>ESTADO DEL RESULTADO INTEGRAL</v>
      </c>
      <c r="U556" s="64" t="str">
        <f t="shared" si="101"/>
        <v>COSTOS Y GASTOS</v>
      </c>
      <c r="V556" s="64" t="str">
        <f t="shared" si="105"/>
        <v>PÉRDIDAS NETAS POR DETERIORO EN EL VALOR</v>
      </c>
      <c r="W556" s="64" t="str">
        <f t="shared" si="106"/>
        <v>De activos intangibles</v>
      </c>
      <c r="X556" s="64" t="str">
        <f t="shared" si="102"/>
        <v/>
      </c>
      <c r="Y556" s="64" t="str">
        <f t="shared" si="103"/>
        <v/>
      </c>
      <c r="Z556" s="64" t="str">
        <f t="shared" si="104"/>
        <v/>
      </c>
      <c r="AA556" s="64" t="str">
        <f t="shared" si="97"/>
        <v>PÉRDIDAS NETAS POR DETERIORO EN EL VALOR_De activos intangibles_Costo</v>
      </c>
      <c r="AC556" s="76" t="s">
        <v>934</v>
      </c>
      <c r="AD556" s="76" t="s">
        <v>561</v>
      </c>
      <c r="AE556" s="76" t="s">
        <v>789</v>
      </c>
      <c r="AF556" s="76" t="s">
        <v>919</v>
      </c>
      <c r="AG556" s="76" t="s">
        <v>645</v>
      </c>
      <c r="AH556" s="76" t="s">
        <v>444</v>
      </c>
      <c r="AI556" s="76" t="s">
        <v>444</v>
      </c>
      <c r="AJ556" s="76" t="s">
        <v>444</v>
      </c>
      <c r="AK556" s="76" t="s">
        <v>1407</v>
      </c>
      <c r="AL556" s="76"/>
      <c r="AM556" s="9" t="s">
        <v>935</v>
      </c>
      <c r="AN556" s="81" t="s">
        <v>561</v>
      </c>
      <c r="AO556" s="81" t="s">
        <v>789</v>
      </c>
      <c r="AP556" s="81" t="s">
        <v>919</v>
      </c>
      <c r="AQ556" s="81" t="s">
        <v>645</v>
      </c>
      <c r="AR556" s="81" t="s">
        <v>444</v>
      </c>
      <c r="AS556" s="81" t="s">
        <v>444</v>
      </c>
      <c r="AT556" s="81" t="s">
        <v>444</v>
      </c>
      <c r="AU556" s="81" t="s">
        <v>2093</v>
      </c>
      <c r="AV556" s="81" t="str">
        <f t="shared" si="98"/>
        <v>GND_GND_PÉRDIDAS NETAS POR DETERIORO EN EL VALOR_De activos intangibles_Costo&amp;Gasto&amp;Gasto</v>
      </c>
    </row>
    <row r="557" spans="1:48">
      <c r="A557" s="53"/>
      <c r="B557" s="53"/>
      <c r="C557" s="53"/>
      <c r="D557" s="242" t="s">
        <v>648</v>
      </c>
      <c r="E557" s="242"/>
      <c r="F557" s="242"/>
      <c r="G557" s="242"/>
      <c r="H557" s="242"/>
      <c r="I557" s="242"/>
      <c r="J557" s="254" t="s">
        <v>741</v>
      </c>
      <c r="K557" s="254"/>
      <c r="L557" s="9" t="s">
        <v>936</v>
      </c>
      <c r="M557" s="55" t="e">
        <f>VLOOKUP(L557,Casilleros!$A$4:$Q$830,17,FALSE)</f>
        <v>#REF!</v>
      </c>
      <c r="N557" s="9" t="s">
        <v>937</v>
      </c>
      <c r="O557" s="55" t="e">
        <f>VLOOKUP(N557,Casilleros!$A$4:$Q$830,17,FALSE)</f>
        <v>#REF!</v>
      </c>
      <c r="S557" s="61" t="str">
        <f t="shared" si="107"/>
        <v>.</v>
      </c>
      <c r="T557" s="64" t="str">
        <f t="shared" si="100"/>
        <v>ESTADO DEL RESULTADO INTEGRAL</v>
      </c>
      <c r="U557" s="64" t="str">
        <f t="shared" si="101"/>
        <v>COSTOS Y GASTOS</v>
      </c>
      <c r="V557" s="64" t="str">
        <f t="shared" si="105"/>
        <v>PÉRDIDAS NETAS POR DETERIORO EN EL VALOR</v>
      </c>
      <c r="W557" s="64" t="str">
        <f t="shared" si="106"/>
        <v>De propiedades de inversión</v>
      </c>
      <c r="X557" s="64" t="str">
        <f t="shared" si="102"/>
        <v/>
      </c>
      <c r="Y557" s="64" t="str">
        <f t="shared" si="103"/>
        <v/>
      </c>
      <c r="Z557" s="64" t="str">
        <f t="shared" si="104"/>
        <v/>
      </c>
      <c r="AA557" s="64" t="str">
        <f t="shared" si="97"/>
        <v>PÉRDIDAS NETAS POR DETERIORO EN EL VALOR_De propiedades de inversión_Costo</v>
      </c>
      <c r="AC557" s="76" t="s">
        <v>936</v>
      </c>
      <c r="AD557" s="76" t="s">
        <v>561</v>
      </c>
      <c r="AE557" s="76" t="s">
        <v>789</v>
      </c>
      <c r="AF557" s="76" t="s">
        <v>919</v>
      </c>
      <c r="AG557" s="76" t="s">
        <v>648</v>
      </c>
      <c r="AH557" s="76" t="s">
        <v>444</v>
      </c>
      <c r="AI557" s="76" t="s">
        <v>444</v>
      </c>
      <c r="AJ557" s="76" t="s">
        <v>444</v>
      </c>
      <c r="AK557" s="76" t="s">
        <v>1408</v>
      </c>
      <c r="AL557" s="76"/>
      <c r="AM557" s="9" t="s">
        <v>937</v>
      </c>
      <c r="AN557" s="81" t="s">
        <v>561</v>
      </c>
      <c r="AO557" s="81" t="s">
        <v>789</v>
      </c>
      <c r="AP557" s="81" t="s">
        <v>919</v>
      </c>
      <c r="AQ557" s="81" t="s">
        <v>648</v>
      </c>
      <c r="AR557" s="81" t="s">
        <v>444</v>
      </c>
      <c r="AS557" s="81" t="s">
        <v>444</v>
      </c>
      <c r="AT557" s="81" t="s">
        <v>444</v>
      </c>
      <c r="AU557" s="81" t="s">
        <v>2094</v>
      </c>
      <c r="AV557" s="81" t="str">
        <f t="shared" si="98"/>
        <v>GND_GND_PÉRDIDAS NETAS POR DETERIORO EN EL VALOR_De propiedades de inversión_Costo&amp;Gasto&amp;Gasto</v>
      </c>
    </row>
    <row r="558" spans="1:48">
      <c r="A558" s="53"/>
      <c r="B558" s="53"/>
      <c r="C558" s="53"/>
      <c r="D558" s="242" t="s">
        <v>651</v>
      </c>
      <c r="E558" s="242"/>
      <c r="F558" s="242"/>
      <c r="G558" s="242"/>
      <c r="H558" s="242"/>
      <c r="I558" s="242"/>
      <c r="J558" s="254" t="s">
        <v>741</v>
      </c>
      <c r="K558" s="254"/>
      <c r="L558" s="9" t="s">
        <v>938</v>
      </c>
      <c r="M558" s="55" t="e">
        <f>VLOOKUP(L558,Casilleros!$A$4:$Q$830,17,FALSE)</f>
        <v>#REF!</v>
      </c>
      <c r="N558" s="9" t="s">
        <v>939</v>
      </c>
      <c r="O558" s="55" t="e">
        <f>VLOOKUP(N558,Casilleros!$A$4:$Q$830,17,FALSE)</f>
        <v>#REF!</v>
      </c>
      <c r="S558" s="61" t="str">
        <f t="shared" si="107"/>
        <v>.</v>
      </c>
      <c r="T558" s="64" t="str">
        <f t="shared" si="100"/>
        <v>ESTADO DEL RESULTADO INTEGRAL</v>
      </c>
      <c r="U558" s="64" t="str">
        <f t="shared" si="101"/>
        <v>COSTOS Y GASTOS</v>
      </c>
      <c r="V558" s="64" t="str">
        <f t="shared" si="105"/>
        <v>PÉRDIDAS NETAS POR DETERIORO EN EL VALOR</v>
      </c>
      <c r="W558" s="64" t="str">
        <f t="shared" si="106"/>
        <v>De activos de exploración, evaluación y explotación de recursos minerales</v>
      </c>
      <c r="X558" s="64" t="str">
        <f t="shared" si="102"/>
        <v/>
      </c>
      <c r="Y558" s="64" t="str">
        <f t="shared" si="103"/>
        <v/>
      </c>
      <c r="Z558" s="64" t="str">
        <f t="shared" si="104"/>
        <v/>
      </c>
      <c r="AA558" s="64" t="str">
        <f t="shared" si="97"/>
        <v>PÉRDIDAS NETAS POR DETERIORO EN EL VALOR_De activos de exploración, evaluación y explotación de recursos minerales_Costo</v>
      </c>
      <c r="AC558" s="76" t="s">
        <v>938</v>
      </c>
      <c r="AD558" s="76" t="s">
        <v>561</v>
      </c>
      <c r="AE558" s="76" t="s">
        <v>789</v>
      </c>
      <c r="AF558" s="76" t="s">
        <v>919</v>
      </c>
      <c r="AG558" s="76" t="s">
        <v>651</v>
      </c>
      <c r="AH558" s="76" t="s">
        <v>444</v>
      </c>
      <c r="AI558" s="76" t="s">
        <v>444</v>
      </c>
      <c r="AJ558" s="76" t="s">
        <v>444</v>
      </c>
      <c r="AK558" s="76" t="s">
        <v>1409</v>
      </c>
      <c r="AL558" s="76"/>
      <c r="AM558" s="9" t="s">
        <v>939</v>
      </c>
      <c r="AN558" s="81" t="s">
        <v>561</v>
      </c>
      <c r="AO558" s="81" t="s">
        <v>789</v>
      </c>
      <c r="AP558" s="81" t="s">
        <v>919</v>
      </c>
      <c r="AQ558" s="81" t="s">
        <v>651</v>
      </c>
      <c r="AR558" s="81" t="s">
        <v>444</v>
      </c>
      <c r="AS558" s="81" t="s">
        <v>444</v>
      </c>
      <c r="AT558" s="81" t="s">
        <v>444</v>
      </c>
      <c r="AU558" s="81" t="s">
        <v>2095</v>
      </c>
      <c r="AV558" s="81" t="str">
        <f t="shared" si="98"/>
        <v>GND_GND_PÉRDIDAS NETAS POR DETERIORO EN EL VALOR_De activos de exploración, evaluación y explotación de recursos minerales_Costo&amp;Gasto&amp;Gasto</v>
      </c>
    </row>
    <row r="559" spans="1:48">
      <c r="A559" s="53"/>
      <c r="B559" s="53"/>
      <c r="C559" s="53"/>
      <c r="D559" s="242" t="s">
        <v>654</v>
      </c>
      <c r="E559" s="242"/>
      <c r="F559" s="242"/>
      <c r="G559" s="242"/>
      <c r="H559" s="242"/>
      <c r="I559" s="242"/>
      <c r="J559" s="254" t="s">
        <v>741</v>
      </c>
      <c r="K559" s="254"/>
      <c r="L559" s="9" t="s">
        <v>940</v>
      </c>
      <c r="M559" s="55" t="e">
        <f>VLOOKUP(L559,Casilleros!$A$4:$Q$830,17,FALSE)</f>
        <v>#REF!</v>
      </c>
      <c r="N559" s="9" t="s">
        <v>941</v>
      </c>
      <c r="O559" s="55" t="e">
        <f>VLOOKUP(N559,Casilleros!$A$4:$Q$830,17,FALSE)</f>
        <v>#REF!</v>
      </c>
      <c r="S559" s="61" t="str">
        <f t="shared" si="107"/>
        <v>.</v>
      </c>
      <c r="T559" s="64" t="str">
        <f t="shared" si="100"/>
        <v>ESTADO DEL RESULTADO INTEGRAL</v>
      </c>
      <c r="U559" s="64" t="str">
        <f t="shared" si="101"/>
        <v>COSTOS Y GASTOS</v>
      </c>
      <c r="V559" s="64" t="str">
        <f t="shared" si="105"/>
        <v>PÉRDIDAS NETAS POR DETERIORO EN EL VALOR</v>
      </c>
      <c r="W559" s="64" t="str">
        <f t="shared" si="106"/>
        <v>De inversiones no corrientes</v>
      </c>
      <c r="X559" s="64" t="str">
        <f t="shared" si="102"/>
        <v/>
      </c>
      <c r="Y559" s="64" t="str">
        <f t="shared" si="103"/>
        <v/>
      </c>
      <c r="Z559" s="64" t="str">
        <f t="shared" si="104"/>
        <v/>
      </c>
      <c r="AA559" s="64" t="str">
        <f t="shared" si="97"/>
        <v>PÉRDIDAS NETAS POR DETERIORO EN EL VALOR_De inversiones no corrientes_Costo</v>
      </c>
      <c r="AC559" s="76" t="s">
        <v>940</v>
      </c>
      <c r="AD559" s="76" t="s">
        <v>561</v>
      </c>
      <c r="AE559" s="76" t="s">
        <v>789</v>
      </c>
      <c r="AF559" s="76" t="s">
        <v>919</v>
      </c>
      <c r="AG559" s="76" t="s">
        <v>654</v>
      </c>
      <c r="AH559" s="76" t="s">
        <v>444</v>
      </c>
      <c r="AI559" s="76" t="s">
        <v>444</v>
      </c>
      <c r="AJ559" s="76" t="s">
        <v>444</v>
      </c>
      <c r="AK559" s="76" t="s">
        <v>1410</v>
      </c>
      <c r="AL559" s="76"/>
      <c r="AM559" s="9" t="s">
        <v>941</v>
      </c>
      <c r="AN559" s="81" t="s">
        <v>561</v>
      </c>
      <c r="AO559" s="81" t="s">
        <v>789</v>
      </c>
      <c r="AP559" s="81" t="s">
        <v>919</v>
      </c>
      <c r="AQ559" s="81" t="s">
        <v>654</v>
      </c>
      <c r="AR559" s="81" t="s">
        <v>444</v>
      </c>
      <c r="AS559" s="81" t="s">
        <v>444</v>
      </c>
      <c r="AT559" s="81" t="s">
        <v>444</v>
      </c>
      <c r="AU559" s="81" t="s">
        <v>2096</v>
      </c>
      <c r="AV559" s="81" t="str">
        <f t="shared" si="98"/>
        <v>GND_GND_PÉRDIDAS NETAS POR DETERIORO EN EL VALOR_De inversiones no corrientes_Costo&amp;Gasto&amp;Gasto</v>
      </c>
    </row>
    <row r="560" spans="1:48">
      <c r="A560" s="53"/>
      <c r="B560" s="53"/>
      <c r="C560" s="53"/>
      <c r="D560" s="242" t="s">
        <v>425</v>
      </c>
      <c r="E560" s="242"/>
      <c r="F560" s="242"/>
      <c r="G560" s="242"/>
      <c r="H560" s="242"/>
      <c r="I560" s="242"/>
      <c r="J560" s="9" t="s">
        <v>942</v>
      </c>
      <c r="K560" s="55" t="e">
        <f>VLOOKUP(J560,Casilleros!$A$4:$Q$830,17,FALSE)</f>
        <v>#REF!</v>
      </c>
      <c r="L560" s="9" t="s">
        <v>943</v>
      </c>
      <c r="M560" s="55" t="e">
        <f>VLOOKUP(L560,Casilleros!$A$4:$Q$830,17,FALSE)</f>
        <v>#REF!</v>
      </c>
      <c r="N560" s="9" t="s">
        <v>944</v>
      </c>
      <c r="O560" s="55" t="e">
        <f>VLOOKUP(N560,Casilleros!$A$4:$Q$830,17,FALSE)</f>
        <v>#REF!</v>
      </c>
      <c r="S560" s="61" t="str">
        <f t="shared" si="107"/>
        <v>7139</v>
      </c>
      <c r="T560" s="64" t="str">
        <f t="shared" si="100"/>
        <v>ESTADO DEL RESULTADO INTEGRAL</v>
      </c>
      <c r="U560" s="64" t="str">
        <f t="shared" si="101"/>
        <v>COSTOS Y GASTOS</v>
      </c>
      <c r="V560" s="64" t="str">
        <f t="shared" si="105"/>
        <v>PÉRDIDAS NETAS POR DETERIORO EN EL VALOR</v>
      </c>
      <c r="W560" s="64" t="str">
        <f t="shared" si="106"/>
        <v>Otras</v>
      </c>
      <c r="X560" s="64" t="str">
        <f t="shared" si="102"/>
        <v/>
      </c>
      <c r="Y560" s="64" t="str">
        <f t="shared" si="103"/>
        <v/>
      </c>
      <c r="Z560" s="64" t="str">
        <f t="shared" si="104"/>
        <v/>
      </c>
      <c r="AA560" s="64" t="str">
        <f t="shared" si="97"/>
        <v>PÉRDIDAS NETAS POR DETERIORO EN EL VALOR_Otras_Costo</v>
      </c>
      <c r="AC560" s="76" t="s">
        <v>943</v>
      </c>
      <c r="AD560" s="76" t="s">
        <v>561</v>
      </c>
      <c r="AE560" s="76" t="s">
        <v>789</v>
      </c>
      <c r="AF560" s="76" t="s">
        <v>919</v>
      </c>
      <c r="AG560" s="76" t="s">
        <v>425</v>
      </c>
      <c r="AH560" s="76" t="s">
        <v>444</v>
      </c>
      <c r="AI560" s="76" t="s">
        <v>444</v>
      </c>
      <c r="AJ560" s="76" t="s">
        <v>444</v>
      </c>
      <c r="AK560" s="76" t="s">
        <v>1411</v>
      </c>
      <c r="AL560" s="76"/>
      <c r="AM560" s="9" t="s">
        <v>944</v>
      </c>
      <c r="AN560" s="81" t="s">
        <v>561</v>
      </c>
      <c r="AO560" s="81" t="s">
        <v>789</v>
      </c>
      <c r="AP560" s="81" t="s">
        <v>919</v>
      </c>
      <c r="AQ560" s="81" t="s">
        <v>425</v>
      </c>
      <c r="AR560" s="81" t="s">
        <v>444</v>
      </c>
      <c r="AS560" s="81" t="s">
        <v>444</v>
      </c>
      <c r="AT560" s="81" t="s">
        <v>444</v>
      </c>
      <c r="AU560" s="81" t="s">
        <v>2097</v>
      </c>
      <c r="AV560" s="81" t="str">
        <f t="shared" si="98"/>
        <v>GND_GND_PÉRDIDAS NETAS POR DETERIORO EN EL VALOR_Otras_Costo&amp;Gasto&amp;Gasto</v>
      </c>
    </row>
    <row r="561" spans="1:48">
      <c r="A561" s="53"/>
      <c r="B561" s="53"/>
      <c r="C561" s="236" t="s">
        <v>945</v>
      </c>
      <c r="D561" s="236"/>
      <c r="E561" s="236"/>
      <c r="F561" s="236"/>
      <c r="G561" s="236"/>
      <c r="H561" s="236"/>
      <c r="I561" s="236"/>
      <c r="J561" s="246" t="s">
        <v>144</v>
      </c>
      <c r="K561" s="246"/>
      <c r="L561" s="246" t="s">
        <v>11</v>
      </c>
      <c r="M561" s="246"/>
      <c r="N561" s="246" t="s">
        <v>791</v>
      </c>
      <c r="O561" s="246"/>
      <c r="S561" s="61" t="str">
        <f t="shared" si="107"/>
        <v>Costo</v>
      </c>
      <c r="T561" s="64" t="str">
        <f t="shared" si="100"/>
        <v>ESTADO DEL RESULTADO INTEGRAL</v>
      </c>
      <c r="U561" s="64" t="str">
        <f t="shared" si="101"/>
        <v>COSTOS Y GASTOS</v>
      </c>
      <c r="V561" s="64" t="str">
        <f t="shared" si="105"/>
        <v>GASTOS DE PROVISIONES</v>
      </c>
      <c r="W561" s="64" t="str">
        <f t="shared" si="106"/>
        <v/>
      </c>
      <c r="X561" s="64" t="str">
        <f t="shared" si="102"/>
        <v/>
      </c>
      <c r="Y561" s="64" t="str">
        <f t="shared" si="103"/>
        <v/>
      </c>
      <c r="Z561" s="64" t="str">
        <f t="shared" si="104"/>
        <v/>
      </c>
      <c r="AA561" s="64" t="str">
        <f t="shared" si="97"/>
        <v>GASTOS DE PROVISIONES__Costo</v>
      </c>
      <c r="AC561" s="76" t="s">
        <v>144</v>
      </c>
      <c r="AD561" s="76" t="s">
        <v>561</v>
      </c>
      <c r="AE561" s="76" t="s">
        <v>789</v>
      </c>
      <c r="AF561" s="76" t="s">
        <v>945</v>
      </c>
      <c r="AG561" s="76" t="s">
        <v>444</v>
      </c>
      <c r="AH561" s="76" t="s">
        <v>444</v>
      </c>
      <c r="AI561" s="76" t="s">
        <v>444</v>
      </c>
      <c r="AJ561" s="76" t="s">
        <v>444</v>
      </c>
      <c r="AK561" s="76" t="s">
        <v>1412</v>
      </c>
      <c r="AL561" s="76"/>
      <c r="AM561" s="81"/>
      <c r="AN561" s="81" t="s">
        <v>561</v>
      </c>
      <c r="AO561" s="81" t="s">
        <v>789</v>
      </c>
      <c r="AP561" s="81" t="s">
        <v>945</v>
      </c>
      <c r="AQ561" s="81" t="s">
        <v>444</v>
      </c>
      <c r="AR561" s="81" t="s">
        <v>444</v>
      </c>
      <c r="AS561" s="81" t="s">
        <v>444</v>
      </c>
      <c r="AT561" s="81" t="s">
        <v>444</v>
      </c>
      <c r="AU561" s="81" t="s">
        <v>2098</v>
      </c>
      <c r="AV561" s="81" t="str">
        <f t="shared" si="98"/>
        <v>GND_GND_GASTOS DE PROVISIONES__Costo&amp;Gasto&amp;Gasto</v>
      </c>
    </row>
    <row r="562" spans="1:48">
      <c r="A562" s="53"/>
      <c r="B562" s="53"/>
      <c r="C562" s="53"/>
      <c r="D562" s="242" t="s">
        <v>411</v>
      </c>
      <c r="E562" s="242"/>
      <c r="F562" s="242"/>
      <c r="G562" s="242"/>
      <c r="H562" s="242"/>
      <c r="I562" s="242"/>
      <c r="J562" s="9" t="s">
        <v>946</v>
      </c>
      <c r="K562" s="55" t="e">
        <f>VLOOKUP(J562,Casilleros!$A$4:$Q$830,17,FALSE)</f>
        <v>#REF!</v>
      </c>
      <c r="L562" s="9" t="s">
        <v>947</v>
      </c>
      <c r="M562" s="55" t="e">
        <f>VLOOKUP(L562,Casilleros!$A$4:$Q$830,17,FALSE)</f>
        <v>#REF!</v>
      </c>
      <c r="N562" s="9" t="s">
        <v>948</v>
      </c>
      <c r="O562" s="55" t="e">
        <f>VLOOKUP(N562,Casilleros!$A$4:$Q$830,17,FALSE)</f>
        <v>#REF!</v>
      </c>
      <c r="S562" s="61" t="str">
        <f t="shared" si="107"/>
        <v>7142</v>
      </c>
      <c r="T562" s="64" t="str">
        <f t="shared" si="100"/>
        <v>ESTADO DEL RESULTADO INTEGRAL</v>
      </c>
      <c r="U562" s="64" t="str">
        <f t="shared" si="101"/>
        <v>COSTOS Y GASTOS</v>
      </c>
      <c r="V562" s="64" t="str">
        <f t="shared" si="105"/>
        <v>GASTOS DE PROVISIONES</v>
      </c>
      <c r="W562" s="64" t="str">
        <f t="shared" si="106"/>
        <v>Por garantías</v>
      </c>
      <c r="X562" s="64" t="str">
        <f t="shared" si="102"/>
        <v/>
      </c>
      <c r="Y562" s="64" t="str">
        <f t="shared" si="103"/>
        <v/>
      </c>
      <c r="Z562" s="64" t="str">
        <f t="shared" si="104"/>
        <v/>
      </c>
      <c r="AA562" s="64" t="str">
        <f t="shared" si="97"/>
        <v>GASTOS DE PROVISIONES_Por garantías_Costo</v>
      </c>
      <c r="AC562" s="76" t="s">
        <v>947</v>
      </c>
      <c r="AD562" s="76" t="s">
        <v>561</v>
      </c>
      <c r="AE562" s="76" t="s">
        <v>789</v>
      </c>
      <c r="AF562" s="76" t="s">
        <v>945</v>
      </c>
      <c r="AG562" s="76" t="s">
        <v>411</v>
      </c>
      <c r="AH562" s="76" t="s">
        <v>444</v>
      </c>
      <c r="AI562" s="76" t="s">
        <v>444</v>
      </c>
      <c r="AJ562" s="76" t="s">
        <v>444</v>
      </c>
      <c r="AK562" s="76" t="s">
        <v>1413</v>
      </c>
      <c r="AL562" s="76"/>
      <c r="AM562" s="9" t="s">
        <v>948</v>
      </c>
      <c r="AN562" s="81" t="s">
        <v>561</v>
      </c>
      <c r="AO562" s="81" t="s">
        <v>789</v>
      </c>
      <c r="AP562" s="81" t="s">
        <v>945</v>
      </c>
      <c r="AQ562" s="81" t="s">
        <v>411</v>
      </c>
      <c r="AR562" s="81" t="s">
        <v>444</v>
      </c>
      <c r="AS562" s="81" t="s">
        <v>444</v>
      </c>
      <c r="AT562" s="81" t="s">
        <v>444</v>
      </c>
      <c r="AU562" s="81" t="s">
        <v>2099</v>
      </c>
      <c r="AV562" s="81" t="str">
        <f t="shared" si="98"/>
        <v>GND_GND_GASTOS DE PROVISIONES_Por garantías_Costo&amp;Gasto&amp;Gasto</v>
      </c>
    </row>
    <row r="563" spans="1:48">
      <c r="A563" s="53"/>
      <c r="B563" s="53"/>
      <c r="C563" s="53"/>
      <c r="D563" s="242" t="s">
        <v>662</v>
      </c>
      <c r="E563" s="242"/>
      <c r="F563" s="242"/>
      <c r="G563" s="242"/>
      <c r="H563" s="242"/>
      <c r="I563" s="242"/>
      <c r="J563" s="9" t="s">
        <v>949</v>
      </c>
      <c r="K563" s="55" t="e">
        <f>VLOOKUP(J563,Casilleros!$A$4:$Q$830,17,FALSE)</f>
        <v>#REF!</v>
      </c>
      <c r="L563" s="9" t="s">
        <v>950</v>
      </c>
      <c r="M563" s="55" t="e">
        <f>VLOOKUP(L563,Casilleros!$A$4:$Q$830,17,FALSE)</f>
        <v>#REF!</v>
      </c>
      <c r="N563" s="9" t="s">
        <v>951</v>
      </c>
      <c r="O563" s="55" t="e">
        <f>VLOOKUP(N563,Casilleros!$A$4:$Q$830,17,FALSE)</f>
        <v>#REF!</v>
      </c>
      <c r="S563" s="61" t="str">
        <f t="shared" si="107"/>
        <v>7145</v>
      </c>
      <c r="T563" s="64" t="str">
        <f t="shared" si="100"/>
        <v>ESTADO DEL RESULTADO INTEGRAL</v>
      </c>
      <c r="U563" s="64" t="str">
        <f t="shared" si="101"/>
        <v>COSTOS Y GASTOS</v>
      </c>
      <c r="V563" s="64" t="str">
        <f t="shared" si="105"/>
        <v>GASTOS DE PROVISIONES</v>
      </c>
      <c r="W563" s="64" t="str">
        <f t="shared" si="106"/>
        <v>Por desmantelamientos</v>
      </c>
      <c r="X563" s="64" t="str">
        <f t="shared" si="102"/>
        <v/>
      </c>
      <c r="Y563" s="64" t="str">
        <f t="shared" si="103"/>
        <v/>
      </c>
      <c r="Z563" s="64" t="str">
        <f t="shared" si="104"/>
        <v/>
      </c>
      <c r="AA563" s="64" t="str">
        <f t="shared" si="97"/>
        <v>GASTOS DE PROVISIONES_Por desmantelamientos_Costo</v>
      </c>
      <c r="AC563" s="76" t="s">
        <v>950</v>
      </c>
      <c r="AD563" s="76" t="s">
        <v>561</v>
      </c>
      <c r="AE563" s="76" t="s">
        <v>789</v>
      </c>
      <c r="AF563" s="76" t="s">
        <v>945</v>
      </c>
      <c r="AG563" s="76" t="s">
        <v>662</v>
      </c>
      <c r="AH563" s="76" t="s">
        <v>444</v>
      </c>
      <c r="AI563" s="76" t="s">
        <v>444</v>
      </c>
      <c r="AJ563" s="76" t="s">
        <v>444</v>
      </c>
      <c r="AK563" s="76" t="s">
        <v>1414</v>
      </c>
      <c r="AL563" s="76"/>
      <c r="AM563" s="9" t="s">
        <v>951</v>
      </c>
      <c r="AN563" s="81" t="s">
        <v>561</v>
      </c>
      <c r="AO563" s="81" t="s">
        <v>789</v>
      </c>
      <c r="AP563" s="81" t="s">
        <v>945</v>
      </c>
      <c r="AQ563" s="81" t="s">
        <v>662</v>
      </c>
      <c r="AR563" s="81" t="s">
        <v>444</v>
      </c>
      <c r="AS563" s="81" t="s">
        <v>444</v>
      </c>
      <c r="AT563" s="81" t="s">
        <v>444</v>
      </c>
      <c r="AU563" s="81" t="s">
        <v>2100</v>
      </c>
      <c r="AV563" s="81" t="str">
        <f t="shared" si="98"/>
        <v>GND_GND_GASTOS DE PROVISIONES_Por desmantelamientos_Costo&amp;Gasto&amp;Gasto</v>
      </c>
    </row>
    <row r="564" spans="1:48">
      <c r="A564" s="53"/>
      <c r="B564" s="53"/>
      <c r="C564" s="53"/>
      <c r="D564" s="242" t="s">
        <v>415</v>
      </c>
      <c r="E564" s="242"/>
      <c r="F564" s="242"/>
      <c r="G564" s="242"/>
      <c r="H564" s="242"/>
      <c r="I564" s="242"/>
      <c r="J564" s="254" t="s">
        <v>741</v>
      </c>
      <c r="K564" s="254"/>
      <c r="L564" s="9" t="s">
        <v>952</v>
      </c>
      <c r="M564" s="55" t="e">
        <f>VLOOKUP(L564,Casilleros!$A$4:$Q$830,17,FALSE)</f>
        <v>#REF!</v>
      </c>
      <c r="N564" s="9" t="s">
        <v>953</v>
      </c>
      <c r="O564" s="55" t="e">
        <f>VLOOKUP(N564,Casilleros!$A$4:$Q$830,17,FALSE)</f>
        <v>#REF!</v>
      </c>
      <c r="S564" s="61" t="str">
        <f t="shared" si="107"/>
        <v>.</v>
      </c>
      <c r="T564" s="64" t="str">
        <f t="shared" si="100"/>
        <v>ESTADO DEL RESULTADO INTEGRAL</v>
      </c>
      <c r="U564" s="64" t="str">
        <f t="shared" si="101"/>
        <v>COSTOS Y GASTOS</v>
      </c>
      <c r="V564" s="64" t="str">
        <f t="shared" si="105"/>
        <v>GASTOS DE PROVISIONES</v>
      </c>
      <c r="W564" s="64" t="str">
        <f t="shared" si="106"/>
        <v>Por contratos onerosos</v>
      </c>
      <c r="X564" s="64" t="str">
        <f t="shared" si="102"/>
        <v/>
      </c>
      <c r="Y564" s="64" t="str">
        <f t="shared" si="103"/>
        <v/>
      </c>
      <c r="Z564" s="64" t="str">
        <f t="shared" si="104"/>
        <v/>
      </c>
      <c r="AA564" s="64" t="str">
        <f t="shared" si="97"/>
        <v>GASTOS DE PROVISIONES_Por contratos onerosos_Costo</v>
      </c>
      <c r="AC564" s="76" t="s">
        <v>952</v>
      </c>
      <c r="AD564" s="76" t="s">
        <v>561</v>
      </c>
      <c r="AE564" s="76" t="s">
        <v>789</v>
      </c>
      <c r="AF564" s="76" t="s">
        <v>945</v>
      </c>
      <c r="AG564" s="76" t="s">
        <v>415</v>
      </c>
      <c r="AH564" s="76" t="s">
        <v>444</v>
      </c>
      <c r="AI564" s="76" t="s">
        <v>444</v>
      </c>
      <c r="AJ564" s="76" t="s">
        <v>444</v>
      </c>
      <c r="AK564" s="76" t="s">
        <v>1415</v>
      </c>
      <c r="AL564" s="76"/>
      <c r="AM564" s="9" t="s">
        <v>953</v>
      </c>
      <c r="AN564" s="81" t="s">
        <v>561</v>
      </c>
      <c r="AO564" s="81" t="s">
        <v>789</v>
      </c>
      <c r="AP564" s="81" t="s">
        <v>945</v>
      </c>
      <c r="AQ564" s="81" t="s">
        <v>415</v>
      </c>
      <c r="AR564" s="81" t="s">
        <v>444</v>
      </c>
      <c r="AS564" s="81" t="s">
        <v>444</v>
      </c>
      <c r="AT564" s="81" t="s">
        <v>444</v>
      </c>
      <c r="AU564" s="81" t="s">
        <v>2101</v>
      </c>
      <c r="AV564" s="81" t="str">
        <f t="shared" si="98"/>
        <v>GND_GND_GASTOS DE PROVISIONES_Por contratos onerosos_Costo&amp;Gasto&amp;Gasto</v>
      </c>
    </row>
    <row r="565" spans="1:48">
      <c r="A565" s="53"/>
      <c r="B565" s="53"/>
      <c r="C565" s="53"/>
      <c r="D565" s="242" t="s">
        <v>417</v>
      </c>
      <c r="E565" s="242"/>
      <c r="F565" s="242"/>
      <c r="G565" s="242"/>
      <c r="H565" s="242"/>
      <c r="I565" s="242"/>
      <c r="J565" s="254" t="s">
        <v>741</v>
      </c>
      <c r="K565" s="254"/>
      <c r="L565" s="9" t="s">
        <v>954</v>
      </c>
      <c r="M565" s="55" t="e">
        <f>VLOOKUP(L565,Casilleros!$A$4:$Q$830,17,FALSE)</f>
        <v>#REF!</v>
      </c>
      <c r="N565" s="9" t="s">
        <v>955</v>
      </c>
      <c r="O565" s="55" t="e">
        <f>VLOOKUP(N565,Casilleros!$A$4:$Q$830,17,FALSE)</f>
        <v>#REF!</v>
      </c>
      <c r="S565" s="61" t="str">
        <f t="shared" si="107"/>
        <v>.</v>
      </c>
      <c r="T565" s="64" t="str">
        <f t="shared" si="100"/>
        <v>ESTADO DEL RESULTADO INTEGRAL</v>
      </c>
      <c r="U565" s="64" t="str">
        <f t="shared" si="101"/>
        <v>COSTOS Y GASTOS</v>
      </c>
      <c r="V565" s="64" t="str">
        <f t="shared" si="105"/>
        <v>GASTOS DE PROVISIONES</v>
      </c>
      <c r="W565" s="64" t="str">
        <f t="shared" si="106"/>
        <v>Por reestructuraciones de negocios</v>
      </c>
      <c r="X565" s="64" t="str">
        <f t="shared" si="102"/>
        <v/>
      </c>
      <c r="Y565" s="64" t="str">
        <f t="shared" si="103"/>
        <v/>
      </c>
      <c r="Z565" s="64" t="str">
        <f t="shared" si="104"/>
        <v/>
      </c>
      <c r="AA565" s="64" t="str">
        <f t="shared" si="97"/>
        <v>GASTOS DE PROVISIONES_Por reestructuraciones de negocios_Costo</v>
      </c>
      <c r="AC565" s="76" t="s">
        <v>954</v>
      </c>
      <c r="AD565" s="76" t="s">
        <v>561</v>
      </c>
      <c r="AE565" s="76" t="s">
        <v>789</v>
      </c>
      <c r="AF565" s="76" t="s">
        <v>945</v>
      </c>
      <c r="AG565" s="76" t="s">
        <v>417</v>
      </c>
      <c r="AH565" s="76" t="s">
        <v>444</v>
      </c>
      <c r="AI565" s="76" t="s">
        <v>444</v>
      </c>
      <c r="AJ565" s="76" t="s">
        <v>444</v>
      </c>
      <c r="AK565" s="76" t="s">
        <v>1416</v>
      </c>
      <c r="AL565" s="76"/>
      <c r="AM565" s="9" t="s">
        <v>955</v>
      </c>
      <c r="AN565" s="81" t="s">
        <v>561</v>
      </c>
      <c r="AO565" s="81" t="s">
        <v>789</v>
      </c>
      <c r="AP565" s="81" t="s">
        <v>945</v>
      </c>
      <c r="AQ565" s="81" t="s">
        <v>417</v>
      </c>
      <c r="AR565" s="81" t="s">
        <v>444</v>
      </c>
      <c r="AS565" s="81" t="s">
        <v>444</v>
      </c>
      <c r="AT565" s="81" t="s">
        <v>444</v>
      </c>
      <c r="AU565" s="81" t="s">
        <v>2102</v>
      </c>
      <c r="AV565" s="81" t="str">
        <f t="shared" si="98"/>
        <v>GND_GND_GASTOS DE PROVISIONES_Por reestructuraciones de negocios_Costo&amp;Gasto&amp;Gasto</v>
      </c>
    </row>
    <row r="566" spans="1:48">
      <c r="A566" s="53"/>
      <c r="B566" s="53"/>
      <c r="C566" s="53"/>
      <c r="D566" s="242" t="s">
        <v>419</v>
      </c>
      <c r="E566" s="242"/>
      <c r="F566" s="242"/>
      <c r="G566" s="242"/>
      <c r="H566" s="242"/>
      <c r="I566" s="242"/>
      <c r="J566" s="254" t="s">
        <v>741</v>
      </c>
      <c r="K566" s="254"/>
      <c r="L566" s="9" t="s">
        <v>956</v>
      </c>
      <c r="M566" s="55" t="e">
        <f>VLOOKUP(L566,Casilleros!$A$4:$Q$830,17,FALSE)</f>
        <v>#REF!</v>
      </c>
      <c r="N566" s="9" t="s">
        <v>957</v>
      </c>
      <c r="O566" s="55" t="e">
        <f>VLOOKUP(N566,Casilleros!$A$4:$Q$830,17,FALSE)</f>
        <v>#REF!</v>
      </c>
      <c r="S566" s="61" t="str">
        <f t="shared" si="107"/>
        <v>.</v>
      </c>
      <c r="T566" s="64" t="str">
        <f t="shared" si="100"/>
        <v>ESTADO DEL RESULTADO INTEGRAL</v>
      </c>
      <c r="U566" s="64" t="str">
        <f t="shared" si="101"/>
        <v>COSTOS Y GASTOS</v>
      </c>
      <c r="V566" s="64" t="str">
        <f t="shared" si="105"/>
        <v>GASTOS DE PROVISIONES</v>
      </c>
      <c r="W566" s="64" t="str">
        <f t="shared" si="106"/>
        <v>Por reembolsos a clientes</v>
      </c>
      <c r="X566" s="64" t="str">
        <f t="shared" si="102"/>
        <v/>
      </c>
      <c r="Y566" s="64" t="str">
        <f t="shared" si="103"/>
        <v/>
      </c>
      <c r="Z566" s="64" t="str">
        <f t="shared" si="104"/>
        <v/>
      </c>
      <c r="AA566" s="64" t="str">
        <f t="shared" si="97"/>
        <v>GASTOS DE PROVISIONES_Por reembolsos a clientes_Costo</v>
      </c>
      <c r="AC566" s="76" t="s">
        <v>956</v>
      </c>
      <c r="AD566" s="76" t="s">
        <v>561</v>
      </c>
      <c r="AE566" s="76" t="s">
        <v>789</v>
      </c>
      <c r="AF566" s="76" t="s">
        <v>945</v>
      </c>
      <c r="AG566" s="76" t="s">
        <v>419</v>
      </c>
      <c r="AH566" s="76" t="s">
        <v>444</v>
      </c>
      <c r="AI566" s="76" t="s">
        <v>444</v>
      </c>
      <c r="AJ566" s="76" t="s">
        <v>444</v>
      </c>
      <c r="AK566" s="76" t="s">
        <v>1417</v>
      </c>
      <c r="AL566" s="76"/>
      <c r="AM566" s="9" t="s">
        <v>957</v>
      </c>
      <c r="AN566" s="81" t="s">
        <v>561</v>
      </c>
      <c r="AO566" s="81" t="s">
        <v>789</v>
      </c>
      <c r="AP566" s="81" t="s">
        <v>945</v>
      </c>
      <c r="AQ566" s="81" t="s">
        <v>419</v>
      </c>
      <c r="AR566" s="81" t="s">
        <v>444</v>
      </c>
      <c r="AS566" s="81" t="s">
        <v>444</v>
      </c>
      <c r="AT566" s="81" t="s">
        <v>444</v>
      </c>
      <c r="AU566" s="81" t="s">
        <v>2103</v>
      </c>
      <c r="AV566" s="81" t="str">
        <f t="shared" si="98"/>
        <v>GND_GND_GASTOS DE PROVISIONES_Por reembolsos a clientes_Costo&amp;Gasto&amp;Gasto</v>
      </c>
    </row>
    <row r="567" spans="1:48">
      <c r="A567" s="53"/>
      <c r="B567" s="53"/>
      <c r="C567" s="53"/>
      <c r="D567" s="242" t="s">
        <v>421</v>
      </c>
      <c r="E567" s="242"/>
      <c r="F567" s="242"/>
      <c r="G567" s="242"/>
      <c r="H567" s="242"/>
      <c r="I567" s="242"/>
      <c r="J567" s="254" t="s">
        <v>741</v>
      </c>
      <c r="K567" s="254"/>
      <c r="L567" s="9" t="s">
        <v>958</v>
      </c>
      <c r="M567" s="55" t="e">
        <f>VLOOKUP(L567,Casilleros!$A$4:$Q$830,17,FALSE)</f>
        <v>#REF!</v>
      </c>
      <c r="N567" s="9" t="s">
        <v>959</v>
      </c>
      <c r="O567" s="74" t="e">
        <f>VLOOKUP(N567,Casilleros!$A$4:$Q$830,17,FALSE)</f>
        <v>#REF!</v>
      </c>
      <c r="S567" s="61" t="str">
        <f t="shared" si="107"/>
        <v>.</v>
      </c>
      <c r="T567" s="64" t="str">
        <f t="shared" si="100"/>
        <v>ESTADO DEL RESULTADO INTEGRAL</v>
      </c>
      <c r="U567" s="64" t="str">
        <f t="shared" si="101"/>
        <v>COSTOS Y GASTOS</v>
      </c>
      <c r="V567" s="64" t="str">
        <f t="shared" si="105"/>
        <v>GASTOS DE PROVISIONES</v>
      </c>
      <c r="W567" s="64" t="str">
        <f t="shared" si="106"/>
        <v>Por litigios</v>
      </c>
      <c r="X567" s="64" t="str">
        <f t="shared" si="102"/>
        <v/>
      </c>
      <c r="Y567" s="64" t="str">
        <f t="shared" si="103"/>
        <v/>
      </c>
      <c r="Z567" s="64" t="str">
        <f t="shared" si="104"/>
        <v/>
      </c>
      <c r="AA567" s="64" t="str">
        <f t="shared" si="97"/>
        <v>GASTOS DE PROVISIONES_Por litigios_Costo</v>
      </c>
      <c r="AC567" s="76" t="s">
        <v>958</v>
      </c>
      <c r="AD567" s="76" t="s">
        <v>561</v>
      </c>
      <c r="AE567" s="76" t="s">
        <v>789</v>
      </c>
      <c r="AF567" s="76" t="s">
        <v>945</v>
      </c>
      <c r="AG567" s="76" t="s">
        <v>421</v>
      </c>
      <c r="AH567" s="76" t="s">
        <v>444</v>
      </c>
      <c r="AI567" s="76" t="s">
        <v>444</v>
      </c>
      <c r="AJ567" s="76" t="s">
        <v>444</v>
      </c>
      <c r="AK567" s="76" t="s">
        <v>1418</v>
      </c>
      <c r="AL567" s="76"/>
      <c r="AM567" s="9" t="s">
        <v>959</v>
      </c>
      <c r="AN567" s="81" t="s">
        <v>561</v>
      </c>
      <c r="AO567" s="81" t="s">
        <v>789</v>
      </c>
      <c r="AP567" s="81" t="s">
        <v>945</v>
      </c>
      <c r="AQ567" s="81" t="s">
        <v>421</v>
      </c>
      <c r="AR567" s="81" t="s">
        <v>444</v>
      </c>
      <c r="AS567" s="81" t="s">
        <v>444</v>
      </c>
      <c r="AT567" s="81" t="s">
        <v>444</v>
      </c>
      <c r="AU567" s="81" t="s">
        <v>2104</v>
      </c>
      <c r="AV567" s="81" t="str">
        <f t="shared" si="98"/>
        <v>GND_GND_GASTOS DE PROVISIONES_Por litigios_Costo&amp;Gasto&amp;Gasto</v>
      </c>
    </row>
    <row r="568" spans="1:48">
      <c r="A568" s="53"/>
      <c r="B568" s="53"/>
      <c r="C568" s="53"/>
      <c r="D568" s="242" t="s">
        <v>423</v>
      </c>
      <c r="E568" s="242"/>
      <c r="F568" s="242"/>
      <c r="G568" s="242"/>
      <c r="H568" s="242"/>
      <c r="I568" s="242"/>
      <c r="J568" s="9" t="s">
        <v>960</v>
      </c>
      <c r="K568" s="55" t="e">
        <f>VLOOKUP(J568,Casilleros!$A$4:$Q$830,17,FALSE)</f>
        <v>#REF!</v>
      </c>
      <c r="L568" s="9" t="s">
        <v>961</v>
      </c>
      <c r="M568" s="55" t="e">
        <f>VLOOKUP(L568,Casilleros!$A$4:$Q$830,17,FALSE)</f>
        <v>#REF!</v>
      </c>
      <c r="N568" s="9" t="s">
        <v>962</v>
      </c>
      <c r="O568" s="55" t="e">
        <f>VLOOKUP(N568,Casilleros!$A$4:$Q$830,17,FALSE)</f>
        <v>#REF!</v>
      </c>
      <c r="S568" s="61" t="str">
        <f t="shared" si="107"/>
        <v>7160</v>
      </c>
      <c r="T568" s="64" t="str">
        <f t="shared" si="100"/>
        <v>ESTADO DEL RESULTADO INTEGRAL</v>
      </c>
      <c r="U568" s="64" t="str">
        <f t="shared" si="101"/>
        <v>COSTOS Y GASTOS</v>
      </c>
      <c r="V568" s="64" t="str">
        <f t="shared" si="105"/>
        <v>GASTOS DE PROVISIONES</v>
      </c>
      <c r="W568" s="64" t="str">
        <f t="shared" si="106"/>
        <v>Por pasivos contingentes asumidos en una combinación de negocios</v>
      </c>
      <c r="X568" s="64" t="str">
        <f t="shared" si="102"/>
        <v/>
      </c>
      <c r="Y568" s="64" t="str">
        <f t="shared" si="103"/>
        <v/>
      </c>
      <c r="Z568" s="64" t="str">
        <f t="shared" si="104"/>
        <v/>
      </c>
      <c r="AA568" s="64" t="str">
        <f t="shared" si="97"/>
        <v>GASTOS DE PROVISIONES_Por pasivos contingentes asumidos en una combinación de negocios_Costo</v>
      </c>
      <c r="AC568" s="76" t="s">
        <v>961</v>
      </c>
      <c r="AD568" s="76" t="s">
        <v>561</v>
      </c>
      <c r="AE568" s="76" t="s">
        <v>789</v>
      </c>
      <c r="AF568" s="76" t="s">
        <v>945</v>
      </c>
      <c r="AG568" s="76" t="s">
        <v>423</v>
      </c>
      <c r="AH568" s="76" t="s">
        <v>444</v>
      </c>
      <c r="AI568" s="76" t="s">
        <v>444</v>
      </c>
      <c r="AJ568" s="76" t="s">
        <v>444</v>
      </c>
      <c r="AK568" s="76" t="s">
        <v>1419</v>
      </c>
      <c r="AL568" s="76"/>
      <c r="AM568" s="9" t="s">
        <v>962</v>
      </c>
      <c r="AN568" s="81" t="s">
        <v>561</v>
      </c>
      <c r="AO568" s="81" t="s">
        <v>789</v>
      </c>
      <c r="AP568" s="81" t="s">
        <v>945</v>
      </c>
      <c r="AQ568" s="81" t="s">
        <v>423</v>
      </c>
      <c r="AR568" s="81" t="s">
        <v>444</v>
      </c>
      <c r="AS568" s="81" t="s">
        <v>444</v>
      </c>
      <c r="AT568" s="81" t="s">
        <v>444</v>
      </c>
      <c r="AU568" s="81" t="s">
        <v>2105</v>
      </c>
      <c r="AV568" s="81" t="str">
        <f t="shared" si="98"/>
        <v>GND_GND_GASTOS DE PROVISIONES_Por pasivos contingentes asumidos en una combinación de negocios_Costo&amp;Gasto&amp;Gasto</v>
      </c>
    </row>
    <row r="569" spans="1:48">
      <c r="A569" s="53"/>
      <c r="B569" s="53"/>
      <c r="C569" s="53"/>
      <c r="D569" s="242" t="s">
        <v>122</v>
      </c>
      <c r="E569" s="242"/>
      <c r="F569" s="242"/>
      <c r="G569" s="242"/>
      <c r="H569" s="242"/>
      <c r="I569" s="242"/>
      <c r="J569" s="9" t="s">
        <v>963</v>
      </c>
      <c r="K569" s="55" t="e">
        <f>VLOOKUP(J569,Casilleros!$A$4:$Q$830,17,FALSE)</f>
        <v>#REF!</v>
      </c>
      <c r="L569" s="9" t="s">
        <v>964</v>
      </c>
      <c r="M569" s="55" t="e">
        <f>VLOOKUP(L569,Casilleros!$A$4:$Q$830,17,FALSE)</f>
        <v>#REF!</v>
      </c>
      <c r="N569" s="9" t="s">
        <v>965</v>
      </c>
      <c r="O569" s="55" t="e">
        <f>VLOOKUP(N569,Casilleros!$A$4:$Q$830,17,FALSE)</f>
        <v>#REF!</v>
      </c>
      <c r="S569" s="61" t="str">
        <f t="shared" si="107"/>
        <v>7163</v>
      </c>
      <c r="T569" s="64" t="str">
        <f t="shared" si="100"/>
        <v>ESTADO DEL RESULTADO INTEGRAL</v>
      </c>
      <c r="U569" s="64" t="str">
        <f t="shared" si="101"/>
        <v>COSTOS Y GASTOS</v>
      </c>
      <c r="V569" s="64" t="str">
        <f t="shared" si="105"/>
        <v>GASTOS DE PROVISIONES</v>
      </c>
      <c r="W569" s="64" t="str">
        <f t="shared" si="106"/>
        <v>Otros</v>
      </c>
      <c r="X569" s="64" t="str">
        <f t="shared" si="102"/>
        <v/>
      </c>
      <c r="Y569" s="64" t="str">
        <f t="shared" si="103"/>
        <v/>
      </c>
      <c r="Z569" s="64" t="str">
        <f t="shared" si="104"/>
        <v/>
      </c>
      <c r="AA569" s="64" t="str">
        <f t="shared" si="97"/>
        <v>GASTOS DE PROVISIONES_Otros_Costo</v>
      </c>
      <c r="AC569" s="76" t="s">
        <v>964</v>
      </c>
      <c r="AD569" s="76" t="s">
        <v>561</v>
      </c>
      <c r="AE569" s="76" t="s">
        <v>789</v>
      </c>
      <c r="AF569" s="76" t="s">
        <v>945</v>
      </c>
      <c r="AG569" s="76" t="s">
        <v>122</v>
      </c>
      <c r="AH569" s="76" t="s">
        <v>444</v>
      </c>
      <c r="AI569" s="76" t="s">
        <v>444</v>
      </c>
      <c r="AJ569" s="76" t="s">
        <v>444</v>
      </c>
      <c r="AK569" s="76" t="s">
        <v>1420</v>
      </c>
      <c r="AL569" s="76"/>
      <c r="AM569" s="9" t="s">
        <v>965</v>
      </c>
      <c r="AN569" s="81" t="s">
        <v>561</v>
      </c>
      <c r="AO569" s="81" t="s">
        <v>789</v>
      </c>
      <c r="AP569" s="81" t="s">
        <v>945</v>
      </c>
      <c r="AQ569" s="81" t="s">
        <v>122</v>
      </c>
      <c r="AR569" s="81" t="s">
        <v>444</v>
      </c>
      <c r="AS569" s="81" t="s">
        <v>444</v>
      </c>
      <c r="AT569" s="81" t="s">
        <v>444</v>
      </c>
      <c r="AU569" s="81" t="s">
        <v>2106</v>
      </c>
      <c r="AV569" s="81" t="str">
        <f t="shared" si="98"/>
        <v>GND_GND_GASTOS DE PROVISIONES_Otros_Costo&amp;Gasto&amp;Gasto</v>
      </c>
    </row>
    <row r="570" spans="1:48">
      <c r="A570" s="53"/>
      <c r="B570" s="53"/>
      <c r="C570" s="247" t="s">
        <v>966</v>
      </c>
      <c r="D570" s="247"/>
      <c r="E570" s="247"/>
      <c r="F570" s="247"/>
      <c r="G570" s="247"/>
      <c r="H570" s="247"/>
      <c r="I570" s="247"/>
      <c r="J570" s="246" t="s">
        <v>144</v>
      </c>
      <c r="K570" s="246"/>
      <c r="L570" s="246" t="s">
        <v>11</v>
      </c>
      <c r="M570" s="246"/>
      <c r="N570" s="246" t="s">
        <v>791</v>
      </c>
      <c r="O570" s="246"/>
      <c r="S570" s="61" t="str">
        <f t="shared" si="107"/>
        <v>Costo</v>
      </c>
      <c r="T570" s="64" t="str">
        <f t="shared" si="100"/>
        <v>ESTADO DEL RESULTADO INTEGRAL</v>
      </c>
      <c r="U570" s="64" t="str">
        <f t="shared" si="101"/>
        <v>COSTOS Y GASTOS</v>
      </c>
      <c r="V570" s="64" t="str">
        <f t="shared" si="105"/>
        <v>PÉRDIDA EN VENTA DE ACTIVOS FIJOS</v>
      </c>
      <c r="W570" s="64" t="str">
        <f t="shared" si="106"/>
        <v/>
      </c>
      <c r="X570" s="64" t="str">
        <f t="shared" si="102"/>
        <v/>
      </c>
      <c r="Y570" s="64" t="str">
        <f t="shared" si="103"/>
        <v/>
      </c>
      <c r="Z570" s="64" t="str">
        <f t="shared" si="104"/>
        <v/>
      </c>
      <c r="AA570" s="64" t="str">
        <f t="shared" si="97"/>
        <v>PÉRDIDA EN VENTA DE ACTIVOS FIJOS__Costo</v>
      </c>
      <c r="AC570" s="76" t="s">
        <v>144</v>
      </c>
      <c r="AD570" s="76" t="s">
        <v>561</v>
      </c>
      <c r="AE570" s="76" t="s">
        <v>789</v>
      </c>
      <c r="AF570" s="76" t="s">
        <v>966</v>
      </c>
      <c r="AG570" s="76" t="s">
        <v>444</v>
      </c>
      <c r="AH570" s="76" t="s">
        <v>444</v>
      </c>
      <c r="AI570" s="76" t="s">
        <v>444</v>
      </c>
      <c r="AJ570" s="76" t="s">
        <v>444</v>
      </c>
      <c r="AK570" s="76" t="s">
        <v>1421</v>
      </c>
      <c r="AL570" s="76"/>
      <c r="AM570" s="81"/>
      <c r="AN570" s="81" t="s">
        <v>561</v>
      </c>
      <c r="AO570" s="81" t="s">
        <v>789</v>
      </c>
      <c r="AP570" s="81" t="s">
        <v>966</v>
      </c>
      <c r="AQ570" s="81" t="s">
        <v>444</v>
      </c>
      <c r="AR570" s="81" t="s">
        <v>444</v>
      </c>
      <c r="AS570" s="81" t="s">
        <v>444</v>
      </c>
      <c r="AT570" s="81" t="s">
        <v>444</v>
      </c>
      <c r="AU570" s="81" t="s">
        <v>2107</v>
      </c>
      <c r="AV570" s="81" t="str">
        <f t="shared" si="98"/>
        <v>GND_GND_PÉRDIDA EN VENTA DE ACTIVOS FIJOS__Costo&amp;Gasto&amp;Gasto</v>
      </c>
    </row>
    <row r="571" spans="1:48">
      <c r="A571" s="53"/>
      <c r="B571" s="53"/>
      <c r="C571" s="53"/>
      <c r="D571" s="242" t="s">
        <v>108</v>
      </c>
      <c r="E571" s="242"/>
      <c r="F571" s="242"/>
      <c r="G571" s="242"/>
      <c r="H571" s="242"/>
      <c r="I571" s="242"/>
      <c r="J571" s="9" t="s">
        <v>967</v>
      </c>
      <c r="K571" s="55" t="e">
        <f>VLOOKUP(J571,Casilleros!$A$4:$Q$830,17,FALSE)</f>
        <v>#REF!</v>
      </c>
      <c r="L571" s="9" t="s">
        <v>968</v>
      </c>
      <c r="M571" s="55" t="e">
        <f>VLOOKUP(L571,Casilleros!$A$4:$Q$830,17,FALSE)</f>
        <v>#REF!</v>
      </c>
      <c r="N571" s="9" t="s">
        <v>969</v>
      </c>
      <c r="O571" s="55" t="e">
        <f>VLOOKUP(N571,Casilleros!$A$4:$Q$830,17,FALSE)</f>
        <v>#REF!</v>
      </c>
      <c r="S571" s="61" t="str">
        <f t="shared" si="107"/>
        <v>7166</v>
      </c>
      <c r="T571" s="64" t="str">
        <f t="shared" si="100"/>
        <v>ESTADO DEL RESULTADO INTEGRAL</v>
      </c>
      <c r="U571" s="64" t="str">
        <f t="shared" si="101"/>
        <v>COSTOS Y GASTOS</v>
      </c>
      <c r="V571" s="64" t="str">
        <f t="shared" si="105"/>
        <v>PÉRDIDA EN VENTA DE ACTIVOS FIJOS</v>
      </c>
      <c r="W571" s="64" t="str">
        <f t="shared" si="106"/>
        <v>Relacionadas</v>
      </c>
      <c r="X571" s="64" t="str">
        <f t="shared" si="102"/>
        <v/>
      </c>
      <c r="Y571" s="64" t="str">
        <f t="shared" si="103"/>
        <v/>
      </c>
      <c r="Z571" s="64" t="str">
        <f t="shared" si="104"/>
        <v/>
      </c>
      <c r="AA571" s="64" t="str">
        <f t="shared" si="97"/>
        <v>PÉRDIDA EN VENTA DE ACTIVOS FIJOS_Relacionadas_Costo</v>
      </c>
      <c r="AC571" s="76" t="s">
        <v>967</v>
      </c>
      <c r="AD571" s="76" t="s">
        <v>561</v>
      </c>
      <c r="AE571" s="76" t="s">
        <v>789</v>
      </c>
      <c r="AF571" s="76" t="s">
        <v>966</v>
      </c>
      <c r="AG571" s="76" t="s">
        <v>108</v>
      </c>
      <c r="AH571" s="76" t="s">
        <v>444</v>
      </c>
      <c r="AI571" s="76" t="s">
        <v>444</v>
      </c>
      <c r="AJ571" s="76" t="s">
        <v>444</v>
      </c>
      <c r="AK571" s="76" t="s">
        <v>1422</v>
      </c>
      <c r="AL571" s="76"/>
      <c r="AM571" s="9" t="s">
        <v>969</v>
      </c>
      <c r="AN571" s="81" t="s">
        <v>561</v>
      </c>
      <c r="AO571" s="81" t="s">
        <v>789</v>
      </c>
      <c r="AP571" s="81" t="s">
        <v>966</v>
      </c>
      <c r="AQ571" s="81" t="s">
        <v>108</v>
      </c>
      <c r="AR571" s="81" t="s">
        <v>444</v>
      </c>
      <c r="AS571" s="81" t="s">
        <v>444</v>
      </c>
      <c r="AT571" s="81" t="s">
        <v>444</v>
      </c>
      <c r="AU571" s="81" t="s">
        <v>2108</v>
      </c>
      <c r="AV571" s="81" t="str">
        <f t="shared" si="98"/>
        <v>GND_GND_PÉRDIDA EN VENTA DE ACTIVOS FIJOS_Relacionadas_Costo&amp;Gasto&amp;Gasto</v>
      </c>
    </row>
    <row r="572" spans="1:48">
      <c r="A572" s="53"/>
      <c r="B572" s="53"/>
      <c r="C572" s="53"/>
      <c r="D572" s="242" t="s">
        <v>110</v>
      </c>
      <c r="E572" s="242" t="s">
        <v>741</v>
      </c>
      <c r="F572" s="242"/>
      <c r="G572" s="242"/>
      <c r="H572" s="242"/>
      <c r="I572" s="242"/>
      <c r="J572" s="9" t="s">
        <v>970</v>
      </c>
      <c r="K572" s="55" t="e">
        <f>VLOOKUP(J572,Casilleros!$A$4:$Q$830,17,FALSE)</f>
        <v>#REF!</v>
      </c>
      <c r="L572" s="9" t="s">
        <v>971</v>
      </c>
      <c r="M572" s="55" t="e">
        <f>VLOOKUP(L572,Casilleros!$A$4:$Q$830,17,FALSE)</f>
        <v>#REF!</v>
      </c>
      <c r="N572" s="9" t="s">
        <v>972</v>
      </c>
      <c r="O572" s="55" t="e">
        <f>VLOOKUP(N572,Casilleros!$A$4:$Q$830,17,FALSE)</f>
        <v>#REF!</v>
      </c>
      <c r="S572" s="61" t="str">
        <f t="shared" ref="S572:S609" si="108">+J572</f>
        <v>7169</v>
      </c>
      <c r="T572" s="64" t="str">
        <f t="shared" si="100"/>
        <v>ESTADO DEL RESULTADO INTEGRAL</v>
      </c>
      <c r="U572" s="64" t="str">
        <f t="shared" si="101"/>
        <v>COSTOS Y GASTOS</v>
      </c>
      <c r="V572" s="64" t="str">
        <f t="shared" si="105"/>
        <v>PÉRDIDA EN VENTA DE ACTIVOS FIJOS</v>
      </c>
      <c r="W572" s="64" t="str">
        <f t="shared" si="106"/>
        <v>No relacionadas</v>
      </c>
      <c r="X572" s="64" t="str">
        <f t="shared" si="102"/>
        <v/>
      </c>
      <c r="Y572" s="64" t="str">
        <f t="shared" si="103"/>
        <v/>
      </c>
      <c r="Z572" s="64" t="str">
        <f t="shared" si="104"/>
        <v/>
      </c>
      <c r="AA572" s="64" t="str">
        <f t="shared" ref="AA572:AA605" si="109">IF(X572&lt;&gt;"",CONCATENATE(W572,"_",X572,"_",Y572,"_",Z572,"_Costo"),CONCATENATE(V572, "_",W572,"_Costo"))</f>
        <v>PÉRDIDA EN VENTA DE ACTIVOS FIJOS_No relacionadas_Costo</v>
      </c>
      <c r="AC572" s="76" t="s">
        <v>968</v>
      </c>
      <c r="AD572" s="76" t="s">
        <v>561</v>
      </c>
      <c r="AE572" s="76" t="s">
        <v>789</v>
      </c>
      <c r="AF572" s="76" t="s">
        <v>966</v>
      </c>
      <c r="AG572" s="76" t="s">
        <v>110</v>
      </c>
      <c r="AH572" s="76" t="s">
        <v>444</v>
      </c>
      <c r="AI572" s="76" t="s">
        <v>444</v>
      </c>
      <c r="AJ572" s="76" t="s">
        <v>444</v>
      </c>
      <c r="AK572" s="76" t="s">
        <v>1423</v>
      </c>
      <c r="AL572" s="76"/>
      <c r="AM572" s="9" t="s">
        <v>972</v>
      </c>
      <c r="AN572" s="81" t="s">
        <v>561</v>
      </c>
      <c r="AO572" s="81" t="s">
        <v>789</v>
      </c>
      <c r="AP572" s="81" t="s">
        <v>966</v>
      </c>
      <c r="AQ572" s="81" t="s">
        <v>110</v>
      </c>
      <c r="AR572" s="81" t="s">
        <v>444</v>
      </c>
      <c r="AS572" s="81" t="s">
        <v>444</v>
      </c>
      <c r="AT572" s="81" t="s">
        <v>444</v>
      </c>
      <c r="AU572" s="81" t="s">
        <v>2109</v>
      </c>
      <c r="AV572" s="81" t="str">
        <f t="shared" ref="AV572:AV605" si="110">CONCATENATE("GND_",AU572,"&amp;Gasto")</f>
        <v>GND_GND_PÉRDIDA EN VENTA DE ACTIVOS FIJOS_No relacionadas_Costo&amp;Gasto&amp;Gasto</v>
      </c>
    </row>
    <row r="573" spans="1:48">
      <c r="A573" s="53"/>
      <c r="B573" s="53"/>
      <c r="C573" s="236" t="s">
        <v>12</v>
      </c>
      <c r="D573" s="236"/>
      <c r="E573" s="236"/>
      <c r="F573" s="236"/>
      <c r="G573" s="236"/>
      <c r="H573" s="236"/>
      <c r="I573" s="236"/>
      <c r="J573" s="246" t="s">
        <v>144</v>
      </c>
      <c r="K573" s="246"/>
      <c r="L573" s="246" t="s">
        <v>11</v>
      </c>
      <c r="M573" s="246"/>
      <c r="N573" s="246" t="s">
        <v>791</v>
      </c>
      <c r="O573" s="246"/>
      <c r="S573" s="61" t="str">
        <f t="shared" si="108"/>
        <v>Costo</v>
      </c>
      <c r="T573" s="64" t="str">
        <f t="shared" si="100"/>
        <v>ESTADO DEL RESULTADO INTEGRAL</v>
      </c>
      <c r="U573" s="64" t="str">
        <f t="shared" si="101"/>
        <v>COSTOS Y GASTOS</v>
      </c>
      <c r="V573" s="64" t="str">
        <f t="shared" si="105"/>
        <v>OTROS GASTOS</v>
      </c>
      <c r="W573" s="64" t="str">
        <f t="shared" si="106"/>
        <v/>
      </c>
      <c r="X573" s="64" t="str">
        <f t="shared" si="102"/>
        <v/>
      </c>
      <c r="Y573" s="64" t="str">
        <f t="shared" si="103"/>
        <v/>
      </c>
      <c r="Z573" s="64" t="str">
        <f t="shared" si="104"/>
        <v/>
      </c>
      <c r="AA573" s="64" t="str">
        <f t="shared" si="109"/>
        <v>OTROS GASTOS__Costo</v>
      </c>
      <c r="AC573" s="76" t="s">
        <v>971</v>
      </c>
      <c r="AD573" s="76" t="s">
        <v>561</v>
      </c>
      <c r="AE573" s="76" t="s">
        <v>789</v>
      </c>
      <c r="AF573" s="76" t="s">
        <v>12</v>
      </c>
      <c r="AG573" s="76" t="s">
        <v>444</v>
      </c>
      <c r="AH573" s="76" t="s">
        <v>444</v>
      </c>
      <c r="AI573" s="76" t="s">
        <v>444</v>
      </c>
      <c r="AJ573" s="76" t="s">
        <v>444</v>
      </c>
      <c r="AK573" s="76" t="s">
        <v>1424</v>
      </c>
      <c r="AL573" s="76"/>
      <c r="AM573" s="81"/>
      <c r="AN573" s="81" t="s">
        <v>561</v>
      </c>
      <c r="AO573" s="81" t="s">
        <v>789</v>
      </c>
      <c r="AP573" s="81" t="s">
        <v>12</v>
      </c>
      <c r="AQ573" s="81" t="s">
        <v>444</v>
      </c>
      <c r="AR573" s="81" t="s">
        <v>444</v>
      </c>
      <c r="AS573" s="81" t="s">
        <v>444</v>
      </c>
      <c r="AT573" s="81" t="s">
        <v>444</v>
      </c>
      <c r="AU573" s="81" t="s">
        <v>2110</v>
      </c>
      <c r="AV573" s="81" t="str">
        <f t="shared" si="110"/>
        <v>GND_GND_OTROS GASTOS__Costo&amp;Gasto&amp;Gasto</v>
      </c>
    </row>
    <row r="574" spans="1:48">
      <c r="A574" s="53"/>
      <c r="B574" s="53"/>
      <c r="C574" s="53"/>
      <c r="D574" s="235" t="s">
        <v>24</v>
      </c>
      <c r="E574" s="235"/>
      <c r="F574" s="235"/>
      <c r="G574" s="235"/>
      <c r="H574" s="235"/>
      <c r="I574" s="235"/>
      <c r="J574" s="254" t="s">
        <v>741</v>
      </c>
      <c r="K574" s="254"/>
      <c r="L574" s="9" t="s">
        <v>973</v>
      </c>
      <c r="M574" s="55" t="e">
        <f>VLOOKUP(L574,Casilleros!$A$4:$Q$830,17,FALSE)</f>
        <v>#REF!</v>
      </c>
      <c r="N574" s="9" t="s">
        <v>974</v>
      </c>
      <c r="O574" s="55">
        <v>0</v>
      </c>
      <c r="P574" s="67" t="e">
        <f>SUM(M574:M586)+SUM(M596:M597)+SUM(M599:M605)</f>
        <v>#REF!</v>
      </c>
      <c r="S574" s="61" t="str">
        <f t="shared" si="108"/>
        <v>.</v>
      </c>
      <c r="T574" s="64" t="str">
        <f t="shared" ref="T574:T637" si="111">IF(A574&lt;&gt;"",A574,T573)</f>
        <v>ESTADO DEL RESULTADO INTEGRAL</v>
      </c>
      <c r="U574" s="64" t="str">
        <f t="shared" ref="U574:U637" si="112">IF(T573&lt;&gt;T574,"",(IF(B574&lt;&gt;"",B574,U573)))</f>
        <v>COSTOS Y GASTOS</v>
      </c>
      <c r="V574" s="64" t="str">
        <f t="shared" si="105"/>
        <v>OTROS GASTOS</v>
      </c>
      <c r="W574" s="64" t="str">
        <f t="shared" si="106"/>
        <v>Promoción y publicidad</v>
      </c>
      <c r="X574" s="64" t="str">
        <f t="shared" ref="X574:X637" si="113">IF(W573&lt;&gt;W574,"",(IF(E574&lt;&gt;"",E574,X573)))</f>
        <v/>
      </c>
      <c r="Y574" s="64" t="str">
        <f t="shared" ref="Y574:Y637" si="114">IF(X573&lt;&gt;X574,"",(IF(F574&lt;&gt;"",F574,Y573)))</f>
        <v/>
      </c>
      <c r="Z574" s="64" t="str">
        <f t="shared" ref="Z574:Z637" si="115">IF(Y573&lt;&gt;Y574,"",(IF(G574&lt;&gt;"",G574,Z573)))</f>
        <v/>
      </c>
      <c r="AA574" s="64" t="str">
        <f t="shared" si="109"/>
        <v>OTROS GASTOS_Promoción y publicidad_Costo</v>
      </c>
      <c r="AC574" s="76" t="s">
        <v>973</v>
      </c>
      <c r="AD574" s="76" t="s">
        <v>561</v>
      </c>
      <c r="AE574" s="76" t="s">
        <v>789</v>
      </c>
      <c r="AF574" s="76" t="s">
        <v>12</v>
      </c>
      <c r="AG574" s="76" t="s">
        <v>24</v>
      </c>
      <c r="AH574" s="76" t="s">
        <v>444</v>
      </c>
      <c r="AI574" s="76" t="s">
        <v>444</v>
      </c>
      <c r="AJ574" s="76" t="s">
        <v>444</v>
      </c>
      <c r="AK574" s="76" t="s">
        <v>1425</v>
      </c>
      <c r="AL574" s="76"/>
      <c r="AM574" s="9" t="s">
        <v>974</v>
      </c>
      <c r="AN574" s="81" t="s">
        <v>561</v>
      </c>
      <c r="AO574" s="81" t="s">
        <v>789</v>
      </c>
      <c r="AP574" s="81" t="s">
        <v>12</v>
      </c>
      <c r="AQ574" s="81" t="s">
        <v>24</v>
      </c>
      <c r="AR574" s="81" t="s">
        <v>444</v>
      </c>
      <c r="AS574" s="81" t="s">
        <v>444</v>
      </c>
      <c r="AT574" s="81" t="s">
        <v>444</v>
      </c>
      <c r="AU574" s="81" t="s">
        <v>2111</v>
      </c>
      <c r="AV574" s="81" t="str">
        <f t="shared" si="110"/>
        <v>GND_GND_OTROS GASTOS_Promoción y publicidad_Costo&amp;Gasto&amp;Gasto</v>
      </c>
    </row>
    <row r="575" spans="1:48">
      <c r="A575" s="53"/>
      <c r="B575" s="53"/>
      <c r="C575" s="53"/>
      <c r="D575" s="235" t="s">
        <v>975</v>
      </c>
      <c r="E575" s="235"/>
      <c r="F575" s="235" t="s">
        <v>444</v>
      </c>
      <c r="G575" s="235"/>
      <c r="H575" s="235" t="s">
        <v>444</v>
      </c>
      <c r="I575" s="235"/>
      <c r="J575" s="254" t="s">
        <v>741</v>
      </c>
      <c r="K575" s="254"/>
      <c r="L575" s="9" t="s">
        <v>976</v>
      </c>
      <c r="M575" s="55" t="e">
        <f>VLOOKUP(L575,Casilleros!$A$4:$Q$830,17,FALSE)</f>
        <v>#REF!</v>
      </c>
      <c r="N575" s="9" t="s">
        <v>977</v>
      </c>
      <c r="O575" s="55" t="e">
        <f>VLOOKUP(N575,Casilleros!$A$4:$Q$830,17,FALSE)</f>
        <v>#REF!</v>
      </c>
      <c r="P575" s="67" t="e">
        <f>+P574-#REF!</f>
        <v>#REF!</v>
      </c>
      <c r="S575" s="61" t="str">
        <f t="shared" si="108"/>
        <v>.</v>
      </c>
      <c r="T575" s="64" t="str">
        <f t="shared" si="111"/>
        <v>ESTADO DEL RESULTADO INTEGRAL</v>
      </c>
      <c r="U575" s="64" t="str">
        <f t="shared" si="112"/>
        <v>COSTOS Y GASTOS</v>
      </c>
      <c r="V575" s="64" t="str">
        <f t="shared" si="105"/>
        <v>OTROS GASTOS</v>
      </c>
      <c r="W575" s="64" t="str">
        <f t="shared" si="106"/>
        <v>Transporte</v>
      </c>
      <c r="X575" s="64" t="str">
        <f t="shared" si="113"/>
        <v/>
      </c>
      <c r="Y575" s="64" t="str">
        <f t="shared" si="114"/>
        <v/>
      </c>
      <c r="Z575" s="64" t="str">
        <f t="shared" si="115"/>
        <v/>
      </c>
      <c r="AA575" s="64" t="str">
        <f t="shared" si="109"/>
        <v>OTROS GASTOS_Transporte_Costo</v>
      </c>
      <c r="AC575" s="76" t="s">
        <v>976</v>
      </c>
      <c r="AD575" s="76" t="s">
        <v>561</v>
      </c>
      <c r="AE575" s="76" t="s">
        <v>789</v>
      </c>
      <c r="AF575" s="76" t="s">
        <v>12</v>
      </c>
      <c r="AG575" s="76" t="s">
        <v>975</v>
      </c>
      <c r="AH575" s="76" t="s">
        <v>444</v>
      </c>
      <c r="AI575" s="76" t="s">
        <v>444</v>
      </c>
      <c r="AJ575" s="76" t="s">
        <v>444</v>
      </c>
      <c r="AK575" s="76" t="s">
        <v>1426</v>
      </c>
      <c r="AL575" s="76"/>
      <c r="AM575" s="9" t="s">
        <v>977</v>
      </c>
      <c r="AN575" s="81" t="s">
        <v>561</v>
      </c>
      <c r="AO575" s="81" t="s">
        <v>789</v>
      </c>
      <c r="AP575" s="81" t="s">
        <v>12</v>
      </c>
      <c r="AQ575" s="81" t="s">
        <v>975</v>
      </c>
      <c r="AR575" s="81" t="s">
        <v>444</v>
      </c>
      <c r="AS575" s="81" t="s">
        <v>444</v>
      </c>
      <c r="AT575" s="81" t="s">
        <v>444</v>
      </c>
      <c r="AU575" s="81" t="s">
        <v>2112</v>
      </c>
      <c r="AV575" s="81" t="str">
        <f t="shared" si="110"/>
        <v>GND_GND_OTROS GASTOS_Transporte_Costo&amp;Gasto&amp;Gasto</v>
      </c>
    </row>
    <row r="576" spans="1:48">
      <c r="A576" s="53"/>
      <c r="B576" s="53"/>
      <c r="C576" s="53"/>
      <c r="D576" s="235" t="s">
        <v>978</v>
      </c>
      <c r="E576" s="235"/>
      <c r="F576" s="235" t="s">
        <v>444</v>
      </c>
      <c r="G576" s="235"/>
      <c r="H576" s="235" t="s">
        <v>444</v>
      </c>
      <c r="I576" s="235"/>
      <c r="J576" s="9" t="s">
        <v>979</v>
      </c>
      <c r="K576" s="55" t="e">
        <f>VLOOKUP(J576,Casilleros!$A$4:$Q$830,17,FALSE)</f>
        <v>#REF!</v>
      </c>
      <c r="L576" s="9" t="s">
        <v>980</v>
      </c>
      <c r="M576" s="55" t="e">
        <f>VLOOKUP(L576,Casilleros!$A$4:$Q$830,17,FALSE)</f>
        <v>#REF!</v>
      </c>
      <c r="N576" s="9" t="s">
        <v>981</v>
      </c>
      <c r="O576" s="55" t="e">
        <f>VLOOKUP(N576,Casilleros!$A$4:$Q$830,17,FALSE)</f>
        <v>#REF!</v>
      </c>
      <c r="S576" s="61" t="str">
        <f t="shared" si="108"/>
        <v>7178</v>
      </c>
      <c r="T576" s="64" t="str">
        <f t="shared" si="111"/>
        <v>ESTADO DEL RESULTADO INTEGRAL</v>
      </c>
      <c r="U576" s="64" t="str">
        <f t="shared" si="112"/>
        <v>COSTOS Y GASTOS</v>
      </c>
      <c r="V576" s="64" t="str">
        <f t="shared" si="105"/>
        <v>OTROS GASTOS</v>
      </c>
      <c r="W576" s="64" t="str">
        <f t="shared" si="106"/>
        <v>Consumo de combustibles y lubricantes</v>
      </c>
      <c r="X576" s="64" t="str">
        <f t="shared" si="113"/>
        <v/>
      </c>
      <c r="Y576" s="64" t="str">
        <f t="shared" si="114"/>
        <v/>
      </c>
      <c r="Z576" s="64" t="str">
        <f t="shared" si="115"/>
        <v/>
      </c>
      <c r="AA576" s="64" t="str">
        <f t="shared" si="109"/>
        <v>OTROS GASTOS_Consumo de combustibles y lubricantes_Costo</v>
      </c>
      <c r="AC576" s="76" t="s">
        <v>980</v>
      </c>
      <c r="AD576" s="76" t="s">
        <v>561</v>
      </c>
      <c r="AE576" s="76" t="s">
        <v>789</v>
      </c>
      <c r="AF576" s="76" t="s">
        <v>12</v>
      </c>
      <c r="AG576" s="76" t="s">
        <v>978</v>
      </c>
      <c r="AH576" s="76" t="s">
        <v>444</v>
      </c>
      <c r="AI576" s="76" t="s">
        <v>444</v>
      </c>
      <c r="AJ576" s="76" t="s">
        <v>444</v>
      </c>
      <c r="AK576" s="76" t="s">
        <v>1427</v>
      </c>
      <c r="AL576" s="76"/>
      <c r="AM576" s="9" t="s">
        <v>981</v>
      </c>
      <c r="AN576" s="81" t="s">
        <v>561</v>
      </c>
      <c r="AO576" s="81" t="s">
        <v>789</v>
      </c>
      <c r="AP576" s="81" t="s">
        <v>12</v>
      </c>
      <c r="AQ576" s="81" t="s">
        <v>978</v>
      </c>
      <c r="AR576" s="81" t="s">
        <v>444</v>
      </c>
      <c r="AS576" s="81" t="s">
        <v>444</v>
      </c>
      <c r="AT576" s="81" t="s">
        <v>444</v>
      </c>
      <c r="AU576" s="81" t="s">
        <v>2113</v>
      </c>
      <c r="AV576" s="81" t="str">
        <f t="shared" si="110"/>
        <v>GND_GND_OTROS GASTOS_Consumo de combustibles y lubricantes_Costo&amp;Gasto&amp;Gasto</v>
      </c>
    </row>
    <row r="577" spans="1:48">
      <c r="A577" s="53"/>
      <c r="B577" s="53"/>
      <c r="C577" s="53"/>
      <c r="D577" s="235" t="s">
        <v>15</v>
      </c>
      <c r="E577" s="235"/>
      <c r="F577" s="235" t="s">
        <v>444</v>
      </c>
      <c r="G577" s="235"/>
      <c r="H577" s="235" t="s">
        <v>444</v>
      </c>
      <c r="I577" s="235"/>
      <c r="J577" s="254" t="s">
        <v>741</v>
      </c>
      <c r="K577" s="254"/>
      <c r="L577" s="9" t="s">
        <v>982</v>
      </c>
      <c r="M577" s="74" t="e">
        <f>VLOOKUP(L577,Casilleros!$A$4:$Q$830,17,FALSE)</f>
        <v>#REF!</v>
      </c>
      <c r="N577" s="9" t="s">
        <v>983</v>
      </c>
      <c r="O577" s="55" t="e">
        <f>+M577</f>
        <v>#REF!</v>
      </c>
      <c r="S577" s="61" t="str">
        <f t="shared" si="108"/>
        <v>.</v>
      </c>
      <c r="T577" s="64" t="str">
        <f t="shared" si="111"/>
        <v>ESTADO DEL RESULTADO INTEGRAL</v>
      </c>
      <c r="U577" s="64" t="str">
        <f t="shared" si="112"/>
        <v>COSTOS Y GASTOS</v>
      </c>
      <c r="V577" s="64" t="str">
        <f t="shared" si="105"/>
        <v>OTROS GASTOS</v>
      </c>
      <c r="W577" s="64" t="str">
        <f t="shared" si="106"/>
        <v>Gastos de viaje</v>
      </c>
      <c r="X577" s="64" t="str">
        <f t="shared" si="113"/>
        <v/>
      </c>
      <c r="Y577" s="64" t="str">
        <f t="shared" si="114"/>
        <v/>
      </c>
      <c r="Z577" s="64" t="str">
        <f t="shared" si="115"/>
        <v/>
      </c>
      <c r="AA577" s="64" t="str">
        <f t="shared" si="109"/>
        <v>OTROS GASTOS_Gastos de viaje_Costo</v>
      </c>
      <c r="AC577" s="76" t="s">
        <v>982</v>
      </c>
      <c r="AD577" s="76" t="s">
        <v>561</v>
      </c>
      <c r="AE577" s="76" t="s">
        <v>789</v>
      </c>
      <c r="AF577" s="76" t="s">
        <v>12</v>
      </c>
      <c r="AG577" s="76" t="s">
        <v>15</v>
      </c>
      <c r="AH577" s="76" t="s">
        <v>444</v>
      </c>
      <c r="AI577" s="76" t="s">
        <v>444</v>
      </c>
      <c r="AJ577" s="76" t="s">
        <v>444</v>
      </c>
      <c r="AK577" s="76" t="s">
        <v>1428</v>
      </c>
      <c r="AL577" s="76"/>
      <c r="AM577" s="9" t="s">
        <v>983</v>
      </c>
      <c r="AN577" s="81" t="s">
        <v>561</v>
      </c>
      <c r="AO577" s="81" t="s">
        <v>789</v>
      </c>
      <c r="AP577" s="81" t="s">
        <v>12</v>
      </c>
      <c r="AQ577" s="81" t="s">
        <v>15</v>
      </c>
      <c r="AR577" s="81" t="s">
        <v>444</v>
      </c>
      <c r="AS577" s="81" t="s">
        <v>444</v>
      </c>
      <c r="AT577" s="81" t="s">
        <v>444</v>
      </c>
      <c r="AU577" s="81" t="s">
        <v>2114</v>
      </c>
      <c r="AV577" s="81" t="str">
        <f t="shared" si="110"/>
        <v>GND_GND_OTROS GASTOS_Gastos de viaje_Costo&amp;Gasto&amp;Gasto</v>
      </c>
    </row>
    <row r="578" spans="1:48">
      <c r="A578" s="53"/>
      <c r="B578" s="53"/>
      <c r="C578" s="53"/>
      <c r="D578" s="235" t="s">
        <v>18</v>
      </c>
      <c r="E578" s="235"/>
      <c r="F578" s="235" t="s">
        <v>444</v>
      </c>
      <c r="G578" s="235"/>
      <c r="H578" s="235" t="s">
        <v>444</v>
      </c>
      <c r="I578" s="235"/>
      <c r="J578" s="254" t="s">
        <v>741</v>
      </c>
      <c r="K578" s="254"/>
      <c r="L578" s="9" t="s">
        <v>984</v>
      </c>
      <c r="M578" s="74" t="e">
        <f>VLOOKUP(L578,Casilleros!$A$4:$Q$830,17,FALSE)</f>
        <v>#REF!</v>
      </c>
      <c r="N578" s="9" t="s">
        <v>985</v>
      </c>
      <c r="O578" s="55" t="e">
        <f>VLOOKUP(N578,Casilleros!$A$4:$Q$830,17,FALSE)</f>
        <v>#REF!</v>
      </c>
      <c r="S578" s="61" t="str">
        <f t="shared" si="108"/>
        <v>.</v>
      </c>
      <c r="T578" s="64" t="str">
        <f t="shared" si="111"/>
        <v>ESTADO DEL RESULTADO INTEGRAL</v>
      </c>
      <c r="U578" s="64" t="str">
        <f t="shared" si="112"/>
        <v>COSTOS Y GASTOS</v>
      </c>
      <c r="V578" s="64" t="str">
        <f t="shared" si="105"/>
        <v>OTROS GASTOS</v>
      </c>
      <c r="W578" s="64" t="str">
        <f t="shared" si="106"/>
        <v>Gastos de gestión</v>
      </c>
      <c r="X578" s="64" t="str">
        <f t="shared" si="113"/>
        <v/>
      </c>
      <c r="Y578" s="64" t="str">
        <f t="shared" si="114"/>
        <v/>
      </c>
      <c r="Z578" s="64" t="str">
        <f t="shared" si="115"/>
        <v/>
      </c>
      <c r="AA578" s="64" t="str">
        <f t="shared" si="109"/>
        <v>OTROS GASTOS_Gastos de gestión_Costo</v>
      </c>
      <c r="AC578" s="76" t="s">
        <v>984</v>
      </c>
      <c r="AD578" s="76" t="s">
        <v>561</v>
      </c>
      <c r="AE578" s="76" t="s">
        <v>789</v>
      </c>
      <c r="AF578" s="76" t="s">
        <v>12</v>
      </c>
      <c r="AG578" s="76" t="s">
        <v>18</v>
      </c>
      <c r="AH578" s="76" t="s">
        <v>444</v>
      </c>
      <c r="AI578" s="76" t="s">
        <v>444</v>
      </c>
      <c r="AJ578" s="76" t="s">
        <v>444</v>
      </c>
      <c r="AK578" s="76" t="s">
        <v>1429</v>
      </c>
      <c r="AL578" s="76"/>
      <c r="AM578" s="9" t="s">
        <v>985</v>
      </c>
      <c r="AN578" s="81" t="s">
        <v>561</v>
      </c>
      <c r="AO578" s="81" t="s">
        <v>789</v>
      </c>
      <c r="AP578" s="81" t="s">
        <v>12</v>
      </c>
      <c r="AQ578" s="81" t="s">
        <v>18</v>
      </c>
      <c r="AR578" s="81" t="s">
        <v>444</v>
      </c>
      <c r="AS578" s="81" t="s">
        <v>444</v>
      </c>
      <c r="AT578" s="81" t="s">
        <v>444</v>
      </c>
      <c r="AU578" s="81" t="s">
        <v>2115</v>
      </c>
      <c r="AV578" s="81" t="str">
        <f t="shared" si="110"/>
        <v>GND_GND_OTROS GASTOS_Gastos de gestión_Costo&amp;Gasto&amp;Gasto</v>
      </c>
    </row>
    <row r="579" spans="1:48">
      <c r="A579" s="53"/>
      <c r="B579" s="53"/>
      <c r="C579" s="53"/>
      <c r="D579" s="235" t="s">
        <v>986</v>
      </c>
      <c r="E579" s="235"/>
      <c r="F579" s="235" t="s">
        <v>444</v>
      </c>
      <c r="G579" s="235"/>
      <c r="H579" s="235" t="s">
        <v>444</v>
      </c>
      <c r="I579" s="235"/>
      <c r="J579" s="254" t="s">
        <v>741</v>
      </c>
      <c r="K579" s="254"/>
      <c r="L579" s="9" t="s">
        <v>987</v>
      </c>
      <c r="M579" s="74" t="e">
        <f>VLOOKUP(L579,Casilleros!$A$4:$Q$830,17,FALSE)</f>
        <v>#REF!</v>
      </c>
      <c r="N579" s="9" t="s">
        <v>988</v>
      </c>
      <c r="O579" s="55" t="e">
        <f>VLOOKUP(N579,Casilleros!$A$4:$Q$830,17,FALSE)</f>
        <v>#REF!</v>
      </c>
      <c r="S579" s="61" t="str">
        <f t="shared" si="108"/>
        <v>.</v>
      </c>
      <c r="T579" s="64" t="str">
        <f t="shared" si="111"/>
        <v>ESTADO DEL RESULTADO INTEGRAL</v>
      </c>
      <c r="U579" s="64" t="str">
        <f t="shared" si="112"/>
        <v>COSTOS Y GASTOS</v>
      </c>
      <c r="V579" s="64" t="str">
        <f t="shared" si="105"/>
        <v>OTROS GASTOS</v>
      </c>
      <c r="W579" s="64" t="str">
        <f t="shared" si="106"/>
        <v>Arrendamientos operativos</v>
      </c>
      <c r="X579" s="64" t="str">
        <f t="shared" si="113"/>
        <v/>
      </c>
      <c r="Y579" s="64" t="str">
        <f t="shared" si="114"/>
        <v/>
      </c>
      <c r="Z579" s="64" t="str">
        <f t="shared" si="115"/>
        <v/>
      </c>
      <c r="AA579" s="64" t="str">
        <f t="shared" si="109"/>
        <v>OTROS GASTOS_Arrendamientos operativos_Costo</v>
      </c>
      <c r="AC579" s="76" t="s">
        <v>987</v>
      </c>
      <c r="AD579" s="76" t="s">
        <v>561</v>
      </c>
      <c r="AE579" s="76" t="s">
        <v>789</v>
      </c>
      <c r="AF579" s="76" t="s">
        <v>12</v>
      </c>
      <c r="AG579" s="76" t="s">
        <v>986</v>
      </c>
      <c r="AH579" s="76" t="s">
        <v>444</v>
      </c>
      <c r="AI579" s="76" t="s">
        <v>444</v>
      </c>
      <c r="AJ579" s="76" t="s">
        <v>444</v>
      </c>
      <c r="AK579" s="76" t="s">
        <v>1430</v>
      </c>
      <c r="AL579" s="76"/>
      <c r="AM579" s="9" t="s">
        <v>988</v>
      </c>
      <c r="AN579" s="81" t="s">
        <v>561</v>
      </c>
      <c r="AO579" s="81" t="s">
        <v>789</v>
      </c>
      <c r="AP579" s="81" t="s">
        <v>12</v>
      </c>
      <c r="AQ579" s="81" t="s">
        <v>986</v>
      </c>
      <c r="AR579" s="81" t="s">
        <v>444</v>
      </c>
      <c r="AS579" s="81" t="s">
        <v>444</v>
      </c>
      <c r="AT579" s="81" t="s">
        <v>444</v>
      </c>
      <c r="AU579" s="81" t="s">
        <v>2116</v>
      </c>
      <c r="AV579" s="81" t="str">
        <f t="shared" si="110"/>
        <v>GND_GND_OTROS GASTOS_Arrendamientos operativos_Costo&amp;Gasto&amp;Gasto</v>
      </c>
    </row>
    <row r="580" spans="1:48">
      <c r="A580" s="53"/>
      <c r="B580" s="53"/>
      <c r="C580" s="53"/>
      <c r="D580" s="235" t="s">
        <v>989</v>
      </c>
      <c r="E580" s="235"/>
      <c r="F580" s="235" t="s">
        <v>444</v>
      </c>
      <c r="G580" s="235"/>
      <c r="H580" s="235" t="s">
        <v>444</v>
      </c>
      <c r="I580" s="235"/>
      <c r="J580" s="9" t="s">
        <v>990</v>
      </c>
      <c r="K580" s="55" t="e">
        <f>VLOOKUP(J580,Casilleros!$A$4:$Q$830,17,FALSE)</f>
        <v>#REF!</v>
      </c>
      <c r="L580" s="9" t="s">
        <v>991</v>
      </c>
      <c r="M580" s="74" t="e">
        <f>VLOOKUP(L580,Casilleros!$A$4:$Q$830,17,FALSE)</f>
        <v>#REF!</v>
      </c>
      <c r="N580" s="9" t="s">
        <v>992</v>
      </c>
      <c r="O580" s="55" t="e">
        <f>VLOOKUP(N580,Casilleros!$A$4:$Q$830,17,FALSE)</f>
        <v>#REF!</v>
      </c>
      <c r="S580" s="61" t="str">
        <f t="shared" si="108"/>
        <v>7190</v>
      </c>
      <c r="T580" s="64" t="str">
        <f t="shared" si="111"/>
        <v>ESTADO DEL RESULTADO INTEGRAL</v>
      </c>
      <c r="U580" s="64" t="str">
        <f t="shared" si="112"/>
        <v>COSTOS Y GASTOS</v>
      </c>
      <c r="V580" s="64" t="str">
        <f t="shared" si="105"/>
        <v>OTROS GASTOS</v>
      </c>
      <c r="W580" s="64" t="str">
        <f t="shared" si="106"/>
        <v>Suministros, herramientas, materiales y repuestos</v>
      </c>
      <c r="X580" s="64" t="str">
        <f t="shared" si="113"/>
        <v/>
      </c>
      <c r="Y580" s="64" t="str">
        <f t="shared" si="114"/>
        <v/>
      </c>
      <c r="Z580" s="64" t="str">
        <f t="shared" si="115"/>
        <v/>
      </c>
      <c r="AA580" s="64" t="str">
        <f t="shared" si="109"/>
        <v>OTROS GASTOS_Suministros, herramientas, materiales y repuestos_Costo</v>
      </c>
      <c r="AC580" s="76" t="s">
        <v>991</v>
      </c>
      <c r="AD580" s="76" t="s">
        <v>561</v>
      </c>
      <c r="AE580" s="76" t="s">
        <v>789</v>
      </c>
      <c r="AF580" s="76" t="s">
        <v>12</v>
      </c>
      <c r="AG580" s="76" t="s">
        <v>989</v>
      </c>
      <c r="AH580" s="76" t="s">
        <v>444</v>
      </c>
      <c r="AI580" s="76" t="s">
        <v>444</v>
      </c>
      <c r="AJ580" s="76" t="s">
        <v>444</v>
      </c>
      <c r="AK580" s="76" t="s">
        <v>1431</v>
      </c>
      <c r="AL580" s="76"/>
      <c r="AM580" s="9" t="s">
        <v>992</v>
      </c>
      <c r="AN580" s="81" t="s">
        <v>561</v>
      </c>
      <c r="AO580" s="81" t="s">
        <v>789</v>
      </c>
      <c r="AP580" s="81" t="s">
        <v>12</v>
      </c>
      <c r="AQ580" s="81" t="s">
        <v>989</v>
      </c>
      <c r="AR580" s="81" t="s">
        <v>444</v>
      </c>
      <c r="AS580" s="81" t="s">
        <v>444</v>
      </c>
      <c r="AT580" s="81" t="s">
        <v>444</v>
      </c>
      <c r="AU580" s="81" t="s">
        <v>2117</v>
      </c>
      <c r="AV580" s="81" t="str">
        <f t="shared" si="110"/>
        <v>GND_GND_OTROS GASTOS_Suministros, herramientas, materiales y repuestos_Costo&amp;Gasto&amp;Gasto</v>
      </c>
    </row>
    <row r="581" spans="1:48">
      <c r="A581" s="53"/>
      <c r="B581" s="53"/>
      <c r="C581" s="53"/>
      <c r="D581" s="235" t="s">
        <v>993</v>
      </c>
      <c r="E581" s="235"/>
      <c r="F581" s="235" t="s">
        <v>444</v>
      </c>
      <c r="G581" s="235"/>
      <c r="H581" s="235" t="s">
        <v>444</v>
      </c>
      <c r="I581" s="235"/>
      <c r="J581" s="254" t="s">
        <v>741</v>
      </c>
      <c r="K581" s="254"/>
      <c r="L581" s="9" t="s">
        <v>994</v>
      </c>
      <c r="M581" s="74" t="e">
        <f>VLOOKUP(L581,Casilleros!$A$4:$Q$830,17,FALSE)</f>
        <v>#REF!</v>
      </c>
      <c r="N581" s="9" t="s">
        <v>995</v>
      </c>
      <c r="O581" s="55" t="e">
        <f>VLOOKUP(N581,Casilleros!$A$4:$Q$830,17,FALSE)</f>
        <v>#REF!</v>
      </c>
      <c r="S581" s="61" t="str">
        <f t="shared" si="108"/>
        <v>.</v>
      </c>
      <c r="T581" s="64" t="str">
        <f t="shared" si="111"/>
        <v>ESTADO DEL RESULTADO INTEGRAL</v>
      </c>
      <c r="U581" s="64" t="str">
        <f t="shared" si="112"/>
        <v>COSTOS Y GASTOS</v>
      </c>
      <c r="V581" s="64" t="str">
        <f t="shared" si="105"/>
        <v>OTROS GASTOS</v>
      </c>
      <c r="W581" s="64" t="str">
        <f t="shared" si="106"/>
        <v>Pérdida en la enajenación de derechos representativos de capital</v>
      </c>
      <c r="X581" s="64" t="str">
        <f t="shared" si="113"/>
        <v/>
      </c>
      <c r="Y581" s="64" t="str">
        <f t="shared" si="114"/>
        <v/>
      </c>
      <c r="Z581" s="64" t="str">
        <f t="shared" si="115"/>
        <v/>
      </c>
      <c r="AA581" s="64" t="str">
        <f t="shared" si="109"/>
        <v>OTROS GASTOS_Pérdida en la enajenación de derechos representativos de capital_Costo</v>
      </c>
      <c r="AC581" s="76" t="s">
        <v>994</v>
      </c>
      <c r="AD581" s="76" t="s">
        <v>561</v>
      </c>
      <c r="AE581" s="76" t="s">
        <v>789</v>
      </c>
      <c r="AF581" s="76" t="s">
        <v>12</v>
      </c>
      <c r="AG581" s="76" t="s">
        <v>993</v>
      </c>
      <c r="AH581" s="76" t="s">
        <v>444</v>
      </c>
      <c r="AI581" s="76" t="s">
        <v>444</v>
      </c>
      <c r="AJ581" s="76" t="s">
        <v>444</v>
      </c>
      <c r="AK581" s="76" t="s">
        <v>1432</v>
      </c>
      <c r="AL581" s="76"/>
      <c r="AM581" s="9" t="s">
        <v>995</v>
      </c>
      <c r="AN581" s="81" t="s">
        <v>561</v>
      </c>
      <c r="AO581" s="81" t="s">
        <v>789</v>
      </c>
      <c r="AP581" s="81" t="s">
        <v>12</v>
      </c>
      <c r="AQ581" s="81" t="s">
        <v>993</v>
      </c>
      <c r="AR581" s="81" t="s">
        <v>444</v>
      </c>
      <c r="AS581" s="81" t="s">
        <v>444</v>
      </c>
      <c r="AT581" s="81" t="s">
        <v>444</v>
      </c>
      <c r="AU581" s="81" t="s">
        <v>2118</v>
      </c>
      <c r="AV581" s="81" t="str">
        <f t="shared" si="110"/>
        <v>GND_GND_OTROS GASTOS_Pérdida en la enajenación de derechos representativos de capital_Costo&amp;Gasto&amp;Gasto</v>
      </c>
    </row>
    <row r="582" spans="1:48">
      <c r="A582" s="53"/>
      <c r="B582" s="53"/>
      <c r="C582" s="53"/>
      <c r="D582" s="235" t="s">
        <v>996</v>
      </c>
      <c r="E582" s="235"/>
      <c r="F582" s="235" t="s">
        <v>444</v>
      </c>
      <c r="G582" s="235"/>
      <c r="H582" s="235" t="s">
        <v>444</v>
      </c>
      <c r="I582" s="235"/>
      <c r="J582" s="9" t="s">
        <v>997</v>
      </c>
      <c r="K582" s="55" t="e">
        <f>VLOOKUP(J582,Casilleros!$A$4:$Q$830,17,FALSE)</f>
        <v>#REF!</v>
      </c>
      <c r="L582" s="9" t="s">
        <v>998</v>
      </c>
      <c r="M582" s="74" t="e">
        <f>VLOOKUP(L582,Casilleros!$A$4:$Q$830,17,FALSE)</f>
        <v>#REF!</v>
      </c>
      <c r="N582" s="9" t="s">
        <v>999</v>
      </c>
      <c r="O582" s="55" t="e">
        <f>VLOOKUP(N582,Casilleros!$A$4:$Q$830,17,FALSE)</f>
        <v>#REF!</v>
      </c>
      <c r="S582" s="61" t="str">
        <f t="shared" si="108"/>
        <v>7196</v>
      </c>
      <c r="T582" s="64" t="str">
        <f t="shared" si="111"/>
        <v>ESTADO DEL RESULTADO INTEGRAL</v>
      </c>
      <c r="U582" s="64" t="str">
        <f t="shared" si="112"/>
        <v>COSTOS Y GASTOS</v>
      </c>
      <c r="V582" s="64" t="str">
        <f t="shared" si="105"/>
        <v>OTROS GASTOS</v>
      </c>
      <c r="W582" s="64" t="str">
        <f t="shared" si="106"/>
        <v>Mantenimiento y reparaciones</v>
      </c>
      <c r="X582" s="64" t="str">
        <f t="shared" si="113"/>
        <v/>
      </c>
      <c r="Y582" s="64" t="str">
        <f t="shared" si="114"/>
        <v/>
      </c>
      <c r="Z582" s="64" t="str">
        <f t="shared" si="115"/>
        <v/>
      </c>
      <c r="AA582" s="64" t="str">
        <f t="shared" si="109"/>
        <v>OTROS GASTOS_Mantenimiento y reparaciones_Costo</v>
      </c>
      <c r="AC582" s="76" t="s">
        <v>998</v>
      </c>
      <c r="AD582" s="76" t="s">
        <v>561</v>
      </c>
      <c r="AE582" s="76" t="s">
        <v>789</v>
      </c>
      <c r="AF582" s="76" t="s">
        <v>12</v>
      </c>
      <c r="AG582" s="76" t="s">
        <v>996</v>
      </c>
      <c r="AH582" s="76" t="s">
        <v>444</v>
      </c>
      <c r="AI582" s="76" t="s">
        <v>444</v>
      </c>
      <c r="AJ582" s="76" t="s">
        <v>444</v>
      </c>
      <c r="AK582" s="76" t="s">
        <v>1433</v>
      </c>
      <c r="AL582" s="76"/>
      <c r="AM582" s="9" t="s">
        <v>999</v>
      </c>
      <c r="AN582" s="81" t="s">
        <v>561</v>
      </c>
      <c r="AO582" s="81" t="s">
        <v>789</v>
      </c>
      <c r="AP582" s="81" t="s">
        <v>12</v>
      </c>
      <c r="AQ582" s="81" t="s">
        <v>996</v>
      </c>
      <c r="AR582" s="81" t="s">
        <v>444</v>
      </c>
      <c r="AS582" s="81" t="s">
        <v>444</v>
      </c>
      <c r="AT582" s="81" t="s">
        <v>444</v>
      </c>
      <c r="AU582" s="81" t="s">
        <v>2119</v>
      </c>
      <c r="AV582" s="81" t="str">
        <f t="shared" si="110"/>
        <v>GND_GND_OTROS GASTOS_Mantenimiento y reparaciones_Costo&amp;Gasto&amp;Gasto</v>
      </c>
    </row>
    <row r="583" spans="1:48">
      <c r="A583" s="53"/>
      <c r="B583" s="53"/>
      <c r="C583" s="53"/>
      <c r="D583" s="235" t="s">
        <v>1000</v>
      </c>
      <c r="E583" s="235"/>
      <c r="F583" s="235" t="s">
        <v>444</v>
      </c>
      <c r="G583" s="235"/>
      <c r="H583" s="235" t="s">
        <v>444</v>
      </c>
      <c r="I583" s="235"/>
      <c r="J583" s="9" t="s">
        <v>1001</v>
      </c>
      <c r="K583" s="55" t="e">
        <f>VLOOKUP(J583,Casilleros!$A$4:$Q$830,17,FALSE)</f>
        <v>#REF!</v>
      </c>
      <c r="L583" s="9" t="s">
        <v>1002</v>
      </c>
      <c r="M583" s="55" t="e">
        <f>VLOOKUP(L583,Casilleros!$A$4:$Q$830,17,FALSE)</f>
        <v>#REF!</v>
      </c>
      <c r="N583" s="9" t="s">
        <v>1003</v>
      </c>
      <c r="O583" s="55" t="e">
        <f>VLOOKUP(N583,Casilleros!$A$4:$Q$830,17,FALSE)</f>
        <v>#REF!</v>
      </c>
      <c r="S583" s="61" t="str">
        <f t="shared" si="108"/>
        <v>7199</v>
      </c>
      <c r="T583" s="64" t="str">
        <f t="shared" si="111"/>
        <v>ESTADO DEL RESULTADO INTEGRAL</v>
      </c>
      <c r="U583" s="64" t="str">
        <f t="shared" si="112"/>
        <v>COSTOS Y GASTOS</v>
      </c>
      <c r="V583" s="64" t="str">
        <f t="shared" si="105"/>
        <v>OTROS GASTOS</v>
      </c>
      <c r="W583" s="64" t="str">
        <f t="shared" si="106"/>
        <v>Mermas</v>
      </c>
      <c r="X583" s="64" t="str">
        <f t="shared" si="113"/>
        <v/>
      </c>
      <c r="Y583" s="64" t="str">
        <f t="shared" si="114"/>
        <v/>
      </c>
      <c r="Z583" s="64" t="str">
        <f t="shared" si="115"/>
        <v/>
      </c>
      <c r="AA583" s="64" t="str">
        <f t="shared" si="109"/>
        <v>OTROS GASTOS_Mermas_Costo</v>
      </c>
      <c r="AC583" s="76" t="s">
        <v>1002</v>
      </c>
      <c r="AD583" s="76" t="s">
        <v>561</v>
      </c>
      <c r="AE583" s="76" t="s">
        <v>789</v>
      </c>
      <c r="AF583" s="76" t="s">
        <v>12</v>
      </c>
      <c r="AG583" s="76" t="s">
        <v>1000</v>
      </c>
      <c r="AH583" s="76" t="s">
        <v>444</v>
      </c>
      <c r="AI583" s="76" t="s">
        <v>444</v>
      </c>
      <c r="AJ583" s="76" t="s">
        <v>444</v>
      </c>
      <c r="AK583" s="76" t="s">
        <v>1434</v>
      </c>
      <c r="AL583" s="76"/>
      <c r="AM583" s="9" t="s">
        <v>1003</v>
      </c>
      <c r="AN583" s="81" t="s">
        <v>561</v>
      </c>
      <c r="AO583" s="81" t="s">
        <v>789</v>
      </c>
      <c r="AP583" s="81" t="s">
        <v>12</v>
      </c>
      <c r="AQ583" s="81" t="s">
        <v>1000</v>
      </c>
      <c r="AR583" s="81" t="s">
        <v>444</v>
      </c>
      <c r="AS583" s="81" t="s">
        <v>444</v>
      </c>
      <c r="AT583" s="81" t="s">
        <v>444</v>
      </c>
      <c r="AU583" s="81" t="s">
        <v>2120</v>
      </c>
      <c r="AV583" s="81" t="str">
        <f t="shared" si="110"/>
        <v>GND_GND_OTROS GASTOS_Mermas_Costo&amp;Gasto&amp;Gasto</v>
      </c>
    </row>
    <row r="584" spans="1:48">
      <c r="A584" s="53"/>
      <c r="B584" s="53"/>
      <c r="C584" s="53"/>
      <c r="D584" s="235" t="s">
        <v>1004</v>
      </c>
      <c r="E584" s="235"/>
      <c r="F584" s="235" t="s">
        <v>444</v>
      </c>
      <c r="G584" s="235"/>
      <c r="H584" s="235" t="s">
        <v>444</v>
      </c>
      <c r="I584" s="235"/>
      <c r="J584" s="9" t="s">
        <v>1005</v>
      </c>
      <c r="K584" s="55" t="e">
        <f>VLOOKUP(J584,Casilleros!$A$4:$Q$830,17,FALSE)</f>
        <v>#REF!</v>
      </c>
      <c r="L584" s="9" t="s">
        <v>1006</v>
      </c>
      <c r="M584" s="55" t="e">
        <f>VLOOKUP(L584,Casilleros!$A$4:$Q$830,17,FALSE)</f>
        <v>#REF!</v>
      </c>
      <c r="N584" s="9" t="s">
        <v>1007</v>
      </c>
      <c r="O584" s="55" t="e">
        <f>VLOOKUP(N584,Casilleros!$A$4:$Q$830,17,FALSE)</f>
        <v>#REF!</v>
      </c>
      <c r="S584" s="61" t="str">
        <f t="shared" si="108"/>
        <v>7202</v>
      </c>
      <c r="T584" s="64" t="str">
        <f t="shared" si="111"/>
        <v>ESTADO DEL RESULTADO INTEGRAL</v>
      </c>
      <c r="U584" s="64" t="str">
        <f t="shared" si="112"/>
        <v>COSTOS Y GASTOS</v>
      </c>
      <c r="V584" s="64" t="str">
        <f t="shared" si="105"/>
        <v>OTROS GASTOS</v>
      </c>
      <c r="W584" s="64" t="str">
        <f t="shared" si="106"/>
        <v xml:space="preserve">Seguros y reaseguros (primas y cesiones) </v>
      </c>
      <c r="X584" s="64" t="str">
        <f t="shared" si="113"/>
        <v/>
      </c>
      <c r="Y584" s="64" t="str">
        <f t="shared" si="114"/>
        <v/>
      </c>
      <c r="Z584" s="64" t="str">
        <f t="shared" si="115"/>
        <v/>
      </c>
      <c r="AA584" s="64" t="str">
        <f t="shared" si="109"/>
        <v>OTROS GASTOS_Seguros y reaseguros (primas y cesiones) _Costo</v>
      </c>
      <c r="AC584" s="76" t="s">
        <v>1006</v>
      </c>
      <c r="AD584" s="76" t="s">
        <v>561</v>
      </c>
      <c r="AE584" s="76" t="s">
        <v>789</v>
      </c>
      <c r="AF584" s="76" t="s">
        <v>12</v>
      </c>
      <c r="AG584" s="76" t="s">
        <v>1004</v>
      </c>
      <c r="AH584" s="76" t="s">
        <v>444</v>
      </c>
      <c r="AI584" s="76" t="s">
        <v>444</v>
      </c>
      <c r="AJ584" s="76" t="s">
        <v>444</v>
      </c>
      <c r="AK584" s="76" t="s">
        <v>1435</v>
      </c>
      <c r="AL584" s="76"/>
      <c r="AM584" s="9" t="s">
        <v>1007</v>
      </c>
      <c r="AN584" s="81" t="s">
        <v>561</v>
      </c>
      <c r="AO584" s="81" t="s">
        <v>789</v>
      </c>
      <c r="AP584" s="81" t="s">
        <v>12</v>
      </c>
      <c r="AQ584" s="81" t="s">
        <v>1004</v>
      </c>
      <c r="AR584" s="81" t="s">
        <v>444</v>
      </c>
      <c r="AS584" s="81" t="s">
        <v>444</v>
      </c>
      <c r="AT584" s="81" t="s">
        <v>444</v>
      </c>
      <c r="AU584" s="81" t="s">
        <v>2121</v>
      </c>
      <c r="AV584" s="81" t="str">
        <f t="shared" si="110"/>
        <v>GND_GND_OTROS GASTOS_Seguros y reaseguros (primas y cesiones) _Costo&amp;Gasto&amp;Gasto</v>
      </c>
    </row>
    <row r="585" spans="1:48">
      <c r="A585" s="53"/>
      <c r="B585" s="53"/>
      <c r="C585" s="53"/>
      <c r="D585" s="235" t="s">
        <v>1008</v>
      </c>
      <c r="E585" s="235"/>
      <c r="F585" s="235" t="s">
        <v>444</v>
      </c>
      <c r="G585" s="235"/>
      <c r="H585" s="235" t="s">
        <v>444</v>
      </c>
      <c r="I585" s="235"/>
      <c r="J585" s="9" t="s">
        <v>1009</v>
      </c>
      <c r="K585" s="55" t="e">
        <f>VLOOKUP(J585,Casilleros!$A$4:$Q$830,17,FALSE)</f>
        <v>#REF!</v>
      </c>
      <c r="L585" s="9" t="s">
        <v>1010</v>
      </c>
      <c r="M585" s="55" t="e">
        <f>VLOOKUP(L585,Casilleros!$A$4:$Q$830,17,FALSE)</f>
        <v>#REF!</v>
      </c>
      <c r="N585" s="9" t="s">
        <v>1011</v>
      </c>
      <c r="O585" s="55" t="e">
        <f>VLOOKUP(N585,Casilleros!$A$4:$Q$830,17,FALSE)</f>
        <v>#REF!</v>
      </c>
      <c r="S585" s="61" t="str">
        <f t="shared" si="108"/>
        <v>7205</v>
      </c>
      <c r="T585" s="64" t="str">
        <f t="shared" si="111"/>
        <v>ESTADO DEL RESULTADO INTEGRAL</v>
      </c>
      <c r="U585" s="64" t="str">
        <f t="shared" si="112"/>
        <v>COSTOS Y GASTOS</v>
      </c>
      <c r="V585" s="64" t="str">
        <f t="shared" si="105"/>
        <v>OTROS GASTOS</v>
      </c>
      <c r="W585" s="64" t="str">
        <f t="shared" si="106"/>
        <v>Gastos indirectos asignados desde el exterior por partes relacionadas</v>
      </c>
      <c r="X585" s="64" t="str">
        <f t="shared" si="113"/>
        <v/>
      </c>
      <c r="Y585" s="64" t="str">
        <f t="shared" si="114"/>
        <v/>
      </c>
      <c r="Z585" s="64" t="str">
        <f t="shared" si="115"/>
        <v/>
      </c>
      <c r="AA585" s="64" t="str">
        <f t="shared" si="109"/>
        <v>OTROS GASTOS_Gastos indirectos asignados desde el exterior por partes relacionadas_Costo</v>
      </c>
      <c r="AC585" s="76" t="s">
        <v>1010</v>
      </c>
      <c r="AD585" s="76" t="s">
        <v>561</v>
      </c>
      <c r="AE585" s="76" t="s">
        <v>789</v>
      </c>
      <c r="AF585" s="76" t="s">
        <v>12</v>
      </c>
      <c r="AG585" s="76" t="s">
        <v>1008</v>
      </c>
      <c r="AH585" s="76" t="s">
        <v>444</v>
      </c>
      <c r="AI585" s="76" t="s">
        <v>444</v>
      </c>
      <c r="AJ585" s="76" t="s">
        <v>444</v>
      </c>
      <c r="AK585" s="76" t="s">
        <v>1436</v>
      </c>
      <c r="AL585" s="76"/>
      <c r="AM585" s="9" t="s">
        <v>1011</v>
      </c>
      <c r="AN585" s="81" t="s">
        <v>561</v>
      </c>
      <c r="AO585" s="81" t="s">
        <v>789</v>
      </c>
      <c r="AP585" s="81" t="s">
        <v>12</v>
      </c>
      <c r="AQ585" s="81" t="s">
        <v>1008</v>
      </c>
      <c r="AR585" s="81" t="s">
        <v>444</v>
      </c>
      <c r="AS585" s="81" t="s">
        <v>444</v>
      </c>
      <c r="AT585" s="81" t="s">
        <v>444</v>
      </c>
      <c r="AU585" s="81" t="s">
        <v>2122</v>
      </c>
      <c r="AV585" s="81" t="str">
        <f t="shared" si="110"/>
        <v>GND_GND_OTROS GASTOS_Gastos indirectos asignados desde el exterior por partes relacionadas_Costo&amp;Gasto&amp;Gasto</v>
      </c>
    </row>
    <row r="586" spans="1:48">
      <c r="A586" s="53"/>
      <c r="B586" s="53"/>
      <c r="C586" s="53"/>
      <c r="D586" s="235" t="s">
        <v>1012</v>
      </c>
      <c r="E586" s="235"/>
      <c r="F586" s="235" t="s">
        <v>444</v>
      </c>
      <c r="G586" s="235"/>
      <c r="H586" s="235" t="s">
        <v>444</v>
      </c>
      <c r="I586" s="235"/>
      <c r="J586" s="9" t="s">
        <v>1013</v>
      </c>
      <c r="K586" s="55" t="e">
        <f>VLOOKUP(J586,Casilleros!$A$4:$Q$830,17,FALSE)</f>
        <v>#REF!</v>
      </c>
      <c r="L586" s="9" t="s">
        <v>1014</v>
      </c>
      <c r="M586" s="55" t="e">
        <f>VLOOKUP(L586,Casilleros!$A$4:$Q$830,17,FALSE)</f>
        <v>#REF!</v>
      </c>
      <c r="N586" s="9" t="s">
        <v>1015</v>
      </c>
      <c r="O586" s="74" t="e">
        <f>VLOOKUP(N586,Casilleros!$A$4:$Q$830,17,FALSE)</f>
        <v>#REF!</v>
      </c>
      <c r="S586" s="61" t="str">
        <f t="shared" si="108"/>
        <v>7208</v>
      </c>
      <c r="T586" s="64" t="str">
        <f t="shared" si="111"/>
        <v>ESTADO DEL RESULTADO INTEGRAL</v>
      </c>
      <c r="U586" s="64" t="str">
        <f t="shared" si="112"/>
        <v>COSTOS Y GASTOS</v>
      </c>
      <c r="V586" s="64" t="str">
        <f t="shared" si="105"/>
        <v>OTROS GASTOS</v>
      </c>
      <c r="W586" s="64" t="str">
        <f t="shared" si="106"/>
        <v>Impuestos, contribuciones y otros</v>
      </c>
      <c r="X586" s="64" t="str">
        <f t="shared" si="113"/>
        <v/>
      </c>
      <c r="Y586" s="64" t="str">
        <f t="shared" si="114"/>
        <v/>
      </c>
      <c r="Z586" s="64" t="str">
        <f t="shared" si="115"/>
        <v/>
      </c>
      <c r="AA586" s="64" t="str">
        <f t="shared" si="109"/>
        <v>OTROS GASTOS_Impuestos, contribuciones y otros_Costo</v>
      </c>
      <c r="AC586" s="76" t="s">
        <v>1014</v>
      </c>
      <c r="AD586" s="76" t="s">
        <v>561</v>
      </c>
      <c r="AE586" s="76" t="s">
        <v>789</v>
      </c>
      <c r="AF586" s="76" t="s">
        <v>12</v>
      </c>
      <c r="AG586" s="76" t="s">
        <v>1012</v>
      </c>
      <c r="AH586" s="76" t="s">
        <v>444</v>
      </c>
      <c r="AI586" s="76" t="s">
        <v>444</v>
      </c>
      <c r="AJ586" s="76" t="s">
        <v>444</v>
      </c>
      <c r="AK586" s="76" t="s">
        <v>1437</v>
      </c>
      <c r="AL586" s="76"/>
      <c r="AM586" s="9" t="s">
        <v>1015</v>
      </c>
      <c r="AN586" s="81" t="s">
        <v>561</v>
      </c>
      <c r="AO586" s="81" t="s">
        <v>789</v>
      </c>
      <c r="AP586" s="81" t="s">
        <v>12</v>
      </c>
      <c r="AQ586" s="81" t="s">
        <v>1012</v>
      </c>
      <c r="AR586" s="81" t="s">
        <v>444</v>
      </c>
      <c r="AS586" s="81" t="s">
        <v>444</v>
      </c>
      <c r="AT586" s="81" t="s">
        <v>444</v>
      </c>
      <c r="AU586" s="81" t="s">
        <v>2123</v>
      </c>
      <c r="AV586" s="81" t="str">
        <f t="shared" si="110"/>
        <v>GND_GND_OTROS GASTOS_Impuestos, contribuciones y otros_Costo&amp;Gasto&amp;Gasto</v>
      </c>
    </row>
    <row r="587" spans="1:48">
      <c r="A587" s="53"/>
      <c r="B587" s="53"/>
      <c r="C587" s="53"/>
      <c r="D587" s="236" t="s">
        <v>1016</v>
      </c>
      <c r="E587" s="236"/>
      <c r="F587" s="236"/>
      <c r="G587" s="236"/>
      <c r="H587" s="236"/>
      <c r="I587" s="236"/>
      <c r="J587" s="236"/>
      <c r="K587" s="236"/>
      <c r="L587" s="236"/>
      <c r="M587" s="236"/>
      <c r="N587" s="236"/>
      <c r="O587" s="236"/>
      <c r="S587" s="61">
        <f t="shared" si="108"/>
        <v>0</v>
      </c>
      <c r="T587" s="64" t="str">
        <f t="shared" si="111"/>
        <v>ESTADO DEL RESULTADO INTEGRAL</v>
      </c>
      <c r="U587" s="64" t="str">
        <f t="shared" si="112"/>
        <v>COSTOS Y GASTOS</v>
      </c>
      <c r="V587" s="64" t="str">
        <f t="shared" si="105"/>
        <v>OTROS GASTOS</v>
      </c>
      <c r="W587" s="64" t="str">
        <f t="shared" si="106"/>
        <v>COMISIONES Y SIMILARES (DIFERENTES DE LAS COMISIONES POR OPERACIONES FINANCIERAS)</v>
      </c>
      <c r="X587" s="64" t="str">
        <f t="shared" si="113"/>
        <v/>
      </c>
      <c r="Y587" s="64" t="str">
        <f t="shared" si="114"/>
        <v/>
      </c>
      <c r="Z587" s="64" t="str">
        <f t="shared" si="115"/>
        <v/>
      </c>
      <c r="AA587" s="64" t="str">
        <f t="shared" si="109"/>
        <v>OTROS GASTOS_COMISIONES Y SIMILARES (DIFERENTES DE LAS COMISIONES POR OPERACIONES FINANCIERAS)_Costo</v>
      </c>
      <c r="AC587" s="76">
        <v>0</v>
      </c>
      <c r="AD587" s="76" t="s">
        <v>561</v>
      </c>
      <c r="AE587" s="76" t="s">
        <v>789</v>
      </c>
      <c r="AF587" s="76" t="s">
        <v>12</v>
      </c>
      <c r="AG587" s="76" t="s">
        <v>1016</v>
      </c>
      <c r="AH587" s="76" t="s">
        <v>444</v>
      </c>
      <c r="AI587" s="76" t="s">
        <v>444</v>
      </c>
      <c r="AJ587" s="76" t="s">
        <v>444</v>
      </c>
      <c r="AK587" s="76" t="s">
        <v>1438</v>
      </c>
      <c r="AL587" s="76"/>
      <c r="AM587" s="81"/>
      <c r="AN587" s="81" t="s">
        <v>561</v>
      </c>
      <c r="AO587" s="81" t="s">
        <v>789</v>
      </c>
      <c r="AP587" s="81" t="s">
        <v>12</v>
      </c>
      <c r="AQ587" s="81" t="s">
        <v>1016</v>
      </c>
      <c r="AR587" s="81" t="s">
        <v>444</v>
      </c>
      <c r="AS587" s="81" t="s">
        <v>444</v>
      </c>
      <c r="AT587" s="81" t="s">
        <v>444</v>
      </c>
      <c r="AU587" s="81" t="s">
        <v>2124</v>
      </c>
      <c r="AV587" s="81" t="str">
        <f t="shared" si="110"/>
        <v>GND_GND_OTROS GASTOS_COMISIONES Y SIMILARES (DIFERENTES DE LAS COMISIONES POR OPERACIONES FINANCIERAS)_Costo&amp;Gasto&amp;Gasto</v>
      </c>
    </row>
    <row r="588" spans="1:48">
      <c r="A588" s="53"/>
      <c r="B588" s="53"/>
      <c r="C588" s="53"/>
      <c r="D588" s="53"/>
      <c r="E588" s="239" t="s">
        <v>72</v>
      </c>
      <c r="F588" s="239"/>
      <c r="G588" s="239"/>
      <c r="H588" s="239"/>
      <c r="I588" s="239"/>
      <c r="J588" s="246" t="s">
        <v>144</v>
      </c>
      <c r="K588" s="246"/>
      <c r="L588" s="246" t="s">
        <v>11</v>
      </c>
      <c r="M588" s="246"/>
      <c r="N588" s="246" t="s">
        <v>791</v>
      </c>
      <c r="O588" s="246"/>
      <c r="S588" s="61" t="str">
        <f t="shared" si="108"/>
        <v>Costo</v>
      </c>
      <c r="T588" s="64" t="str">
        <f t="shared" si="111"/>
        <v>ESTADO DEL RESULTADO INTEGRAL</v>
      </c>
      <c r="U588" s="64" t="str">
        <f t="shared" si="112"/>
        <v>COSTOS Y GASTOS</v>
      </c>
      <c r="V588" s="64" t="str">
        <f t="shared" si="105"/>
        <v>OTROS GASTOS</v>
      </c>
      <c r="W588" s="64" t="str">
        <f t="shared" si="106"/>
        <v>COMISIONES Y SIMILARES (DIFERENTES DE LAS COMISIONES POR OPERACIONES FINANCIERAS)</v>
      </c>
      <c r="X588" s="64" t="str">
        <f t="shared" si="113"/>
        <v>RELACIONADAS</v>
      </c>
      <c r="Y588" s="64" t="str">
        <f t="shared" si="114"/>
        <v/>
      </c>
      <c r="Z588" s="64" t="str">
        <f t="shared" si="115"/>
        <v/>
      </c>
      <c r="AA588" s="64" t="str">
        <f t="shared" si="109"/>
        <v>COMISIONES Y SIMILARES (DIFERENTES DE LAS COMISIONES POR OPERACIONES FINANCIERAS)_RELACIONADAS___Costo</v>
      </c>
      <c r="AC588" s="76" t="s">
        <v>144</v>
      </c>
      <c r="AD588" s="76" t="s">
        <v>561</v>
      </c>
      <c r="AE588" s="76" t="s">
        <v>789</v>
      </c>
      <c r="AF588" s="76" t="s">
        <v>12</v>
      </c>
      <c r="AG588" s="76" t="s">
        <v>1016</v>
      </c>
      <c r="AH588" s="76" t="s">
        <v>72</v>
      </c>
      <c r="AI588" s="76" t="s">
        <v>444</v>
      </c>
      <c r="AJ588" s="76" t="s">
        <v>444</v>
      </c>
      <c r="AK588" s="76" t="s">
        <v>1439</v>
      </c>
      <c r="AL588" s="76"/>
      <c r="AM588" s="81"/>
      <c r="AN588" s="81" t="s">
        <v>561</v>
      </c>
      <c r="AO588" s="81" t="s">
        <v>789</v>
      </c>
      <c r="AP588" s="81" t="s">
        <v>12</v>
      </c>
      <c r="AQ588" s="81" t="s">
        <v>1016</v>
      </c>
      <c r="AR588" s="81" t="s">
        <v>72</v>
      </c>
      <c r="AS588" s="81" t="s">
        <v>444</v>
      </c>
      <c r="AT588" s="81" t="s">
        <v>444</v>
      </c>
      <c r="AU588" s="81" t="s">
        <v>2125</v>
      </c>
      <c r="AV588" s="81" t="str">
        <f t="shared" si="110"/>
        <v>GND_GND_COMISIONES Y SIMILARES (DIFERENTES DE LAS COMISIONES POR OPERACIONES FINANCIERAS)_RELACIONADAS___Costo&amp;Gasto&amp;Gasto</v>
      </c>
    </row>
    <row r="589" spans="1:48">
      <c r="A589" s="53"/>
      <c r="B589" s="53"/>
      <c r="C589" s="53"/>
      <c r="D589" s="53"/>
      <c r="E589" s="53"/>
      <c r="F589" s="235" t="s">
        <v>25</v>
      </c>
      <c r="G589" s="235"/>
      <c r="H589" s="235"/>
      <c r="I589" s="235"/>
      <c r="J589" s="9" t="s">
        <v>1017</v>
      </c>
      <c r="K589" s="55" t="e">
        <f>VLOOKUP(J589,Casilleros!$A$4:$Q$830,17,FALSE)</f>
        <v>#REF!</v>
      </c>
      <c r="L589" s="9" t="s">
        <v>1018</v>
      </c>
      <c r="M589" s="55" t="e">
        <f>VLOOKUP(L589,Casilleros!$A$4:$Q$830,17,FALSE)</f>
        <v>#REF!</v>
      </c>
      <c r="N589" s="9" t="s">
        <v>1019</v>
      </c>
      <c r="O589" s="55" t="e">
        <f>VLOOKUP(N589,Casilleros!$A$4:$Q$830,17,FALSE)</f>
        <v>#REF!</v>
      </c>
      <c r="S589" s="61" t="str">
        <f t="shared" si="108"/>
        <v>7211</v>
      </c>
      <c r="T589" s="64" t="str">
        <f t="shared" si="111"/>
        <v>ESTADO DEL RESULTADO INTEGRAL</v>
      </c>
      <c r="U589" s="64" t="str">
        <f t="shared" si="112"/>
        <v>COSTOS Y GASTOS</v>
      </c>
      <c r="V589" s="64" t="str">
        <f t="shared" si="105"/>
        <v>OTROS GASTOS</v>
      </c>
      <c r="W589" s="64" t="str">
        <f t="shared" si="106"/>
        <v>COMISIONES Y SIMILARES (DIFERENTES DE LAS COMISIONES POR OPERACIONES FINANCIERAS)</v>
      </c>
      <c r="X589" s="64" t="str">
        <f t="shared" si="113"/>
        <v>RELACIONADAS</v>
      </c>
      <c r="Y589" s="64" t="str">
        <f t="shared" si="114"/>
        <v>Local</v>
      </c>
      <c r="Z589" s="64" t="str">
        <f t="shared" si="115"/>
        <v/>
      </c>
      <c r="AA589" s="64" t="str">
        <f t="shared" si="109"/>
        <v>COMISIONES Y SIMILARES (DIFERENTES DE LAS COMISIONES POR OPERACIONES FINANCIERAS)_RELACIONADAS_Local__Costo</v>
      </c>
      <c r="AC589" s="76" t="s">
        <v>1018</v>
      </c>
      <c r="AD589" s="76" t="s">
        <v>561</v>
      </c>
      <c r="AE589" s="76" t="s">
        <v>789</v>
      </c>
      <c r="AF589" s="76" t="s">
        <v>12</v>
      </c>
      <c r="AG589" s="76" t="s">
        <v>1016</v>
      </c>
      <c r="AH589" s="76" t="s">
        <v>72</v>
      </c>
      <c r="AI589" s="76" t="s">
        <v>25</v>
      </c>
      <c r="AJ589" s="76" t="s">
        <v>444</v>
      </c>
      <c r="AK589" s="76" t="s">
        <v>1440</v>
      </c>
      <c r="AL589" s="76"/>
      <c r="AM589" s="9" t="s">
        <v>1019</v>
      </c>
      <c r="AN589" s="81" t="s">
        <v>561</v>
      </c>
      <c r="AO589" s="81" t="s">
        <v>789</v>
      </c>
      <c r="AP589" s="81" t="s">
        <v>12</v>
      </c>
      <c r="AQ589" s="81" t="s">
        <v>1016</v>
      </c>
      <c r="AR589" s="81" t="s">
        <v>72</v>
      </c>
      <c r="AS589" s="81" t="s">
        <v>25</v>
      </c>
      <c r="AT589" s="81" t="s">
        <v>444</v>
      </c>
      <c r="AU589" s="81" t="s">
        <v>2126</v>
      </c>
      <c r="AV589" s="81" t="str">
        <f t="shared" si="110"/>
        <v>GND_GND_COMISIONES Y SIMILARES (DIFERENTES DE LAS COMISIONES POR OPERACIONES FINANCIERAS)_RELACIONADAS_Local__Costo&amp;Gasto&amp;Gasto</v>
      </c>
    </row>
    <row r="590" spans="1:48">
      <c r="A590" s="53"/>
      <c r="B590" s="53"/>
      <c r="C590" s="53"/>
      <c r="D590" s="53"/>
      <c r="E590" s="53"/>
      <c r="F590" s="235" t="s">
        <v>26</v>
      </c>
      <c r="G590" s="235"/>
      <c r="H590" s="235"/>
      <c r="I590" s="235"/>
      <c r="J590" s="9" t="s">
        <v>1020</v>
      </c>
      <c r="K590" s="55" t="e">
        <f>VLOOKUP(J590,Casilleros!$A$4:$Q$830,17,FALSE)</f>
        <v>#REF!</v>
      </c>
      <c r="L590" s="9" t="s">
        <v>1021</v>
      </c>
      <c r="M590" s="55" t="e">
        <f>VLOOKUP(L590,Casilleros!$A$4:$Q$830,17,FALSE)</f>
        <v>#REF!</v>
      </c>
      <c r="N590" s="9" t="s">
        <v>1022</v>
      </c>
      <c r="O590" s="55" t="e">
        <f>VLOOKUP(N590,Casilleros!$A$4:$Q$830,17,FALSE)</f>
        <v>#REF!</v>
      </c>
      <c r="S590" s="61" t="str">
        <f t="shared" si="108"/>
        <v>7214</v>
      </c>
      <c r="T590" s="64" t="str">
        <f t="shared" si="111"/>
        <v>ESTADO DEL RESULTADO INTEGRAL</v>
      </c>
      <c r="U590" s="64" t="str">
        <f t="shared" si="112"/>
        <v>COSTOS Y GASTOS</v>
      </c>
      <c r="V590" s="64" t="str">
        <f t="shared" si="105"/>
        <v>OTROS GASTOS</v>
      </c>
      <c r="W590" s="64" t="str">
        <f t="shared" si="106"/>
        <v>COMISIONES Y SIMILARES (DIFERENTES DE LAS COMISIONES POR OPERACIONES FINANCIERAS)</v>
      </c>
      <c r="X590" s="64" t="str">
        <f t="shared" si="113"/>
        <v>RELACIONADAS</v>
      </c>
      <c r="Y590" s="64" t="str">
        <f t="shared" si="114"/>
        <v>Del exterior</v>
      </c>
      <c r="Z590" s="64" t="str">
        <f t="shared" si="115"/>
        <v/>
      </c>
      <c r="AA590" s="64" t="str">
        <f t="shared" si="109"/>
        <v>COMISIONES Y SIMILARES (DIFERENTES DE LAS COMISIONES POR OPERACIONES FINANCIERAS)_RELACIONADAS_Del exterior__Costo</v>
      </c>
      <c r="AC590" s="76" t="s">
        <v>1021</v>
      </c>
      <c r="AD590" s="76" t="s">
        <v>561</v>
      </c>
      <c r="AE590" s="76" t="s">
        <v>789</v>
      </c>
      <c r="AF590" s="76" t="s">
        <v>12</v>
      </c>
      <c r="AG590" s="76" t="s">
        <v>1016</v>
      </c>
      <c r="AH590" s="76" t="s">
        <v>72</v>
      </c>
      <c r="AI590" s="76" t="s">
        <v>26</v>
      </c>
      <c r="AJ590" s="76" t="s">
        <v>444</v>
      </c>
      <c r="AK590" s="76" t="s">
        <v>1441</v>
      </c>
      <c r="AL590" s="76"/>
      <c r="AM590" s="9" t="s">
        <v>1022</v>
      </c>
      <c r="AN590" s="81" t="s">
        <v>561</v>
      </c>
      <c r="AO590" s="81" t="s">
        <v>789</v>
      </c>
      <c r="AP590" s="81" t="s">
        <v>12</v>
      </c>
      <c r="AQ590" s="81" t="s">
        <v>1016</v>
      </c>
      <c r="AR590" s="81" t="s">
        <v>72</v>
      </c>
      <c r="AS590" s="81" t="s">
        <v>26</v>
      </c>
      <c r="AT590" s="81" t="s">
        <v>444</v>
      </c>
      <c r="AU590" s="81" t="s">
        <v>2127</v>
      </c>
      <c r="AV590" s="81" t="str">
        <f t="shared" si="110"/>
        <v>GND_GND_COMISIONES Y SIMILARES (DIFERENTES DE LAS COMISIONES POR OPERACIONES FINANCIERAS)_RELACIONADAS_Del exterior__Costo&amp;Gasto&amp;Gasto</v>
      </c>
    </row>
    <row r="591" spans="1:48">
      <c r="A591" s="53"/>
      <c r="B591" s="53"/>
      <c r="C591" s="53"/>
      <c r="D591" s="53"/>
      <c r="E591" s="239" t="s">
        <v>78</v>
      </c>
      <c r="F591" s="239"/>
      <c r="G591" s="239"/>
      <c r="H591" s="239"/>
      <c r="I591" s="239"/>
      <c r="J591" s="246" t="s">
        <v>144</v>
      </c>
      <c r="K591" s="246"/>
      <c r="L591" s="246" t="s">
        <v>11</v>
      </c>
      <c r="M591" s="246"/>
      <c r="N591" s="246" t="s">
        <v>791</v>
      </c>
      <c r="O591" s="246"/>
      <c r="S591" s="61" t="str">
        <f t="shared" si="108"/>
        <v>Costo</v>
      </c>
      <c r="T591" s="64" t="str">
        <f t="shared" si="111"/>
        <v>ESTADO DEL RESULTADO INTEGRAL</v>
      </c>
      <c r="U591" s="64" t="str">
        <f t="shared" si="112"/>
        <v>COSTOS Y GASTOS</v>
      </c>
      <c r="V591" s="64" t="str">
        <f t="shared" si="105"/>
        <v>OTROS GASTOS</v>
      </c>
      <c r="W591" s="64" t="str">
        <f t="shared" si="106"/>
        <v>COMISIONES Y SIMILARES (DIFERENTES DE LAS COMISIONES POR OPERACIONES FINANCIERAS)</v>
      </c>
      <c r="X591" s="64" t="str">
        <f t="shared" si="113"/>
        <v>NO RELACIONADAS</v>
      </c>
      <c r="Y591" s="64" t="str">
        <f t="shared" si="114"/>
        <v/>
      </c>
      <c r="Z591" s="64" t="str">
        <f t="shared" si="115"/>
        <v/>
      </c>
      <c r="AA591" s="64" t="str">
        <f t="shared" si="109"/>
        <v>COMISIONES Y SIMILARES (DIFERENTES DE LAS COMISIONES POR OPERACIONES FINANCIERAS)_NO RELACIONADAS___Costo</v>
      </c>
      <c r="AC591" s="76" t="s">
        <v>144</v>
      </c>
      <c r="AD591" s="76" t="s">
        <v>561</v>
      </c>
      <c r="AE591" s="76" t="s">
        <v>789</v>
      </c>
      <c r="AF591" s="76" t="s">
        <v>12</v>
      </c>
      <c r="AG591" s="76" t="s">
        <v>1016</v>
      </c>
      <c r="AH591" s="76" t="s">
        <v>78</v>
      </c>
      <c r="AI591" s="76" t="s">
        <v>444</v>
      </c>
      <c r="AJ591" s="76" t="s">
        <v>444</v>
      </c>
      <c r="AK591" s="76" t="s">
        <v>1442</v>
      </c>
      <c r="AL591" s="76"/>
      <c r="AM591" s="81"/>
      <c r="AN591" s="81" t="s">
        <v>561</v>
      </c>
      <c r="AO591" s="81" t="s">
        <v>789</v>
      </c>
      <c r="AP591" s="81" t="s">
        <v>12</v>
      </c>
      <c r="AQ591" s="81" t="s">
        <v>1016</v>
      </c>
      <c r="AR591" s="81" t="s">
        <v>78</v>
      </c>
      <c r="AS591" s="81" t="s">
        <v>444</v>
      </c>
      <c r="AT591" s="81" t="s">
        <v>444</v>
      </c>
      <c r="AU591" s="81" t="s">
        <v>2128</v>
      </c>
      <c r="AV591" s="81" t="str">
        <f t="shared" si="110"/>
        <v>GND_GND_COMISIONES Y SIMILARES (DIFERENTES DE LAS COMISIONES POR OPERACIONES FINANCIERAS)_NO RELACIONADAS___Costo&amp;Gasto&amp;Gasto</v>
      </c>
    </row>
    <row r="592" spans="1:48">
      <c r="A592" s="53"/>
      <c r="B592" s="53"/>
      <c r="C592" s="53"/>
      <c r="D592" s="53"/>
      <c r="E592" s="53"/>
      <c r="F592" s="235" t="s">
        <v>25</v>
      </c>
      <c r="G592" s="235"/>
      <c r="H592" s="235"/>
      <c r="I592" s="235"/>
      <c r="J592" s="9" t="s">
        <v>1023</v>
      </c>
      <c r="K592" s="55" t="e">
        <f>VLOOKUP(J592,Casilleros!$A$4:$Q$830,17,FALSE)</f>
        <v>#REF!</v>
      </c>
      <c r="L592" s="9" t="s">
        <v>1024</v>
      </c>
      <c r="M592" s="55" t="e">
        <f>VLOOKUP(L592,Casilleros!$A$4:$Q$830,17,FALSE)</f>
        <v>#REF!</v>
      </c>
      <c r="N592" s="9" t="s">
        <v>1025</v>
      </c>
      <c r="O592" s="55" t="e">
        <f>VLOOKUP(N592,Casilleros!$A$4:$Q$830,17,FALSE)</f>
        <v>#REF!</v>
      </c>
      <c r="S592" s="61" t="str">
        <f t="shared" si="108"/>
        <v>7217</v>
      </c>
      <c r="T592" s="64" t="str">
        <f t="shared" si="111"/>
        <v>ESTADO DEL RESULTADO INTEGRAL</v>
      </c>
      <c r="U592" s="64" t="str">
        <f t="shared" si="112"/>
        <v>COSTOS Y GASTOS</v>
      </c>
      <c r="V592" s="64" t="str">
        <f t="shared" si="105"/>
        <v>OTROS GASTOS</v>
      </c>
      <c r="W592" s="64" t="str">
        <f t="shared" si="106"/>
        <v>COMISIONES Y SIMILARES (DIFERENTES DE LAS COMISIONES POR OPERACIONES FINANCIERAS)</v>
      </c>
      <c r="X592" s="64" t="str">
        <f t="shared" si="113"/>
        <v>NO RELACIONADAS</v>
      </c>
      <c r="Y592" s="64" t="str">
        <f t="shared" si="114"/>
        <v>Local</v>
      </c>
      <c r="Z592" s="64" t="str">
        <f t="shared" si="115"/>
        <v/>
      </c>
      <c r="AA592" s="64" t="str">
        <f t="shared" si="109"/>
        <v>COMISIONES Y SIMILARES (DIFERENTES DE LAS COMISIONES POR OPERACIONES FINANCIERAS)_NO RELACIONADAS_Local__Costo</v>
      </c>
      <c r="AC592" s="76" t="s">
        <v>1024</v>
      </c>
      <c r="AD592" s="76" t="s">
        <v>561</v>
      </c>
      <c r="AE592" s="76" t="s">
        <v>789</v>
      </c>
      <c r="AF592" s="76" t="s">
        <v>12</v>
      </c>
      <c r="AG592" s="76" t="s">
        <v>1016</v>
      </c>
      <c r="AH592" s="76" t="s">
        <v>78</v>
      </c>
      <c r="AI592" s="76" t="s">
        <v>25</v>
      </c>
      <c r="AJ592" s="76" t="s">
        <v>444</v>
      </c>
      <c r="AK592" s="76" t="s">
        <v>1443</v>
      </c>
      <c r="AL592" s="76"/>
      <c r="AM592" s="9" t="s">
        <v>1025</v>
      </c>
      <c r="AN592" s="81" t="s">
        <v>561</v>
      </c>
      <c r="AO592" s="81" t="s">
        <v>789</v>
      </c>
      <c r="AP592" s="81" t="s">
        <v>12</v>
      </c>
      <c r="AQ592" s="81" t="s">
        <v>1016</v>
      </c>
      <c r="AR592" s="81" t="s">
        <v>78</v>
      </c>
      <c r="AS592" s="81" t="s">
        <v>25</v>
      </c>
      <c r="AT592" s="81" t="s">
        <v>444</v>
      </c>
      <c r="AU592" s="81" t="s">
        <v>2129</v>
      </c>
      <c r="AV592" s="81" t="str">
        <f t="shared" si="110"/>
        <v>GND_GND_COMISIONES Y SIMILARES (DIFERENTES DE LAS COMISIONES POR OPERACIONES FINANCIERAS)_NO RELACIONADAS_Local__Costo&amp;Gasto&amp;Gasto</v>
      </c>
    </row>
    <row r="593" spans="1:48">
      <c r="A593" s="53"/>
      <c r="B593" s="53"/>
      <c r="C593" s="53"/>
      <c r="D593" s="53"/>
      <c r="E593" s="53"/>
      <c r="F593" s="235" t="s">
        <v>26</v>
      </c>
      <c r="G593" s="235"/>
      <c r="H593" s="235"/>
      <c r="I593" s="235"/>
      <c r="J593" s="9" t="s">
        <v>1026</v>
      </c>
      <c r="K593" s="55" t="e">
        <f>VLOOKUP(J593,Casilleros!$A$4:$Q$830,17,FALSE)</f>
        <v>#REF!</v>
      </c>
      <c r="L593" s="9" t="s">
        <v>1027</v>
      </c>
      <c r="M593" s="55" t="e">
        <f>VLOOKUP(L593,Casilleros!$A$4:$Q$830,17,FALSE)</f>
        <v>#REF!</v>
      </c>
      <c r="N593" s="9" t="s">
        <v>1028</v>
      </c>
      <c r="O593" s="55" t="e">
        <f>VLOOKUP(N593,Casilleros!$A$4:$Q$830,17,FALSE)</f>
        <v>#REF!</v>
      </c>
      <c r="S593" s="61" t="str">
        <f t="shared" si="108"/>
        <v>7220</v>
      </c>
      <c r="T593" s="64" t="str">
        <f t="shared" si="111"/>
        <v>ESTADO DEL RESULTADO INTEGRAL</v>
      </c>
      <c r="U593" s="64" t="str">
        <f t="shared" si="112"/>
        <v>COSTOS Y GASTOS</v>
      </c>
      <c r="V593" s="64" t="str">
        <f t="shared" si="105"/>
        <v>OTROS GASTOS</v>
      </c>
      <c r="W593" s="64" t="str">
        <f t="shared" si="106"/>
        <v>COMISIONES Y SIMILARES (DIFERENTES DE LAS COMISIONES POR OPERACIONES FINANCIERAS)</v>
      </c>
      <c r="X593" s="64" t="str">
        <f t="shared" si="113"/>
        <v>NO RELACIONADAS</v>
      </c>
      <c r="Y593" s="64" t="str">
        <f t="shared" si="114"/>
        <v>Del exterior</v>
      </c>
      <c r="Z593" s="64" t="str">
        <f t="shared" si="115"/>
        <v/>
      </c>
      <c r="AA593" s="64" t="str">
        <f t="shared" si="109"/>
        <v>COMISIONES Y SIMILARES (DIFERENTES DE LAS COMISIONES POR OPERACIONES FINANCIERAS)_NO RELACIONADAS_Del exterior__Costo</v>
      </c>
      <c r="AC593" s="76" t="s">
        <v>1027</v>
      </c>
      <c r="AD593" s="76" t="s">
        <v>561</v>
      </c>
      <c r="AE593" s="76" t="s">
        <v>789</v>
      </c>
      <c r="AF593" s="76" t="s">
        <v>12</v>
      </c>
      <c r="AG593" s="76" t="s">
        <v>1016</v>
      </c>
      <c r="AH593" s="76" t="s">
        <v>78</v>
      </c>
      <c r="AI593" s="76" t="s">
        <v>26</v>
      </c>
      <c r="AJ593" s="76" t="s">
        <v>444</v>
      </c>
      <c r="AK593" s="76" t="s">
        <v>1444</v>
      </c>
      <c r="AL593" s="76"/>
      <c r="AM593" s="9" t="s">
        <v>1028</v>
      </c>
      <c r="AN593" s="81" t="s">
        <v>561</v>
      </c>
      <c r="AO593" s="81" t="s">
        <v>789</v>
      </c>
      <c r="AP593" s="81" t="s">
        <v>12</v>
      </c>
      <c r="AQ593" s="81" t="s">
        <v>1016</v>
      </c>
      <c r="AR593" s="81" t="s">
        <v>78</v>
      </c>
      <c r="AS593" s="81" t="s">
        <v>26</v>
      </c>
      <c r="AT593" s="81" t="s">
        <v>444</v>
      </c>
      <c r="AU593" s="81" t="s">
        <v>2130</v>
      </c>
      <c r="AV593" s="81" t="str">
        <f t="shared" si="110"/>
        <v>GND_GND_COMISIONES Y SIMILARES (DIFERENTES DE LAS COMISIONES POR OPERACIONES FINANCIERAS)_NO RELACIONADAS_Del exterior__Costo&amp;Gasto&amp;Gasto</v>
      </c>
    </row>
    <row r="594" spans="1:48">
      <c r="A594" s="53"/>
      <c r="B594" s="53"/>
      <c r="C594" s="53"/>
      <c r="D594" s="236" t="s">
        <v>1029</v>
      </c>
      <c r="E594" s="236" t="s">
        <v>444</v>
      </c>
      <c r="F594" s="236"/>
      <c r="G594" s="236" t="s">
        <v>444</v>
      </c>
      <c r="H594" s="236"/>
      <c r="I594" s="236"/>
      <c r="J594" s="236"/>
      <c r="K594" s="236"/>
      <c r="L594" s="236"/>
      <c r="M594" s="236"/>
      <c r="N594" s="236"/>
      <c r="O594" s="236"/>
      <c r="S594" s="61">
        <f t="shared" si="108"/>
        <v>0</v>
      </c>
      <c r="T594" s="64" t="str">
        <f t="shared" si="111"/>
        <v>ESTADO DEL RESULTADO INTEGRAL</v>
      </c>
      <c r="U594" s="64" t="str">
        <f t="shared" si="112"/>
        <v>COSTOS Y GASTOS</v>
      </c>
      <c r="V594" s="64" t="str">
        <f t="shared" si="105"/>
        <v>OTROS GASTOS</v>
      </c>
      <c r="W594" s="64" t="str">
        <f t="shared" si="106"/>
        <v>OPERACIONES DE REGALÍAS, SERVICIOS TÉCNICOS. ADMINISTRATIVOS, DE CONSULTARÍA Y SIMILARES</v>
      </c>
      <c r="X594" s="64" t="str">
        <f t="shared" si="113"/>
        <v/>
      </c>
      <c r="Y594" s="64" t="str">
        <f t="shared" si="114"/>
        <v/>
      </c>
      <c r="Z594" s="64" t="str">
        <f t="shared" si="115"/>
        <v/>
      </c>
      <c r="AA594" s="64" t="str">
        <f t="shared" si="109"/>
        <v>OTROS GASTOS_OPERACIONES DE REGALÍAS, SERVICIOS TÉCNICOS. ADMINISTRATIVOS, DE CONSULTARÍA Y SIMILARES_Costo</v>
      </c>
      <c r="AC594" s="76">
        <v>0</v>
      </c>
      <c r="AD594" s="76" t="s">
        <v>561</v>
      </c>
      <c r="AE594" s="76" t="s">
        <v>789</v>
      </c>
      <c r="AF594" s="76" t="s">
        <v>12</v>
      </c>
      <c r="AG594" s="76" t="s">
        <v>1029</v>
      </c>
      <c r="AH594" s="76" t="s">
        <v>444</v>
      </c>
      <c r="AI594" s="76" t="s">
        <v>444</v>
      </c>
      <c r="AJ594" s="76" t="s">
        <v>444</v>
      </c>
      <c r="AK594" s="76" t="s">
        <v>1445</v>
      </c>
      <c r="AL594" s="76"/>
      <c r="AM594" s="81"/>
      <c r="AN594" s="81" t="s">
        <v>561</v>
      </c>
      <c r="AO594" s="81" t="s">
        <v>789</v>
      </c>
      <c r="AP594" s="81" t="s">
        <v>12</v>
      </c>
      <c r="AQ594" s="81" t="s">
        <v>1029</v>
      </c>
      <c r="AR594" s="81" t="s">
        <v>444</v>
      </c>
      <c r="AS594" s="81" t="s">
        <v>444</v>
      </c>
      <c r="AT594" s="81" t="s">
        <v>444</v>
      </c>
      <c r="AU594" s="81" t="s">
        <v>2131</v>
      </c>
      <c r="AV594" s="81" t="str">
        <f t="shared" si="110"/>
        <v>GND_GND_OTROS GASTOS_OPERACIONES DE REGALÍAS, SERVICIOS TÉCNICOS. ADMINISTRATIVOS, DE CONSULTARÍA Y SIMILARES_Costo&amp;Gasto&amp;Gasto</v>
      </c>
    </row>
    <row r="595" spans="1:48">
      <c r="A595" s="53"/>
      <c r="B595" s="53"/>
      <c r="C595" s="53"/>
      <c r="D595" s="53"/>
      <c r="E595" s="239" t="s">
        <v>72</v>
      </c>
      <c r="F595" s="239"/>
      <c r="G595" s="239"/>
      <c r="H595" s="239"/>
      <c r="I595" s="239"/>
      <c r="J595" s="246" t="s">
        <v>144</v>
      </c>
      <c r="K595" s="246"/>
      <c r="L595" s="246" t="s">
        <v>11</v>
      </c>
      <c r="M595" s="246"/>
      <c r="N595" s="246" t="s">
        <v>791</v>
      </c>
      <c r="O595" s="246"/>
      <c r="S595" s="61" t="str">
        <f t="shared" si="108"/>
        <v>Costo</v>
      </c>
      <c r="T595" s="64" t="str">
        <f t="shared" si="111"/>
        <v>ESTADO DEL RESULTADO INTEGRAL</v>
      </c>
      <c r="U595" s="64" t="str">
        <f t="shared" si="112"/>
        <v>COSTOS Y GASTOS</v>
      </c>
      <c r="V595" s="64" t="str">
        <f t="shared" si="105"/>
        <v>OTROS GASTOS</v>
      </c>
      <c r="W595" s="64" t="str">
        <f t="shared" si="106"/>
        <v>OPERACIONES DE REGALÍAS, SERVICIOS TÉCNICOS. ADMINISTRATIVOS, DE CONSULTARÍA Y SIMILARES</v>
      </c>
      <c r="X595" s="64" t="str">
        <f t="shared" si="113"/>
        <v>RELACIONADAS</v>
      </c>
      <c r="Y595" s="64" t="str">
        <f t="shared" si="114"/>
        <v/>
      </c>
      <c r="Z595" s="64" t="str">
        <f t="shared" si="115"/>
        <v/>
      </c>
      <c r="AA595" s="64" t="str">
        <f t="shared" si="109"/>
        <v>OPERACIONES DE REGALÍAS, SERVICIOS TÉCNICOS. ADMINISTRATIVOS, DE CONSULTARÍA Y SIMILARES_RELACIONADAS___Costo</v>
      </c>
      <c r="AC595" s="76" t="s">
        <v>144</v>
      </c>
      <c r="AD595" s="76" t="s">
        <v>561</v>
      </c>
      <c r="AE595" s="76" t="s">
        <v>789</v>
      </c>
      <c r="AF595" s="76" t="s">
        <v>12</v>
      </c>
      <c r="AG595" s="76" t="s">
        <v>1029</v>
      </c>
      <c r="AH595" s="76" t="s">
        <v>72</v>
      </c>
      <c r="AI595" s="76" t="s">
        <v>444</v>
      </c>
      <c r="AJ595" s="76" t="s">
        <v>444</v>
      </c>
      <c r="AK595" s="76" t="s">
        <v>1446</v>
      </c>
      <c r="AL595" s="76"/>
      <c r="AM595" s="81"/>
      <c r="AN595" s="81" t="s">
        <v>561</v>
      </c>
      <c r="AO595" s="81" t="s">
        <v>789</v>
      </c>
      <c r="AP595" s="81" t="s">
        <v>12</v>
      </c>
      <c r="AQ595" s="81" t="s">
        <v>1029</v>
      </c>
      <c r="AR595" s="81" t="s">
        <v>72</v>
      </c>
      <c r="AS595" s="81" t="s">
        <v>444</v>
      </c>
      <c r="AT595" s="81" t="s">
        <v>444</v>
      </c>
      <c r="AU595" s="81" t="s">
        <v>2132</v>
      </c>
      <c r="AV595" s="81" t="str">
        <f t="shared" si="110"/>
        <v>GND_GND_OPERACIONES DE REGALÍAS, SERVICIOS TÉCNICOS. ADMINISTRATIVOS, DE CONSULTARÍA Y SIMILARES_RELACIONADAS___Costo&amp;Gasto&amp;Gasto</v>
      </c>
    </row>
    <row r="596" spans="1:48">
      <c r="A596" s="53"/>
      <c r="B596" s="53"/>
      <c r="C596" s="53"/>
      <c r="D596" s="53"/>
      <c r="E596" s="53"/>
      <c r="F596" s="235" t="s">
        <v>25</v>
      </c>
      <c r="G596" s="235"/>
      <c r="H596" s="235"/>
      <c r="I596" s="235"/>
      <c r="J596" s="9" t="s">
        <v>1030</v>
      </c>
      <c r="K596" s="55" t="e">
        <f>VLOOKUP(J596,Casilleros!$A$4:$Q$830,17,FALSE)</f>
        <v>#REF!</v>
      </c>
      <c r="L596" s="9" t="s">
        <v>1031</v>
      </c>
      <c r="M596" s="55" t="e">
        <f>VLOOKUP(L596,Casilleros!$A$4:$Q$830,17,FALSE)</f>
        <v>#REF!</v>
      </c>
      <c r="N596" s="9" t="s">
        <v>1032</v>
      </c>
      <c r="O596" s="55" t="e">
        <f>VLOOKUP(N596,Casilleros!$A$4:$Q$830,17,FALSE)</f>
        <v>#REF!</v>
      </c>
      <c r="S596" s="61" t="str">
        <f t="shared" si="108"/>
        <v>7223</v>
      </c>
      <c r="T596" s="64" t="str">
        <f t="shared" si="111"/>
        <v>ESTADO DEL RESULTADO INTEGRAL</v>
      </c>
      <c r="U596" s="64" t="str">
        <f t="shared" si="112"/>
        <v>COSTOS Y GASTOS</v>
      </c>
      <c r="V596" s="64" t="str">
        <f t="shared" si="105"/>
        <v>OTROS GASTOS</v>
      </c>
      <c r="W596" s="64" t="str">
        <f t="shared" si="106"/>
        <v>OPERACIONES DE REGALÍAS, SERVICIOS TÉCNICOS. ADMINISTRATIVOS, DE CONSULTARÍA Y SIMILARES</v>
      </c>
      <c r="X596" s="64" t="str">
        <f t="shared" si="113"/>
        <v>RELACIONADAS</v>
      </c>
      <c r="Y596" s="64" t="str">
        <f t="shared" si="114"/>
        <v>Local</v>
      </c>
      <c r="Z596" s="64" t="str">
        <f t="shared" si="115"/>
        <v/>
      </c>
      <c r="AA596" s="64" t="str">
        <f t="shared" si="109"/>
        <v>OPERACIONES DE REGALÍAS, SERVICIOS TÉCNICOS. ADMINISTRATIVOS, DE CONSULTARÍA Y SIMILARES_RELACIONADAS_Local__Costo</v>
      </c>
      <c r="AC596" s="76" t="s">
        <v>1031</v>
      </c>
      <c r="AD596" s="76" t="s">
        <v>561</v>
      </c>
      <c r="AE596" s="76" t="s">
        <v>789</v>
      </c>
      <c r="AF596" s="76" t="s">
        <v>12</v>
      </c>
      <c r="AG596" s="76" t="s">
        <v>1029</v>
      </c>
      <c r="AH596" s="76" t="s">
        <v>72</v>
      </c>
      <c r="AI596" s="76" t="s">
        <v>25</v>
      </c>
      <c r="AJ596" s="76" t="s">
        <v>444</v>
      </c>
      <c r="AK596" s="76" t="s">
        <v>1447</v>
      </c>
      <c r="AL596" s="76"/>
      <c r="AM596" s="9" t="s">
        <v>1032</v>
      </c>
      <c r="AN596" s="81" t="s">
        <v>561</v>
      </c>
      <c r="AO596" s="81" t="s">
        <v>789</v>
      </c>
      <c r="AP596" s="81" t="s">
        <v>12</v>
      </c>
      <c r="AQ596" s="81" t="s">
        <v>1029</v>
      </c>
      <c r="AR596" s="81" t="s">
        <v>72</v>
      </c>
      <c r="AS596" s="81" t="s">
        <v>25</v>
      </c>
      <c r="AT596" s="81" t="s">
        <v>444</v>
      </c>
      <c r="AU596" s="81" t="s">
        <v>2133</v>
      </c>
      <c r="AV596" s="81" t="str">
        <f t="shared" si="110"/>
        <v>GND_GND_OPERACIONES DE REGALÍAS, SERVICIOS TÉCNICOS. ADMINISTRATIVOS, DE CONSULTARÍA Y SIMILARES_RELACIONADAS_Local__Costo&amp;Gasto&amp;Gasto</v>
      </c>
    </row>
    <row r="597" spans="1:48">
      <c r="A597" s="53"/>
      <c r="B597" s="53"/>
      <c r="C597" s="53"/>
      <c r="D597" s="53"/>
      <c r="E597" s="53"/>
      <c r="F597" s="235" t="s">
        <v>26</v>
      </c>
      <c r="G597" s="235"/>
      <c r="H597" s="235"/>
      <c r="I597" s="235"/>
      <c r="J597" s="9" t="s">
        <v>1033</v>
      </c>
      <c r="K597" s="55" t="e">
        <f>VLOOKUP(J597,Casilleros!$A$4:$Q$830,17,FALSE)</f>
        <v>#REF!</v>
      </c>
      <c r="L597" s="9" t="s">
        <v>1034</v>
      </c>
      <c r="M597" s="74" t="e">
        <f>VLOOKUP(L597,Casilleros!$A$4:$Q$830,17,FALSE)</f>
        <v>#REF!</v>
      </c>
      <c r="N597" s="9" t="s">
        <v>1035</v>
      </c>
      <c r="O597" s="74" t="e">
        <f>VLOOKUP(N597,Casilleros!$A$4:$Q$830,17,FALSE)</f>
        <v>#REF!</v>
      </c>
      <c r="S597" s="61" t="str">
        <f t="shared" si="108"/>
        <v>7226</v>
      </c>
      <c r="T597" s="64" t="str">
        <f t="shared" si="111"/>
        <v>ESTADO DEL RESULTADO INTEGRAL</v>
      </c>
      <c r="U597" s="64" t="str">
        <f t="shared" si="112"/>
        <v>COSTOS Y GASTOS</v>
      </c>
      <c r="V597" s="64" t="str">
        <f t="shared" si="105"/>
        <v>OTROS GASTOS</v>
      </c>
      <c r="W597" s="64" t="str">
        <f t="shared" si="106"/>
        <v>OPERACIONES DE REGALÍAS, SERVICIOS TÉCNICOS. ADMINISTRATIVOS, DE CONSULTARÍA Y SIMILARES</v>
      </c>
      <c r="X597" s="64" t="str">
        <f t="shared" si="113"/>
        <v>RELACIONADAS</v>
      </c>
      <c r="Y597" s="64" t="str">
        <f t="shared" si="114"/>
        <v>Del exterior</v>
      </c>
      <c r="Z597" s="64" t="str">
        <f t="shared" si="115"/>
        <v/>
      </c>
      <c r="AA597" s="64" t="str">
        <f t="shared" si="109"/>
        <v>OPERACIONES DE REGALÍAS, SERVICIOS TÉCNICOS. ADMINISTRATIVOS, DE CONSULTARÍA Y SIMILARES_RELACIONADAS_Del exterior__Costo</v>
      </c>
      <c r="AC597" s="76" t="s">
        <v>1034</v>
      </c>
      <c r="AD597" s="76" t="s">
        <v>561</v>
      </c>
      <c r="AE597" s="76" t="s">
        <v>789</v>
      </c>
      <c r="AF597" s="76" t="s">
        <v>12</v>
      </c>
      <c r="AG597" s="76" t="s">
        <v>1029</v>
      </c>
      <c r="AH597" s="76" t="s">
        <v>72</v>
      </c>
      <c r="AI597" s="76" t="s">
        <v>26</v>
      </c>
      <c r="AJ597" s="76" t="s">
        <v>444</v>
      </c>
      <c r="AK597" s="76" t="s">
        <v>1448</v>
      </c>
      <c r="AL597" s="76"/>
      <c r="AM597" s="9" t="s">
        <v>1035</v>
      </c>
      <c r="AN597" s="81" t="s">
        <v>561</v>
      </c>
      <c r="AO597" s="81" t="s">
        <v>789</v>
      </c>
      <c r="AP597" s="81" t="s">
        <v>12</v>
      </c>
      <c r="AQ597" s="81" t="s">
        <v>1029</v>
      </c>
      <c r="AR597" s="81" t="s">
        <v>72</v>
      </c>
      <c r="AS597" s="81" t="s">
        <v>26</v>
      </c>
      <c r="AT597" s="81" t="s">
        <v>444</v>
      </c>
      <c r="AU597" s="81" t="s">
        <v>2134</v>
      </c>
      <c r="AV597" s="81" t="str">
        <f t="shared" si="110"/>
        <v>GND_GND_OPERACIONES DE REGALÍAS, SERVICIOS TÉCNICOS. ADMINISTRATIVOS, DE CONSULTARÍA Y SIMILARES_RELACIONADAS_Del exterior__Costo&amp;Gasto&amp;Gasto</v>
      </c>
    </row>
    <row r="598" spans="1:48">
      <c r="A598" s="53"/>
      <c r="B598" s="53"/>
      <c r="C598" s="53"/>
      <c r="D598" s="53"/>
      <c r="E598" s="239" t="s">
        <v>78</v>
      </c>
      <c r="F598" s="239"/>
      <c r="G598" s="239"/>
      <c r="H598" s="239"/>
      <c r="I598" s="239"/>
      <c r="J598" s="246" t="s">
        <v>144</v>
      </c>
      <c r="K598" s="246"/>
      <c r="L598" s="246" t="s">
        <v>11</v>
      </c>
      <c r="M598" s="246"/>
      <c r="N598" s="246" t="s">
        <v>791</v>
      </c>
      <c r="O598" s="246"/>
      <c r="S598" s="61" t="str">
        <f t="shared" si="108"/>
        <v>Costo</v>
      </c>
      <c r="T598" s="64" t="str">
        <f t="shared" si="111"/>
        <v>ESTADO DEL RESULTADO INTEGRAL</v>
      </c>
      <c r="U598" s="64" t="str">
        <f t="shared" si="112"/>
        <v>COSTOS Y GASTOS</v>
      </c>
      <c r="V598" s="64" t="str">
        <f t="shared" si="105"/>
        <v>OTROS GASTOS</v>
      </c>
      <c r="W598" s="64" t="str">
        <f t="shared" si="106"/>
        <v>OPERACIONES DE REGALÍAS, SERVICIOS TÉCNICOS. ADMINISTRATIVOS, DE CONSULTARÍA Y SIMILARES</v>
      </c>
      <c r="X598" s="64" t="str">
        <f t="shared" si="113"/>
        <v>NO RELACIONADAS</v>
      </c>
      <c r="Y598" s="64" t="str">
        <f t="shared" si="114"/>
        <v/>
      </c>
      <c r="Z598" s="64" t="str">
        <f t="shared" si="115"/>
        <v/>
      </c>
      <c r="AA598" s="64" t="str">
        <f t="shared" si="109"/>
        <v>OPERACIONES DE REGALÍAS, SERVICIOS TÉCNICOS. ADMINISTRATIVOS, DE CONSULTARÍA Y SIMILARES_NO RELACIONADAS___Costo</v>
      </c>
      <c r="AC598" s="76" t="s">
        <v>144</v>
      </c>
      <c r="AD598" s="76" t="s">
        <v>561</v>
      </c>
      <c r="AE598" s="76" t="s">
        <v>789</v>
      </c>
      <c r="AF598" s="76" t="s">
        <v>12</v>
      </c>
      <c r="AG598" s="76" t="s">
        <v>1029</v>
      </c>
      <c r="AH598" s="76" t="s">
        <v>78</v>
      </c>
      <c r="AI598" s="76" t="s">
        <v>444</v>
      </c>
      <c r="AJ598" s="76" t="s">
        <v>444</v>
      </c>
      <c r="AK598" s="76" t="s">
        <v>1449</v>
      </c>
      <c r="AL598" s="76"/>
      <c r="AM598" s="81"/>
      <c r="AN598" s="81" t="s">
        <v>561</v>
      </c>
      <c r="AO598" s="81" t="s">
        <v>789</v>
      </c>
      <c r="AP598" s="81" t="s">
        <v>12</v>
      </c>
      <c r="AQ598" s="81" t="s">
        <v>1029</v>
      </c>
      <c r="AR598" s="81" t="s">
        <v>78</v>
      </c>
      <c r="AS598" s="81" t="s">
        <v>444</v>
      </c>
      <c r="AT598" s="81" t="s">
        <v>444</v>
      </c>
      <c r="AU598" s="81" t="s">
        <v>2135</v>
      </c>
      <c r="AV598" s="81" t="str">
        <f t="shared" si="110"/>
        <v>GND_GND_OPERACIONES DE REGALÍAS, SERVICIOS TÉCNICOS. ADMINISTRATIVOS, DE CONSULTARÍA Y SIMILARES_NO RELACIONADAS___Costo&amp;Gasto&amp;Gasto</v>
      </c>
    </row>
    <row r="599" spans="1:48">
      <c r="A599" s="53"/>
      <c r="B599" s="53"/>
      <c r="C599" s="53"/>
      <c r="D599" s="53"/>
      <c r="E599" s="53"/>
      <c r="F599" s="235" t="s">
        <v>25</v>
      </c>
      <c r="G599" s="235"/>
      <c r="H599" s="235"/>
      <c r="I599" s="235"/>
      <c r="J599" s="9" t="s">
        <v>1036</v>
      </c>
      <c r="K599" s="55" t="e">
        <f>VLOOKUP(J599,Casilleros!$A$4:$Q$830,17,FALSE)</f>
        <v>#REF!</v>
      </c>
      <c r="L599" s="9" t="s">
        <v>1037</v>
      </c>
      <c r="M599" s="55" t="e">
        <f>VLOOKUP(L599,Casilleros!$A$4:$Q$830,17,FALSE)</f>
        <v>#REF!</v>
      </c>
      <c r="N599" s="9" t="s">
        <v>1038</v>
      </c>
      <c r="O599" s="55" t="e">
        <f>VLOOKUP(N599,Casilleros!$A$4:$Q$830,17,FALSE)</f>
        <v>#REF!</v>
      </c>
      <c r="S599" s="61" t="str">
        <f t="shared" si="108"/>
        <v>7229</v>
      </c>
      <c r="T599" s="64" t="str">
        <f t="shared" si="111"/>
        <v>ESTADO DEL RESULTADO INTEGRAL</v>
      </c>
      <c r="U599" s="64" t="str">
        <f t="shared" si="112"/>
        <v>COSTOS Y GASTOS</v>
      </c>
      <c r="V599" s="64" t="str">
        <f t="shared" si="105"/>
        <v>OTROS GASTOS</v>
      </c>
      <c r="W599" s="64" t="str">
        <f t="shared" si="106"/>
        <v>OPERACIONES DE REGALÍAS, SERVICIOS TÉCNICOS. ADMINISTRATIVOS, DE CONSULTARÍA Y SIMILARES</v>
      </c>
      <c r="X599" s="64" t="str">
        <f t="shared" si="113"/>
        <v>NO RELACIONADAS</v>
      </c>
      <c r="Y599" s="64" t="str">
        <f t="shared" si="114"/>
        <v>Local</v>
      </c>
      <c r="Z599" s="64" t="str">
        <f t="shared" si="115"/>
        <v/>
      </c>
      <c r="AA599" s="64" t="str">
        <f t="shared" si="109"/>
        <v>OPERACIONES DE REGALÍAS, SERVICIOS TÉCNICOS. ADMINISTRATIVOS, DE CONSULTARÍA Y SIMILARES_NO RELACIONADAS_Local__Costo</v>
      </c>
      <c r="AC599" s="76" t="s">
        <v>1037</v>
      </c>
      <c r="AD599" s="76" t="s">
        <v>561</v>
      </c>
      <c r="AE599" s="76" t="s">
        <v>789</v>
      </c>
      <c r="AF599" s="76" t="s">
        <v>12</v>
      </c>
      <c r="AG599" s="76" t="s">
        <v>1029</v>
      </c>
      <c r="AH599" s="76" t="s">
        <v>78</v>
      </c>
      <c r="AI599" s="76" t="s">
        <v>25</v>
      </c>
      <c r="AJ599" s="76" t="s">
        <v>444</v>
      </c>
      <c r="AK599" s="76" t="s">
        <v>1450</v>
      </c>
      <c r="AL599" s="76"/>
      <c r="AM599" s="9" t="s">
        <v>1038</v>
      </c>
      <c r="AN599" s="81" t="s">
        <v>561</v>
      </c>
      <c r="AO599" s="81" t="s">
        <v>789</v>
      </c>
      <c r="AP599" s="81" t="s">
        <v>12</v>
      </c>
      <c r="AQ599" s="81" t="s">
        <v>1029</v>
      </c>
      <c r="AR599" s="81" t="s">
        <v>78</v>
      </c>
      <c r="AS599" s="81" t="s">
        <v>25</v>
      </c>
      <c r="AT599" s="81" t="s">
        <v>444</v>
      </c>
      <c r="AU599" s="81" t="s">
        <v>2136</v>
      </c>
      <c r="AV599" s="81" t="str">
        <f t="shared" si="110"/>
        <v>GND_GND_OPERACIONES DE REGALÍAS, SERVICIOS TÉCNICOS. ADMINISTRATIVOS, DE CONSULTARÍA Y SIMILARES_NO RELACIONADAS_Local__Costo&amp;Gasto&amp;Gasto</v>
      </c>
    </row>
    <row r="600" spans="1:48">
      <c r="A600" s="53"/>
      <c r="B600" s="53"/>
      <c r="C600" s="53"/>
      <c r="D600" s="53"/>
      <c r="E600" s="53"/>
      <c r="F600" s="235" t="s">
        <v>26</v>
      </c>
      <c r="G600" s="235"/>
      <c r="H600" s="235"/>
      <c r="I600" s="235"/>
      <c r="J600" s="9" t="s">
        <v>1039</v>
      </c>
      <c r="K600" s="55" t="e">
        <f>VLOOKUP(J600,Casilleros!$A$4:$Q$830,17,FALSE)</f>
        <v>#REF!</v>
      </c>
      <c r="L600" s="9" t="s">
        <v>1040</v>
      </c>
      <c r="M600" s="55" t="e">
        <f>VLOOKUP(L600,Casilleros!$A$4:$Q$830,17,FALSE)</f>
        <v>#REF!</v>
      </c>
      <c r="N600" s="9" t="s">
        <v>1041</v>
      </c>
      <c r="O600" s="55" t="e">
        <f>VLOOKUP(N600,Casilleros!$A$4:$Q$830,17,FALSE)</f>
        <v>#REF!</v>
      </c>
      <c r="S600" s="61" t="str">
        <f t="shared" si="108"/>
        <v>7232</v>
      </c>
      <c r="T600" s="64" t="str">
        <f t="shared" si="111"/>
        <v>ESTADO DEL RESULTADO INTEGRAL</v>
      </c>
      <c r="U600" s="64" t="str">
        <f t="shared" si="112"/>
        <v>COSTOS Y GASTOS</v>
      </c>
      <c r="V600" s="64" t="str">
        <f t="shared" si="105"/>
        <v>OTROS GASTOS</v>
      </c>
      <c r="W600" s="64" t="str">
        <f t="shared" si="106"/>
        <v>OPERACIONES DE REGALÍAS, SERVICIOS TÉCNICOS. ADMINISTRATIVOS, DE CONSULTARÍA Y SIMILARES</v>
      </c>
      <c r="X600" s="64" t="str">
        <f t="shared" si="113"/>
        <v>NO RELACIONADAS</v>
      </c>
      <c r="Y600" s="64" t="str">
        <f t="shared" si="114"/>
        <v>Del exterior</v>
      </c>
      <c r="Z600" s="64" t="str">
        <f t="shared" si="115"/>
        <v/>
      </c>
      <c r="AA600" s="64" t="str">
        <f t="shared" si="109"/>
        <v>OPERACIONES DE REGALÍAS, SERVICIOS TÉCNICOS. ADMINISTRATIVOS, DE CONSULTARÍA Y SIMILARES_NO RELACIONADAS_Del exterior__Costo</v>
      </c>
      <c r="AC600" s="76" t="s">
        <v>1040</v>
      </c>
      <c r="AD600" s="76" t="s">
        <v>561</v>
      </c>
      <c r="AE600" s="76" t="s">
        <v>789</v>
      </c>
      <c r="AF600" s="76" t="s">
        <v>12</v>
      </c>
      <c r="AG600" s="76" t="s">
        <v>1029</v>
      </c>
      <c r="AH600" s="76" t="s">
        <v>78</v>
      </c>
      <c r="AI600" s="76" t="s">
        <v>26</v>
      </c>
      <c r="AJ600" s="76" t="s">
        <v>444</v>
      </c>
      <c r="AK600" s="76" t="s">
        <v>1451</v>
      </c>
      <c r="AL600" s="76"/>
      <c r="AM600" s="9" t="s">
        <v>1041</v>
      </c>
      <c r="AN600" s="81" t="s">
        <v>561</v>
      </c>
      <c r="AO600" s="81" t="s">
        <v>789</v>
      </c>
      <c r="AP600" s="81" t="s">
        <v>12</v>
      </c>
      <c r="AQ600" s="81" t="s">
        <v>1029</v>
      </c>
      <c r="AR600" s="81" t="s">
        <v>78</v>
      </c>
      <c r="AS600" s="81" t="s">
        <v>26</v>
      </c>
      <c r="AT600" s="81" t="s">
        <v>444</v>
      </c>
      <c r="AU600" s="81" t="s">
        <v>2137</v>
      </c>
      <c r="AV600" s="81" t="str">
        <f t="shared" si="110"/>
        <v>GND_GND_OPERACIONES DE REGALÍAS, SERVICIOS TÉCNICOS. ADMINISTRATIVOS, DE CONSULTARÍA Y SIMILARES_NO RELACIONADAS_Del exterior__Costo&amp;Gasto&amp;Gasto</v>
      </c>
    </row>
    <row r="601" spans="1:48">
      <c r="A601" s="53"/>
      <c r="B601" s="53"/>
      <c r="C601" s="53"/>
      <c r="D601" s="235" t="s">
        <v>1042</v>
      </c>
      <c r="E601" s="235"/>
      <c r="F601" s="235"/>
      <c r="G601" s="235"/>
      <c r="H601" s="235"/>
      <c r="I601" s="235"/>
      <c r="J601" s="9" t="s">
        <v>1043</v>
      </c>
      <c r="K601" s="55" t="e">
        <f>VLOOKUP(J601,Casilleros!$A$4:$Q$830,17,FALSE)</f>
        <v>#REF!</v>
      </c>
      <c r="L601" s="9" t="s">
        <v>1044</v>
      </c>
      <c r="M601" s="55" t="e">
        <f>VLOOKUP(L601,Casilleros!$A$4:$Q$830,17,FALSE)</f>
        <v>#REF!</v>
      </c>
      <c r="N601" s="9" t="s">
        <v>1045</v>
      </c>
      <c r="O601" s="55" t="e">
        <f>VLOOKUP(N601,Casilleros!$A$4:$Q$830,17,FALSE)</f>
        <v>#REF!</v>
      </c>
      <c r="S601" s="61" t="str">
        <f t="shared" si="108"/>
        <v>7235</v>
      </c>
      <c r="T601" s="64" t="str">
        <f t="shared" si="111"/>
        <v>ESTADO DEL RESULTADO INTEGRAL</v>
      </c>
      <c r="U601" s="64" t="str">
        <f t="shared" si="112"/>
        <v>COSTOS Y GASTOS</v>
      </c>
      <c r="V601" s="64" t="str">
        <f t="shared" si="105"/>
        <v>OTROS GASTOS</v>
      </c>
      <c r="W601" s="64" t="str">
        <f t="shared" si="106"/>
        <v>Instalación, organización y similares</v>
      </c>
      <c r="X601" s="64" t="str">
        <f t="shared" si="113"/>
        <v/>
      </c>
      <c r="Y601" s="64" t="str">
        <f t="shared" si="114"/>
        <v/>
      </c>
      <c r="Z601" s="64" t="str">
        <f t="shared" si="115"/>
        <v/>
      </c>
      <c r="AA601" s="64" t="str">
        <f t="shared" si="109"/>
        <v>OTROS GASTOS_Instalación, organización y similares_Costo</v>
      </c>
      <c r="AC601" s="76" t="s">
        <v>1044</v>
      </c>
      <c r="AD601" s="76" t="s">
        <v>561</v>
      </c>
      <c r="AE601" s="76" t="s">
        <v>789</v>
      </c>
      <c r="AF601" s="76" t="s">
        <v>12</v>
      </c>
      <c r="AG601" s="76" t="s">
        <v>1042</v>
      </c>
      <c r="AH601" s="76" t="s">
        <v>444</v>
      </c>
      <c r="AI601" s="76" t="s">
        <v>444</v>
      </c>
      <c r="AJ601" s="76" t="s">
        <v>444</v>
      </c>
      <c r="AK601" s="76" t="s">
        <v>1452</v>
      </c>
      <c r="AL601" s="76"/>
      <c r="AM601" s="9" t="s">
        <v>1045</v>
      </c>
      <c r="AN601" s="81" t="s">
        <v>561</v>
      </c>
      <c r="AO601" s="81" t="s">
        <v>789</v>
      </c>
      <c r="AP601" s="81" t="s">
        <v>12</v>
      </c>
      <c r="AQ601" s="81" t="s">
        <v>1042</v>
      </c>
      <c r="AR601" s="81" t="s">
        <v>444</v>
      </c>
      <c r="AS601" s="81" t="s">
        <v>444</v>
      </c>
      <c r="AT601" s="81" t="s">
        <v>444</v>
      </c>
      <c r="AU601" s="81" t="s">
        <v>2138</v>
      </c>
      <c r="AV601" s="81" t="str">
        <f t="shared" si="110"/>
        <v>GND_GND_OTROS GASTOS_Instalación, organización y similares_Costo&amp;Gasto&amp;Gasto</v>
      </c>
    </row>
    <row r="602" spans="1:48">
      <c r="A602" s="53"/>
      <c r="B602" s="53"/>
      <c r="C602" s="53"/>
      <c r="D602" s="235" t="s">
        <v>1046</v>
      </c>
      <c r="E602" s="235"/>
      <c r="F602" s="235"/>
      <c r="G602" s="235"/>
      <c r="H602" s="235"/>
      <c r="I602" s="235"/>
      <c r="J602" s="9" t="s">
        <v>1047</v>
      </c>
      <c r="K602" s="55" t="e">
        <f>VLOOKUP(J602,Casilleros!$A$4:$Q$830,17,FALSE)</f>
        <v>#REF!</v>
      </c>
      <c r="L602" s="9" t="s">
        <v>1048</v>
      </c>
      <c r="M602" s="55" t="e">
        <f>VLOOKUP(L602,Casilleros!$A$4:$Q$830,17,FALSE)</f>
        <v>#REF!</v>
      </c>
      <c r="N602" s="9" t="s">
        <v>1049</v>
      </c>
      <c r="O602" s="55" t="e">
        <f>VLOOKUP(N602,Casilleros!$A$4:$Q$830,17,FALSE)</f>
        <v>#REF!</v>
      </c>
      <c r="S602" s="61" t="str">
        <f t="shared" si="108"/>
        <v>7238</v>
      </c>
      <c r="T602" s="64" t="str">
        <f t="shared" si="111"/>
        <v>ESTADO DEL RESULTADO INTEGRAL</v>
      </c>
      <c r="U602" s="64" t="str">
        <f t="shared" si="112"/>
        <v>COSTOS Y GASTOS</v>
      </c>
      <c r="V602" s="64" t="str">
        <f t="shared" si="105"/>
        <v>OTROS GASTOS</v>
      </c>
      <c r="W602" s="64" t="str">
        <f t="shared" si="106"/>
        <v>IVA que se carga al costo o gasto</v>
      </c>
      <c r="X602" s="64" t="str">
        <f t="shared" si="113"/>
        <v/>
      </c>
      <c r="Y602" s="64" t="str">
        <f t="shared" si="114"/>
        <v/>
      </c>
      <c r="Z602" s="64" t="str">
        <f t="shared" si="115"/>
        <v/>
      </c>
      <c r="AA602" s="64" t="str">
        <f t="shared" si="109"/>
        <v>OTROS GASTOS_IVA que se carga al costo o gasto_Costo</v>
      </c>
      <c r="AC602" s="76" t="s">
        <v>1048</v>
      </c>
      <c r="AD602" s="76" t="s">
        <v>561</v>
      </c>
      <c r="AE602" s="76" t="s">
        <v>789</v>
      </c>
      <c r="AF602" s="76" t="s">
        <v>12</v>
      </c>
      <c r="AG602" s="76" t="s">
        <v>1046</v>
      </c>
      <c r="AH602" s="76" t="s">
        <v>444</v>
      </c>
      <c r="AI602" s="76" t="s">
        <v>444</v>
      </c>
      <c r="AJ602" s="76" t="s">
        <v>444</v>
      </c>
      <c r="AK602" s="76" t="s">
        <v>1453</v>
      </c>
      <c r="AL602" s="76"/>
      <c r="AM602" s="9" t="s">
        <v>1049</v>
      </c>
      <c r="AN602" s="81" t="s">
        <v>561</v>
      </c>
      <c r="AO602" s="81" t="s">
        <v>789</v>
      </c>
      <c r="AP602" s="81" t="s">
        <v>12</v>
      </c>
      <c r="AQ602" s="81" t="s">
        <v>1046</v>
      </c>
      <c r="AR602" s="81" t="s">
        <v>444</v>
      </c>
      <c r="AS602" s="81" t="s">
        <v>444</v>
      </c>
      <c r="AT602" s="81" t="s">
        <v>444</v>
      </c>
      <c r="AU602" s="81" t="s">
        <v>2139</v>
      </c>
      <c r="AV602" s="81" t="str">
        <f t="shared" si="110"/>
        <v>GND_GND_OTROS GASTOS_IVA que se carga al costo o gasto_Costo&amp;Gasto&amp;Gasto</v>
      </c>
    </row>
    <row r="603" spans="1:48">
      <c r="A603" s="53"/>
      <c r="B603" s="53"/>
      <c r="C603" s="53"/>
      <c r="D603" s="235" t="s">
        <v>1050</v>
      </c>
      <c r="E603" s="235"/>
      <c r="F603" s="235"/>
      <c r="G603" s="235"/>
      <c r="H603" s="235"/>
      <c r="I603" s="235"/>
      <c r="J603" s="9" t="s">
        <v>1051</v>
      </c>
      <c r="K603" s="55" t="e">
        <f>VLOOKUP(J603,Casilleros!$A$4:$Q$830,17,FALSE)</f>
        <v>#REF!</v>
      </c>
      <c r="L603" s="9" t="s">
        <v>1052</v>
      </c>
      <c r="M603" s="55" t="e">
        <f>VLOOKUP(L603,Casilleros!$A$4:$Q$830,17,FALSE)</f>
        <v>#REF!</v>
      </c>
      <c r="N603" s="9" t="s">
        <v>1053</v>
      </c>
      <c r="O603" s="55" t="e">
        <f>VLOOKUP(N603,Casilleros!$A$4:$Q$830,17,FALSE)</f>
        <v>#REF!</v>
      </c>
      <c r="S603" s="61" t="str">
        <f t="shared" si="108"/>
        <v>7241</v>
      </c>
      <c r="T603" s="64" t="str">
        <f t="shared" si="111"/>
        <v>ESTADO DEL RESULTADO INTEGRAL</v>
      </c>
      <c r="U603" s="64" t="str">
        <f t="shared" si="112"/>
        <v>COSTOS Y GASTOS</v>
      </c>
      <c r="V603" s="64" t="str">
        <f t="shared" si="105"/>
        <v>OTROS GASTOS</v>
      </c>
      <c r="W603" s="64" t="str">
        <f t="shared" si="106"/>
        <v>Servicios públicos</v>
      </c>
      <c r="X603" s="64" t="str">
        <f t="shared" si="113"/>
        <v/>
      </c>
      <c r="Y603" s="64" t="str">
        <f t="shared" si="114"/>
        <v/>
      </c>
      <c r="Z603" s="64" t="str">
        <f t="shared" si="115"/>
        <v/>
      </c>
      <c r="AA603" s="64" t="str">
        <f t="shared" si="109"/>
        <v>OTROS GASTOS_Servicios públicos_Costo</v>
      </c>
      <c r="AC603" s="76" t="s">
        <v>1052</v>
      </c>
      <c r="AD603" s="76" t="s">
        <v>561</v>
      </c>
      <c r="AE603" s="76" t="s">
        <v>789</v>
      </c>
      <c r="AF603" s="76" t="s">
        <v>12</v>
      </c>
      <c r="AG603" s="76" t="s">
        <v>1050</v>
      </c>
      <c r="AH603" s="76" t="s">
        <v>444</v>
      </c>
      <c r="AI603" s="76" t="s">
        <v>444</v>
      </c>
      <c r="AJ603" s="76" t="s">
        <v>444</v>
      </c>
      <c r="AK603" s="76" t="s">
        <v>1454</v>
      </c>
      <c r="AL603" s="76"/>
      <c r="AM603" s="9" t="s">
        <v>1053</v>
      </c>
      <c r="AN603" s="81" t="s">
        <v>561</v>
      </c>
      <c r="AO603" s="81" t="s">
        <v>789</v>
      </c>
      <c r="AP603" s="81" t="s">
        <v>12</v>
      </c>
      <c r="AQ603" s="81" t="s">
        <v>1050</v>
      </c>
      <c r="AR603" s="81" t="s">
        <v>444</v>
      </c>
      <c r="AS603" s="81" t="s">
        <v>444</v>
      </c>
      <c r="AT603" s="81" t="s">
        <v>444</v>
      </c>
      <c r="AU603" s="81" t="s">
        <v>2140</v>
      </c>
      <c r="AV603" s="81" t="str">
        <f t="shared" si="110"/>
        <v>GND_GND_OTROS GASTOS_Servicios públicos_Costo&amp;Gasto&amp;Gasto</v>
      </c>
    </row>
    <row r="604" spans="1:48">
      <c r="A604" s="53"/>
      <c r="B604" s="53"/>
      <c r="C604" s="53"/>
      <c r="D604" s="235" t="s">
        <v>1054</v>
      </c>
      <c r="E604" s="235"/>
      <c r="F604" s="235"/>
      <c r="G604" s="235"/>
      <c r="H604" s="235"/>
      <c r="I604" s="235"/>
      <c r="J604" s="254" t="s">
        <v>741</v>
      </c>
      <c r="K604" s="254"/>
      <c r="L604" s="9" t="s">
        <v>1055</v>
      </c>
      <c r="M604" s="55" t="e">
        <f>VLOOKUP(L604,Casilleros!$A$4:$Q$830,17,FALSE)</f>
        <v>#REF!</v>
      </c>
      <c r="N604" s="9" t="s">
        <v>1056</v>
      </c>
      <c r="O604" s="55" t="e">
        <f>VLOOKUP(N604,Casilleros!$A$4:$Q$830,17,FALSE)</f>
        <v>#REF!</v>
      </c>
      <c r="S604" s="61" t="str">
        <f t="shared" si="108"/>
        <v>.</v>
      </c>
      <c r="T604" s="64" t="str">
        <f t="shared" si="111"/>
        <v>ESTADO DEL RESULTADO INTEGRAL</v>
      </c>
      <c r="U604" s="64" t="str">
        <f t="shared" si="112"/>
        <v>COSTOS Y GASTOS</v>
      </c>
      <c r="V604" s="64" t="str">
        <f t="shared" ref="V604:V667" si="116">IF(U603&lt;&gt;U604,"",(IF(C604&lt;&gt;"",C604,V603)))</f>
        <v>OTROS GASTOS</v>
      </c>
      <c r="W604" s="64" t="str">
        <f t="shared" ref="W604:W667" si="117">IF(V603&lt;&gt;V604,"",(IF(D604&lt;&gt;"",D604,W603)))</f>
        <v>Pérdidas por siniestros</v>
      </c>
      <c r="X604" s="64" t="str">
        <f t="shared" si="113"/>
        <v/>
      </c>
      <c r="Y604" s="64" t="str">
        <f t="shared" si="114"/>
        <v/>
      </c>
      <c r="Z604" s="64" t="str">
        <f t="shared" si="115"/>
        <v/>
      </c>
      <c r="AA604" s="64" t="str">
        <f t="shared" si="109"/>
        <v>OTROS GASTOS_Pérdidas por siniestros_Costo</v>
      </c>
      <c r="AC604" s="76" t="s">
        <v>1055</v>
      </c>
      <c r="AD604" s="76" t="s">
        <v>561</v>
      </c>
      <c r="AE604" s="76" t="s">
        <v>789</v>
      </c>
      <c r="AF604" s="76" t="s">
        <v>12</v>
      </c>
      <c r="AG604" s="76" t="s">
        <v>1054</v>
      </c>
      <c r="AH604" s="76" t="s">
        <v>444</v>
      </c>
      <c r="AI604" s="76" t="s">
        <v>444</v>
      </c>
      <c r="AJ604" s="76" t="s">
        <v>444</v>
      </c>
      <c r="AK604" s="76" t="s">
        <v>1455</v>
      </c>
      <c r="AL604" s="76"/>
      <c r="AM604" s="9" t="s">
        <v>1056</v>
      </c>
      <c r="AN604" s="81" t="s">
        <v>561</v>
      </c>
      <c r="AO604" s="81" t="s">
        <v>789</v>
      </c>
      <c r="AP604" s="81" t="s">
        <v>12</v>
      </c>
      <c r="AQ604" s="81" t="s">
        <v>1054</v>
      </c>
      <c r="AR604" s="81" t="s">
        <v>444</v>
      </c>
      <c r="AS604" s="81" t="s">
        <v>444</v>
      </c>
      <c r="AT604" s="81" t="s">
        <v>444</v>
      </c>
      <c r="AU604" s="81" t="s">
        <v>2141</v>
      </c>
      <c r="AV604" s="81" t="str">
        <f t="shared" si="110"/>
        <v>GND_GND_OTROS GASTOS_Pérdidas por siniestros_Costo&amp;Gasto&amp;Gasto</v>
      </c>
    </row>
    <row r="605" spans="1:48">
      <c r="A605" s="53"/>
      <c r="B605" s="53"/>
      <c r="C605" s="53"/>
      <c r="D605" s="235" t="s">
        <v>122</v>
      </c>
      <c r="E605" s="235"/>
      <c r="F605" s="235"/>
      <c r="G605" s="235"/>
      <c r="H605" s="235" t="s">
        <v>444</v>
      </c>
      <c r="I605" s="235"/>
      <c r="J605" s="9" t="s">
        <v>1057</v>
      </c>
      <c r="K605" s="74" t="e">
        <f>VLOOKUP(J605,Casilleros!$A$4:$Q$830,17,FALSE)</f>
        <v>#REF!</v>
      </c>
      <c r="L605" s="9" t="s">
        <v>1058</v>
      </c>
      <c r="M605" s="74" t="e">
        <f>VLOOKUP(L605,Casilleros!$A$4:$Q$830,17,FALSE)</f>
        <v>#REF!</v>
      </c>
      <c r="N605" s="9" t="s">
        <v>1059</v>
      </c>
      <c r="O605" s="74" t="e">
        <f>+#REF!-O577-O526-O527-O532</f>
        <v>#REF!</v>
      </c>
      <c r="P605" s="67" t="e">
        <f>+O605+O577+O532+O527+O526</f>
        <v>#REF!</v>
      </c>
      <c r="S605" s="61" t="str">
        <f t="shared" si="108"/>
        <v>7247</v>
      </c>
      <c r="T605" s="64" t="str">
        <f t="shared" si="111"/>
        <v>ESTADO DEL RESULTADO INTEGRAL</v>
      </c>
      <c r="U605" s="64" t="str">
        <f t="shared" si="112"/>
        <v>COSTOS Y GASTOS</v>
      </c>
      <c r="V605" s="64" t="str">
        <f t="shared" si="116"/>
        <v>OTROS GASTOS</v>
      </c>
      <c r="W605" s="64" t="str">
        <f t="shared" si="117"/>
        <v>Otros</v>
      </c>
      <c r="X605" s="64" t="str">
        <f t="shared" si="113"/>
        <v/>
      </c>
      <c r="Y605" s="64" t="str">
        <f t="shared" si="114"/>
        <v/>
      </c>
      <c r="Z605" s="64" t="str">
        <f t="shared" si="115"/>
        <v/>
      </c>
      <c r="AA605" s="64" t="str">
        <f t="shared" si="109"/>
        <v>OTROS GASTOS_Otros_Costo</v>
      </c>
      <c r="AC605" s="76" t="s">
        <v>1058</v>
      </c>
      <c r="AD605" s="76" t="s">
        <v>561</v>
      </c>
      <c r="AE605" s="76" t="s">
        <v>789</v>
      </c>
      <c r="AF605" s="76" t="s">
        <v>12</v>
      </c>
      <c r="AG605" s="76" t="s">
        <v>122</v>
      </c>
      <c r="AH605" s="76" t="s">
        <v>444</v>
      </c>
      <c r="AI605" s="76" t="s">
        <v>444</v>
      </c>
      <c r="AJ605" s="76" t="s">
        <v>444</v>
      </c>
      <c r="AK605" s="76" t="s">
        <v>1456</v>
      </c>
      <c r="AL605" s="76"/>
      <c r="AM605" s="9" t="s">
        <v>1059</v>
      </c>
      <c r="AN605" s="81" t="s">
        <v>561</v>
      </c>
      <c r="AO605" s="81" t="s">
        <v>789</v>
      </c>
      <c r="AP605" s="81" t="s">
        <v>12</v>
      </c>
      <c r="AQ605" s="81" t="s">
        <v>122</v>
      </c>
      <c r="AR605" s="81" t="s">
        <v>444</v>
      </c>
      <c r="AS605" s="81" t="s">
        <v>444</v>
      </c>
      <c r="AT605" s="81" t="s">
        <v>444</v>
      </c>
      <c r="AU605" s="81" t="s">
        <v>2142</v>
      </c>
      <c r="AV605" s="81" t="str">
        <f t="shared" si="110"/>
        <v>GND_GND_OTROS GASTOS_Otros_Costo&amp;Gasto&amp;Gasto</v>
      </c>
    </row>
    <row r="606" spans="1:48">
      <c r="A606" s="53"/>
      <c r="B606" s="53"/>
      <c r="C606" s="236" t="s">
        <v>1060</v>
      </c>
      <c r="D606" s="236"/>
      <c r="E606" s="236"/>
      <c r="F606" s="236"/>
      <c r="G606" s="236"/>
      <c r="H606" s="236"/>
      <c r="I606" s="236"/>
      <c r="J606" s="236"/>
      <c r="K606" s="236"/>
      <c r="L606" s="236"/>
      <c r="M606" s="236"/>
      <c r="N606" s="236"/>
      <c r="O606" s="236"/>
      <c r="S606" s="61">
        <f t="shared" si="108"/>
        <v>0</v>
      </c>
      <c r="T606" s="64" t="str">
        <f t="shared" si="111"/>
        <v>ESTADO DEL RESULTADO INTEGRAL</v>
      </c>
      <c r="U606" s="64" t="str">
        <f t="shared" si="112"/>
        <v>COSTOS Y GASTOS</v>
      </c>
      <c r="V606" s="64" t="str">
        <f t="shared" si="116"/>
        <v>GASTOS FINANCIEROS Y OTROS  NO OPERACIONALES</v>
      </c>
      <c r="W606" s="64" t="str">
        <f t="shared" si="117"/>
        <v/>
      </c>
      <c r="X606" s="64" t="str">
        <f t="shared" si="113"/>
        <v/>
      </c>
      <c r="Y606" s="64" t="str">
        <f t="shared" si="114"/>
        <v/>
      </c>
      <c r="Z606" s="64" t="str">
        <f t="shared" si="115"/>
        <v/>
      </c>
      <c r="AA606" s="64" t="str">
        <f>IF(X606&lt;&gt;"",CONCATENATE(W606,"_",X606,"_",Y606,"_",Z606,"_Gasto"),CONCATENATE(V606, "_",W606,"_Gasto"))</f>
        <v>GASTOS FINANCIEROS Y OTROS  NO OPERACIONALES__Gasto</v>
      </c>
      <c r="AM606" s="81"/>
      <c r="AN606" s="81" t="s">
        <v>561</v>
      </c>
      <c r="AO606" s="81" t="s">
        <v>789</v>
      </c>
      <c r="AP606" s="81" t="s">
        <v>1060</v>
      </c>
      <c r="AQ606" s="81" t="s">
        <v>444</v>
      </c>
      <c r="AR606" s="81" t="s">
        <v>444</v>
      </c>
      <c r="AS606" s="81" t="s">
        <v>444</v>
      </c>
      <c r="AT606" s="81" t="s">
        <v>444</v>
      </c>
      <c r="AU606" s="81" t="s">
        <v>2143</v>
      </c>
      <c r="AV606" s="81" t="str">
        <f>CONCATENATE("GND_",AU606)</f>
        <v>GND_GND_GASTOS FINANCIEROS Y OTROS  NO OPERACIONALES__Gasto</v>
      </c>
    </row>
    <row r="607" spans="1:48">
      <c r="A607" s="53"/>
      <c r="B607" s="53"/>
      <c r="C607" s="53"/>
      <c r="D607" s="236" t="s">
        <v>1061</v>
      </c>
      <c r="E607" s="236"/>
      <c r="F607" s="236"/>
      <c r="G607" s="236"/>
      <c r="H607" s="236"/>
      <c r="I607" s="236"/>
      <c r="J607" s="236"/>
      <c r="K607" s="236"/>
      <c r="L607" s="236"/>
      <c r="M607" s="236"/>
      <c r="N607" s="236"/>
      <c r="O607" s="236"/>
      <c r="S607" s="61">
        <f t="shared" si="108"/>
        <v>0</v>
      </c>
      <c r="T607" s="64" t="str">
        <f t="shared" si="111"/>
        <v>ESTADO DEL RESULTADO INTEGRAL</v>
      </c>
      <c r="U607" s="64" t="str">
        <f t="shared" si="112"/>
        <v>COSTOS Y GASTOS</v>
      </c>
      <c r="V607" s="64" t="str">
        <f t="shared" si="116"/>
        <v>GASTOS FINANCIEROS Y OTROS  NO OPERACIONALES</v>
      </c>
      <c r="W607" s="64" t="str">
        <f t="shared" si="117"/>
        <v>GASTOS FINANCIEROS</v>
      </c>
      <c r="X607" s="64" t="str">
        <f t="shared" si="113"/>
        <v/>
      </c>
      <c r="Y607" s="64" t="str">
        <f t="shared" si="114"/>
        <v/>
      </c>
      <c r="Z607" s="64" t="str">
        <f t="shared" si="115"/>
        <v/>
      </c>
      <c r="AA607" s="64" t="str">
        <f t="shared" ref="AA607:AA641" si="118">IF(X607&lt;&gt;"",CONCATENATE(W607,"_",X607,"_",Y607,"_",Z607,"_Gasto"),CONCATENATE(V607, "_",W607,"_Gasto"))</f>
        <v>GASTOS FINANCIEROS Y OTROS  NO OPERACIONALES_GASTOS FINANCIEROS_Gasto</v>
      </c>
      <c r="AM607" s="81"/>
      <c r="AN607" s="81" t="s">
        <v>561</v>
      </c>
      <c r="AO607" s="81" t="s">
        <v>789</v>
      </c>
      <c r="AP607" s="81" t="s">
        <v>1060</v>
      </c>
      <c r="AQ607" s="81" t="s">
        <v>1061</v>
      </c>
      <c r="AR607" s="81" t="s">
        <v>444</v>
      </c>
      <c r="AS607" s="81" t="s">
        <v>444</v>
      </c>
      <c r="AT607" s="81" t="s">
        <v>444</v>
      </c>
      <c r="AU607" s="81" t="s">
        <v>2144</v>
      </c>
      <c r="AV607" s="81" t="str">
        <f t="shared" ref="AV607:AV641" si="119">CONCATENATE("GND_",AU607)</f>
        <v>GND_GND_GASTOS FINANCIEROS Y OTROS  NO OPERACIONALES_GASTOS FINANCIEROS_Gasto</v>
      </c>
    </row>
    <row r="608" spans="1:48">
      <c r="A608" s="53"/>
      <c r="B608" s="53"/>
      <c r="C608" s="53"/>
      <c r="D608" s="53"/>
      <c r="E608" s="236" t="s">
        <v>705</v>
      </c>
      <c r="F608" s="236"/>
      <c r="G608" s="236"/>
      <c r="H608" s="236"/>
      <c r="I608" s="236"/>
      <c r="J608" s="236"/>
      <c r="K608" s="236"/>
      <c r="L608" s="236"/>
      <c r="M608" s="236"/>
      <c r="N608" s="236"/>
      <c r="O608" s="236"/>
      <c r="S608" s="61">
        <f t="shared" si="108"/>
        <v>0</v>
      </c>
      <c r="T608" s="64" t="str">
        <f t="shared" si="111"/>
        <v>ESTADO DEL RESULTADO INTEGRAL</v>
      </c>
      <c r="U608" s="64" t="str">
        <f t="shared" si="112"/>
        <v>COSTOS Y GASTOS</v>
      </c>
      <c r="V608" s="64" t="str">
        <f t="shared" si="116"/>
        <v>GASTOS FINANCIEROS Y OTROS  NO OPERACIONALES</v>
      </c>
      <c r="W608" s="64" t="str">
        <f t="shared" si="117"/>
        <v>GASTOS FINANCIEROS</v>
      </c>
      <c r="X608" s="64" t="str">
        <f t="shared" si="113"/>
        <v>ARRENDAMIENTO MERCANTIL</v>
      </c>
      <c r="Y608" s="64" t="str">
        <f t="shared" si="114"/>
        <v/>
      </c>
      <c r="Z608" s="64" t="str">
        <f t="shared" si="115"/>
        <v/>
      </c>
      <c r="AA608" s="64" t="str">
        <f t="shared" si="118"/>
        <v>GASTOS FINANCIEROS_ARRENDAMIENTO MERCANTIL___Gasto</v>
      </c>
      <c r="AM608" s="81"/>
      <c r="AN608" s="81" t="s">
        <v>561</v>
      </c>
      <c r="AO608" s="81" t="s">
        <v>789</v>
      </c>
      <c r="AP608" s="81" t="s">
        <v>1060</v>
      </c>
      <c r="AQ608" s="81" t="s">
        <v>1061</v>
      </c>
      <c r="AR608" s="81" t="s">
        <v>705</v>
      </c>
      <c r="AS608" s="81" t="s">
        <v>444</v>
      </c>
      <c r="AT608" s="81" t="s">
        <v>444</v>
      </c>
      <c r="AU608" s="81" t="s">
        <v>2145</v>
      </c>
      <c r="AV608" s="81" t="str">
        <f t="shared" si="119"/>
        <v>GND_GND_GASTOS FINANCIEROS_ARRENDAMIENTO MERCANTIL___Gasto</v>
      </c>
    </row>
    <row r="609" spans="1:48">
      <c r="A609" s="53"/>
      <c r="B609" s="53"/>
      <c r="C609" s="53"/>
      <c r="D609" s="53"/>
      <c r="E609" s="53"/>
      <c r="F609" s="247" t="s">
        <v>72</v>
      </c>
      <c r="G609" s="247"/>
      <c r="H609" s="247"/>
      <c r="I609" s="247"/>
      <c r="J609" s="247"/>
      <c r="K609" s="247"/>
      <c r="L609" s="246" t="s">
        <v>11</v>
      </c>
      <c r="M609" s="246"/>
      <c r="N609" s="246" t="s">
        <v>791</v>
      </c>
      <c r="O609" s="246"/>
      <c r="S609" s="61">
        <f t="shared" si="108"/>
        <v>0</v>
      </c>
      <c r="T609" s="64" t="str">
        <f t="shared" si="111"/>
        <v>ESTADO DEL RESULTADO INTEGRAL</v>
      </c>
      <c r="U609" s="64" t="str">
        <f t="shared" si="112"/>
        <v>COSTOS Y GASTOS</v>
      </c>
      <c r="V609" s="64" t="str">
        <f t="shared" si="116"/>
        <v>GASTOS FINANCIEROS Y OTROS  NO OPERACIONALES</v>
      </c>
      <c r="W609" s="64" t="str">
        <f t="shared" si="117"/>
        <v>GASTOS FINANCIEROS</v>
      </c>
      <c r="X609" s="64" t="str">
        <f t="shared" si="113"/>
        <v>ARRENDAMIENTO MERCANTIL</v>
      </c>
      <c r="Y609" s="64" t="str">
        <f t="shared" si="114"/>
        <v>RELACIONADAS</v>
      </c>
      <c r="Z609" s="64" t="str">
        <f t="shared" si="115"/>
        <v/>
      </c>
      <c r="AA609" s="64" t="str">
        <f t="shared" si="118"/>
        <v>GASTOS FINANCIEROS_ARRENDAMIENTO MERCANTIL_RELACIONADAS__Gasto</v>
      </c>
      <c r="AM609" s="81"/>
      <c r="AN609" s="81" t="s">
        <v>561</v>
      </c>
      <c r="AO609" s="81" t="s">
        <v>789</v>
      </c>
      <c r="AP609" s="81" t="s">
        <v>1060</v>
      </c>
      <c r="AQ609" s="81" t="s">
        <v>1061</v>
      </c>
      <c r="AR609" s="81" t="s">
        <v>705</v>
      </c>
      <c r="AS609" s="81" t="s">
        <v>72</v>
      </c>
      <c r="AT609" s="81" t="s">
        <v>444</v>
      </c>
      <c r="AU609" s="81" t="s">
        <v>2146</v>
      </c>
      <c r="AV609" s="81" t="str">
        <f t="shared" si="119"/>
        <v>GND_GND_GASTOS FINANCIEROS_ARRENDAMIENTO MERCANTIL_RELACIONADAS__Gasto</v>
      </c>
    </row>
    <row r="610" spans="1:48">
      <c r="A610" s="53"/>
      <c r="B610" s="53"/>
      <c r="C610" s="53"/>
      <c r="D610" s="53"/>
      <c r="E610" s="53"/>
      <c r="F610" s="53"/>
      <c r="G610" s="242" t="s">
        <v>25</v>
      </c>
      <c r="H610" s="242"/>
      <c r="I610" s="242"/>
      <c r="J610" s="242"/>
      <c r="K610" s="242"/>
      <c r="L610" s="9" t="s">
        <v>1062</v>
      </c>
      <c r="M610" s="55" t="e">
        <f>VLOOKUP(L610,Casilleros!$A$4:$Q$830,17,FALSE)</f>
        <v>#REF!</v>
      </c>
      <c r="N610" s="9" t="s">
        <v>1063</v>
      </c>
      <c r="O610" s="55" t="e">
        <f>VLOOKUP(N610,Casilleros!$A$4:$Q$830,17,FALSE)</f>
        <v>#REF!</v>
      </c>
      <c r="S610" s="67" t="str">
        <f>L610</f>
        <v>7251</v>
      </c>
      <c r="T610" s="64" t="str">
        <f t="shared" si="111"/>
        <v>ESTADO DEL RESULTADO INTEGRAL</v>
      </c>
      <c r="U610" s="64" t="str">
        <f t="shared" si="112"/>
        <v>COSTOS Y GASTOS</v>
      </c>
      <c r="V610" s="64" t="str">
        <f t="shared" si="116"/>
        <v>GASTOS FINANCIEROS Y OTROS  NO OPERACIONALES</v>
      </c>
      <c r="W610" s="64" t="str">
        <f t="shared" si="117"/>
        <v>GASTOS FINANCIEROS</v>
      </c>
      <c r="X610" s="64" t="str">
        <f t="shared" si="113"/>
        <v>ARRENDAMIENTO MERCANTIL</v>
      </c>
      <c r="Y610" s="64" t="str">
        <f t="shared" si="114"/>
        <v>RELACIONADAS</v>
      </c>
      <c r="Z610" s="64" t="str">
        <f t="shared" si="115"/>
        <v>Local</v>
      </c>
      <c r="AA610" s="64" t="str">
        <f t="shared" si="118"/>
        <v>GASTOS FINANCIEROS_ARRENDAMIENTO MERCANTIL_RELACIONADAS_Local_Gasto</v>
      </c>
      <c r="AM610" s="9" t="s">
        <v>1063</v>
      </c>
      <c r="AN610" s="81" t="s">
        <v>561</v>
      </c>
      <c r="AO610" s="81" t="s">
        <v>789</v>
      </c>
      <c r="AP610" s="81" t="s">
        <v>1060</v>
      </c>
      <c r="AQ610" s="81" t="s">
        <v>1061</v>
      </c>
      <c r="AR610" s="81" t="s">
        <v>705</v>
      </c>
      <c r="AS610" s="81" t="s">
        <v>72</v>
      </c>
      <c r="AT610" s="81" t="s">
        <v>25</v>
      </c>
      <c r="AU610" s="81" t="s">
        <v>2147</v>
      </c>
      <c r="AV610" s="81" t="str">
        <f t="shared" si="119"/>
        <v>GND_GND_GASTOS FINANCIEROS_ARRENDAMIENTO MERCANTIL_RELACIONADAS_Local_Gasto</v>
      </c>
    </row>
    <row r="611" spans="1:48">
      <c r="A611" s="53"/>
      <c r="B611" s="53"/>
      <c r="C611" s="53"/>
      <c r="D611" s="53"/>
      <c r="E611" s="53"/>
      <c r="F611" s="53"/>
      <c r="G611" s="242" t="s">
        <v>26</v>
      </c>
      <c r="H611" s="242"/>
      <c r="I611" s="242"/>
      <c r="J611" s="242"/>
      <c r="K611" s="242"/>
      <c r="L611" s="9" t="s">
        <v>1064</v>
      </c>
      <c r="M611" s="55" t="e">
        <f>VLOOKUP(L611,Casilleros!$A$4:$Q$830,17,FALSE)</f>
        <v>#REF!</v>
      </c>
      <c r="N611" s="9" t="s">
        <v>1065</v>
      </c>
      <c r="O611" s="55" t="e">
        <f>VLOOKUP(N611,Casilleros!$A$4:$Q$830,17,FALSE)</f>
        <v>#REF!</v>
      </c>
      <c r="S611" s="67" t="str">
        <f t="shared" ref="S611:S643" si="120">L611</f>
        <v>7254</v>
      </c>
      <c r="T611" s="64" t="str">
        <f t="shared" si="111"/>
        <v>ESTADO DEL RESULTADO INTEGRAL</v>
      </c>
      <c r="U611" s="64" t="str">
        <f t="shared" si="112"/>
        <v>COSTOS Y GASTOS</v>
      </c>
      <c r="V611" s="64" t="str">
        <f t="shared" si="116"/>
        <v>GASTOS FINANCIEROS Y OTROS  NO OPERACIONALES</v>
      </c>
      <c r="W611" s="64" t="str">
        <f t="shared" si="117"/>
        <v>GASTOS FINANCIEROS</v>
      </c>
      <c r="X611" s="64" t="str">
        <f t="shared" si="113"/>
        <v>ARRENDAMIENTO MERCANTIL</v>
      </c>
      <c r="Y611" s="64" t="str">
        <f t="shared" si="114"/>
        <v>RELACIONADAS</v>
      </c>
      <c r="Z611" s="64" t="str">
        <f t="shared" si="115"/>
        <v>Del exterior</v>
      </c>
      <c r="AA611" s="64" t="str">
        <f t="shared" si="118"/>
        <v>GASTOS FINANCIEROS_ARRENDAMIENTO MERCANTIL_RELACIONADAS_Del exterior_Gasto</v>
      </c>
      <c r="AM611" s="9" t="s">
        <v>1065</v>
      </c>
      <c r="AN611" s="81" t="s">
        <v>561</v>
      </c>
      <c r="AO611" s="81" t="s">
        <v>789</v>
      </c>
      <c r="AP611" s="81" t="s">
        <v>1060</v>
      </c>
      <c r="AQ611" s="81" t="s">
        <v>1061</v>
      </c>
      <c r="AR611" s="81" t="s">
        <v>705</v>
      </c>
      <c r="AS611" s="81" t="s">
        <v>72</v>
      </c>
      <c r="AT611" s="81" t="s">
        <v>26</v>
      </c>
      <c r="AU611" s="81" t="s">
        <v>2148</v>
      </c>
      <c r="AV611" s="81" t="str">
        <f t="shared" si="119"/>
        <v>GND_GND_GASTOS FINANCIEROS_ARRENDAMIENTO MERCANTIL_RELACIONADAS_Del exterior_Gasto</v>
      </c>
    </row>
    <row r="612" spans="1:48">
      <c r="A612" s="53"/>
      <c r="B612" s="53"/>
      <c r="C612" s="53"/>
      <c r="D612" s="53"/>
      <c r="E612" s="53"/>
      <c r="F612" s="247" t="s">
        <v>78</v>
      </c>
      <c r="G612" s="247"/>
      <c r="H612" s="247"/>
      <c r="I612" s="247"/>
      <c r="J612" s="247"/>
      <c r="K612" s="247"/>
      <c r="L612" s="246" t="s">
        <v>11</v>
      </c>
      <c r="M612" s="246"/>
      <c r="N612" s="246" t="s">
        <v>791</v>
      </c>
      <c r="O612" s="246"/>
      <c r="S612" s="67" t="str">
        <f t="shared" si="120"/>
        <v>Gasto</v>
      </c>
      <c r="T612" s="64" t="str">
        <f t="shared" si="111"/>
        <v>ESTADO DEL RESULTADO INTEGRAL</v>
      </c>
      <c r="U612" s="64" t="str">
        <f t="shared" si="112"/>
        <v>COSTOS Y GASTOS</v>
      </c>
      <c r="V612" s="64" t="str">
        <f t="shared" si="116"/>
        <v>GASTOS FINANCIEROS Y OTROS  NO OPERACIONALES</v>
      </c>
      <c r="W612" s="64" t="str">
        <f t="shared" si="117"/>
        <v>GASTOS FINANCIEROS</v>
      </c>
      <c r="X612" s="64" t="str">
        <f t="shared" si="113"/>
        <v>ARRENDAMIENTO MERCANTIL</v>
      </c>
      <c r="Y612" s="64" t="str">
        <f t="shared" si="114"/>
        <v>NO RELACIONADAS</v>
      </c>
      <c r="Z612" s="64" t="str">
        <f t="shared" si="115"/>
        <v/>
      </c>
      <c r="AA612" s="64" t="str">
        <f t="shared" si="118"/>
        <v>GASTOS FINANCIEROS_ARRENDAMIENTO MERCANTIL_NO RELACIONADAS__Gasto</v>
      </c>
      <c r="AM612" s="81"/>
      <c r="AN612" s="81" t="s">
        <v>561</v>
      </c>
      <c r="AO612" s="81" t="s">
        <v>789</v>
      </c>
      <c r="AP612" s="81" t="s">
        <v>1060</v>
      </c>
      <c r="AQ612" s="81" t="s">
        <v>1061</v>
      </c>
      <c r="AR612" s="81" t="s">
        <v>705</v>
      </c>
      <c r="AS612" s="81" t="s">
        <v>78</v>
      </c>
      <c r="AT612" s="81" t="s">
        <v>444</v>
      </c>
      <c r="AU612" s="81" t="s">
        <v>2149</v>
      </c>
      <c r="AV612" s="81" t="str">
        <f t="shared" si="119"/>
        <v>GND_GND_GASTOS FINANCIEROS_ARRENDAMIENTO MERCANTIL_NO RELACIONADAS__Gasto</v>
      </c>
    </row>
    <row r="613" spans="1:48">
      <c r="A613" s="53"/>
      <c r="B613" s="53"/>
      <c r="C613" s="53"/>
      <c r="D613" s="53"/>
      <c r="E613" s="53"/>
      <c r="F613" s="53"/>
      <c r="G613" s="242" t="s">
        <v>25</v>
      </c>
      <c r="H613" s="242"/>
      <c r="I613" s="242"/>
      <c r="J613" s="242"/>
      <c r="K613" s="242"/>
      <c r="L613" s="9" t="s">
        <v>1066</v>
      </c>
      <c r="M613" s="55" t="e">
        <f>VLOOKUP(L613,Casilleros!$A$4:$Q$830,17,FALSE)</f>
        <v>#REF!</v>
      </c>
      <c r="N613" s="9" t="s">
        <v>1067</v>
      </c>
      <c r="O613" s="55" t="e">
        <f>VLOOKUP(N613,Casilleros!$A$4:$Q$830,17,FALSE)</f>
        <v>#REF!</v>
      </c>
      <c r="S613" s="67" t="str">
        <f t="shared" si="120"/>
        <v>7257</v>
      </c>
      <c r="T613" s="64" t="str">
        <f t="shared" si="111"/>
        <v>ESTADO DEL RESULTADO INTEGRAL</v>
      </c>
      <c r="U613" s="64" t="str">
        <f t="shared" si="112"/>
        <v>COSTOS Y GASTOS</v>
      </c>
      <c r="V613" s="64" t="str">
        <f t="shared" si="116"/>
        <v>GASTOS FINANCIEROS Y OTROS  NO OPERACIONALES</v>
      </c>
      <c r="W613" s="64" t="str">
        <f t="shared" si="117"/>
        <v>GASTOS FINANCIEROS</v>
      </c>
      <c r="X613" s="64" t="str">
        <f t="shared" si="113"/>
        <v>ARRENDAMIENTO MERCANTIL</v>
      </c>
      <c r="Y613" s="64" t="str">
        <f t="shared" si="114"/>
        <v>NO RELACIONADAS</v>
      </c>
      <c r="Z613" s="64" t="str">
        <f t="shared" si="115"/>
        <v>Local</v>
      </c>
      <c r="AA613" s="64" t="str">
        <f t="shared" si="118"/>
        <v>GASTOS FINANCIEROS_ARRENDAMIENTO MERCANTIL_NO RELACIONADAS_Local_Gasto</v>
      </c>
      <c r="AM613" s="9" t="s">
        <v>1067</v>
      </c>
      <c r="AN613" s="81" t="s">
        <v>561</v>
      </c>
      <c r="AO613" s="81" t="s">
        <v>789</v>
      </c>
      <c r="AP613" s="81" t="s">
        <v>1060</v>
      </c>
      <c r="AQ613" s="81" t="s">
        <v>1061</v>
      </c>
      <c r="AR613" s="81" t="s">
        <v>705</v>
      </c>
      <c r="AS613" s="81" t="s">
        <v>78</v>
      </c>
      <c r="AT613" s="81" t="s">
        <v>25</v>
      </c>
      <c r="AU613" s="81" t="s">
        <v>2150</v>
      </c>
      <c r="AV613" s="81" t="str">
        <f t="shared" si="119"/>
        <v>GND_GND_GASTOS FINANCIEROS_ARRENDAMIENTO MERCANTIL_NO RELACIONADAS_Local_Gasto</v>
      </c>
    </row>
    <row r="614" spans="1:48">
      <c r="A614" s="53"/>
      <c r="B614" s="53"/>
      <c r="C614" s="53"/>
      <c r="D614" s="53"/>
      <c r="E614" s="53"/>
      <c r="F614" s="53"/>
      <c r="G614" s="242" t="s">
        <v>26</v>
      </c>
      <c r="H614" s="242"/>
      <c r="I614" s="242"/>
      <c r="J614" s="242"/>
      <c r="K614" s="242"/>
      <c r="L614" s="9" t="s">
        <v>1068</v>
      </c>
      <c r="M614" s="55" t="e">
        <f>VLOOKUP(L614,Casilleros!$A$4:$Q$830,17,FALSE)</f>
        <v>#REF!</v>
      </c>
      <c r="N614" s="9" t="s">
        <v>1069</v>
      </c>
      <c r="O614" s="55" t="e">
        <f>VLOOKUP(N614,Casilleros!$A$4:$Q$830,17,FALSE)</f>
        <v>#REF!</v>
      </c>
      <c r="S614" s="67" t="str">
        <f t="shared" si="120"/>
        <v>7260</v>
      </c>
      <c r="T614" s="64" t="str">
        <f t="shared" si="111"/>
        <v>ESTADO DEL RESULTADO INTEGRAL</v>
      </c>
      <c r="U614" s="64" t="str">
        <f t="shared" si="112"/>
        <v>COSTOS Y GASTOS</v>
      </c>
      <c r="V614" s="64" t="str">
        <f t="shared" si="116"/>
        <v>GASTOS FINANCIEROS Y OTROS  NO OPERACIONALES</v>
      </c>
      <c r="W614" s="64" t="str">
        <f t="shared" si="117"/>
        <v>GASTOS FINANCIEROS</v>
      </c>
      <c r="X614" s="64" t="str">
        <f t="shared" si="113"/>
        <v>ARRENDAMIENTO MERCANTIL</v>
      </c>
      <c r="Y614" s="64" t="str">
        <f t="shared" si="114"/>
        <v>NO RELACIONADAS</v>
      </c>
      <c r="Z614" s="64" t="str">
        <f t="shared" si="115"/>
        <v>Del exterior</v>
      </c>
      <c r="AA614" s="64" t="str">
        <f t="shared" si="118"/>
        <v>GASTOS FINANCIEROS_ARRENDAMIENTO MERCANTIL_NO RELACIONADAS_Del exterior_Gasto</v>
      </c>
      <c r="AM614" s="9" t="s">
        <v>1069</v>
      </c>
      <c r="AN614" s="81" t="s">
        <v>561</v>
      </c>
      <c r="AO614" s="81" t="s">
        <v>789</v>
      </c>
      <c r="AP614" s="81" t="s">
        <v>1060</v>
      </c>
      <c r="AQ614" s="81" t="s">
        <v>1061</v>
      </c>
      <c r="AR614" s="81" t="s">
        <v>705</v>
      </c>
      <c r="AS614" s="81" t="s">
        <v>78</v>
      </c>
      <c r="AT614" s="81" t="s">
        <v>26</v>
      </c>
      <c r="AU614" s="81" t="s">
        <v>2151</v>
      </c>
      <c r="AV614" s="81" t="str">
        <f t="shared" si="119"/>
        <v>GND_GND_GASTOS FINANCIEROS_ARRENDAMIENTO MERCANTIL_NO RELACIONADAS_Del exterior_Gasto</v>
      </c>
    </row>
    <row r="615" spans="1:48">
      <c r="A615" s="53"/>
      <c r="B615" s="53"/>
      <c r="C615" s="53"/>
      <c r="D615" s="53"/>
      <c r="E615" s="239" t="s">
        <v>1070</v>
      </c>
      <c r="F615" s="239"/>
      <c r="G615" s="239"/>
      <c r="H615" s="239"/>
      <c r="I615" s="239"/>
      <c r="J615" s="239"/>
      <c r="K615" s="239"/>
      <c r="L615" s="239"/>
      <c r="M615" s="239"/>
      <c r="N615" s="239"/>
      <c r="O615" s="239"/>
      <c r="S615" s="67">
        <f t="shared" si="120"/>
        <v>0</v>
      </c>
      <c r="T615" s="64" t="str">
        <f t="shared" si="111"/>
        <v>ESTADO DEL RESULTADO INTEGRAL</v>
      </c>
      <c r="U615" s="64" t="str">
        <f t="shared" si="112"/>
        <v>COSTOS Y GASTOS</v>
      </c>
      <c r="V615" s="64" t="str">
        <f t="shared" si="116"/>
        <v>GASTOS FINANCIEROS Y OTROS  NO OPERACIONALES</v>
      </c>
      <c r="W615" s="64" t="str">
        <f t="shared" si="117"/>
        <v>GASTOS FINANCIEROS</v>
      </c>
      <c r="X615" s="64" t="str">
        <f t="shared" si="113"/>
        <v>COSTOS DE TRANSACCIÓN (COMISIONES BANCARIAS, HONORARIOS, TASAS, ENTRE OTROS)</v>
      </c>
      <c r="Y615" s="64" t="str">
        <f t="shared" si="114"/>
        <v/>
      </c>
      <c r="Z615" s="64" t="str">
        <f t="shared" si="115"/>
        <v/>
      </c>
      <c r="AA615" s="64" t="str">
        <f t="shared" si="118"/>
        <v>GASTOS FINANCIEROS_COSTOS DE TRANSACCIÓN (COMISIONES BANCARIAS, HONORARIOS, TASAS, ENTRE OTROS)___Gasto</v>
      </c>
      <c r="AM615" s="81"/>
      <c r="AN615" s="81" t="s">
        <v>561</v>
      </c>
      <c r="AO615" s="81" t="s">
        <v>789</v>
      </c>
      <c r="AP615" s="81" t="s">
        <v>1060</v>
      </c>
      <c r="AQ615" s="81" t="s">
        <v>1061</v>
      </c>
      <c r="AR615" s="81" t="s">
        <v>1070</v>
      </c>
      <c r="AS615" s="81" t="s">
        <v>444</v>
      </c>
      <c r="AT615" s="81" t="s">
        <v>444</v>
      </c>
      <c r="AU615" s="81" t="s">
        <v>2152</v>
      </c>
      <c r="AV615" s="81" t="str">
        <f t="shared" si="119"/>
        <v>GND_GND_GASTOS FINANCIEROS_COSTOS DE TRANSACCIÓN (COMISIONES BANCARIAS, HONORARIOS, TASAS, ENTRE OTROS)___Gasto</v>
      </c>
    </row>
    <row r="616" spans="1:48">
      <c r="A616" s="53"/>
      <c r="B616" s="53"/>
      <c r="C616" s="53"/>
      <c r="D616" s="53"/>
      <c r="E616" s="53"/>
      <c r="F616" s="247" t="s">
        <v>72</v>
      </c>
      <c r="G616" s="247"/>
      <c r="H616" s="247"/>
      <c r="I616" s="247"/>
      <c r="J616" s="247"/>
      <c r="K616" s="247"/>
      <c r="L616" s="246" t="s">
        <v>11</v>
      </c>
      <c r="M616" s="246"/>
      <c r="N616" s="246" t="s">
        <v>791</v>
      </c>
      <c r="O616" s="246"/>
      <c r="S616" s="67" t="str">
        <f t="shared" si="120"/>
        <v>Gasto</v>
      </c>
      <c r="T616" s="64" t="str">
        <f t="shared" si="111"/>
        <v>ESTADO DEL RESULTADO INTEGRAL</v>
      </c>
      <c r="U616" s="64" t="str">
        <f t="shared" si="112"/>
        <v>COSTOS Y GASTOS</v>
      </c>
      <c r="V616" s="64" t="str">
        <f t="shared" si="116"/>
        <v>GASTOS FINANCIEROS Y OTROS  NO OPERACIONALES</v>
      </c>
      <c r="W616" s="64" t="str">
        <f t="shared" si="117"/>
        <v>GASTOS FINANCIEROS</v>
      </c>
      <c r="X616" s="64" t="str">
        <f t="shared" si="113"/>
        <v>COSTOS DE TRANSACCIÓN (COMISIONES BANCARIAS, HONORARIOS, TASAS, ENTRE OTROS)</v>
      </c>
      <c r="Y616" s="64" t="str">
        <f t="shared" si="114"/>
        <v>RELACIONADAS</v>
      </c>
      <c r="Z616" s="64" t="str">
        <f t="shared" si="115"/>
        <v/>
      </c>
      <c r="AA616" s="64" t="str">
        <f t="shared" si="118"/>
        <v>GASTOS FINANCIEROS_COSTOS DE TRANSACCIÓN (COMISIONES BANCARIAS, HONORARIOS, TASAS, ENTRE OTROS)_RELACIONADAS__Gasto</v>
      </c>
      <c r="AM616" s="81"/>
      <c r="AN616" s="81" t="s">
        <v>561</v>
      </c>
      <c r="AO616" s="81" t="s">
        <v>789</v>
      </c>
      <c r="AP616" s="81" t="s">
        <v>1060</v>
      </c>
      <c r="AQ616" s="81" t="s">
        <v>1061</v>
      </c>
      <c r="AR616" s="81" t="s">
        <v>1070</v>
      </c>
      <c r="AS616" s="81" t="s">
        <v>72</v>
      </c>
      <c r="AT616" s="81" t="s">
        <v>444</v>
      </c>
      <c r="AU616" s="81" t="s">
        <v>2153</v>
      </c>
      <c r="AV616" s="81" t="str">
        <f t="shared" si="119"/>
        <v>GND_GND_GASTOS FINANCIEROS_COSTOS DE TRANSACCIÓN (COMISIONES BANCARIAS, HONORARIOS, TASAS, ENTRE OTROS)_RELACIONADAS__Gasto</v>
      </c>
    </row>
    <row r="617" spans="1:48">
      <c r="A617" s="53"/>
      <c r="B617" s="53"/>
      <c r="C617" s="53"/>
      <c r="D617" s="53"/>
      <c r="E617" s="53"/>
      <c r="F617" s="53"/>
      <c r="G617" s="242" t="s">
        <v>25</v>
      </c>
      <c r="H617" s="242"/>
      <c r="I617" s="242"/>
      <c r="J617" s="242"/>
      <c r="K617" s="242"/>
      <c r="L617" s="9" t="s">
        <v>1071</v>
      </c>
      <c r="M617" s="55" t="e">
        <f>VLOOKUP(L617,Casilleros!$A$4:$Q$830,17,FALSE)</f>
        <v>#REF!</v>
      </c>
      <c r="N617" s="9" t="s">
        <v>1072</v>
      </c>
      <c r="O617" s="55" t="e">
        <f>VLOOKUP(N617,Casilleros!$A$4:$Q$830,17,FALSE)</f>
        <v>#REF!</v>
      </c>
      <c r="S617" s="67" t="str">
        <f t="shared" si="120"/>
        <v>7263</v>
      </c>
      <c r="T617" s="64" t="str">
        <f t="shared" si="111"/>
        <v>ESTADO DEL RESULTADO INTEGRAL</v>
      </c>
      <c r="U617" s="64" t="str">
        <f t="shared" si="112"/>
        <v>COSTOS Y GASTOS</v>
      </c>
      <c r="V617" s="64" t="str">
        <f t="shared" si="116"/>
        <v>GASTOS FINANCIEROS Y OTROS  NO OPERACIONALES</v>
      </c>
      <c r="W617" s="64" t="str">
        <f t="shared" si="117"/>
        <v>GASTOS FINANCIEROS</v>
      </c>
      <c r="X617" s="64" t="str">
        <f t="shared" si="113"/>
        <v>COSTOS DE TRANSACCIÓN (COMISIONES BANCARIAS, HONORARIOS, TASAS, ENTRE OTROS)</v>
      </c>
      <c r="Y617" s="64" t="str">
        <f t="shared" si="114"/>
        <v>RELACIONADAS</v>
      </c>
      <c r="Z617" s="64" t="str">
        <f t="shared" si="115"/>
        <v>Local</v>
      </c>
      <c r="AA617" s="64" t="str">
        <f t="shared" si="118"/>
        <v>GASTOS FINANCIEROS_COSTOS DE TRANSACCIÓN (COMISIONES BANCARIAS, HONORARIOS, TASAS, ENTRE OTROS)_RELACIONADAS_Local_Gasto</v>
      </c>
      <c r="AM617" s="9" t="s">
        <v>1072</v>
      </c>
      <c r="AN617" s="81" t="s">
        <v>561</v>
      </c>
      <c r="AO617" s="81" t="s">
        <v>789</v>
      </c>
      <c r="AP617" s="81" t="s">
        <v>1060</v>
      </c>
      <c r="AQ617" s="81" t="s">
        <v>1061</v>
      </c>
      <c r="AR617" s="81" t="s">
        <v>1070</v>
      </c>
      <c r="AS617" s="81" t="s">
        <v>72</v>
      </c>
      <c r="AT617" s="81" t="s">
        <v>25</v>
      </c>
      <c r="AU617" s="81" t="s">
        <v>2154</v>
      </c>
      <c r="AV617" s="81" t="str">
        <f t="shared" si="119"/>
        <v>GND_GND_GASTOS FINANCIEROS_COSTOS DE TRANSACCIÓN (COMISIONES BANCARIAS, HONORARIOS, TASAS, ENTRE OTROS)_RELACIONADAS_Local_Gasto</v>
      </c>
    </row>
    <row r="618" spans="1:48">
      <c r="A618" s="53"/>
      <c r="B618" s="53"/>
      <c r="C618" s="53"/>
      <c r="D618" s="53"/>
      <c r="E618" s="53"/>
      <c r="F618" s="53"/>
      <c r="G618" s="242" t="s">
        <v>26</v>
      </c>
      <c r="H618" s="242"/>
      <c r="I618" s="242"/>
      <c r="J618" s="242"/>
      <c r="K618" s="242"/>
      <c r="L618" s="9" t="s">
        <v>1073</v>
      </c>
      <c r="M618" s="74" t="e">
        <f>VLOOKUP(L618,Casilleros!$A$4:$Q$830,17,FALSE)</f>
        <v>#REF!</v>
      </c>
      <c r="N618" s="9" t="s">
        <v>1074</v>
      </c>
      <c r="O618" s="55" t="e">
        <f>VLOOKUP(N618,Casilleros!$A$4:$Q$830,17,FALSE)</f>
        <v>#REF!</v>
      </c>
      <c r="S618" s="67" t="str">
        <f t="shared" si="120"/>
        <v>7266</v>
      </c>
      <c r="T618" s="64" t="str">
        <f t="shared" si="111"/>
        <v>ESTADO DEL RESULTADO INTEGRAL</v>
      </c>
      <c r="U618" s="64" t="str">
        <f t="shared" si="112"/>
        <v>COSTOS Y GASTOS</v>
      </c>
      <c r="V618" s="64" t="str">
        <f t="shared" si="116"/>
        <v>GASTOS FINANCIEROS Y OTROS  NO OPERACIONALES</v>
      </c>
      <c r="W618" s="64" t="str">
        <f t="shared" si="117"/>
        <v>GASTOS FINANCIEROS</v>
      </c>
      <c r="X618" s="64" t="str">
        <f t="shared" si="113"/>
        <v>COSTOS DE TRANSACCIÓN (COMISIONES BANCARIAS, HONORARIOS, TASAS, ENTRE OTROS)</v>
      </c>
      <c r="Y618" s="64" t="str">
        <f t="shared" si="114"/>
        <v>RELACIONADAS</v>
      </c>
      <c r="Z618" s="64" t="str">
        <f t="shared" si="115"/>
        <v>Del exterior</v>
      </c>
      <c r="AA618" s="64" t="str">
        <f t="shared" si="118"/>
        <v>GASTOS FINANCIEROS_COSTOS DE TRANSACCIÓN (COMISIONES BANCARIAS, HONORARIOS, TASAS, ENTRE OTROS)_RELACIONADAS_Del exterior_Gasto</v>
      </c>
      <c r="AM618" s="9" t="s">
        <v>1074</v>
      </c>
      <c r="AN618" s="81" t="s">
        <v>561</v>
      </c>
      <c r="AO618" s="81" t="s">
        <v>789</v>
      </c>
      <c r="AP618" s="81" t="s">
        <v>1060</v>
      </c>
      <c r="AQ618" s="81" t="s">
        <v>1061</v>
      </c>
      <c r="AR618" s="81" t="s">
        <v>1070</v>
      </c>
      <c r="AS618" s="81" t="s">
        <v>72</v>
      </c>
      <c r="AT618" s="81" t="s">
        <v>26</v>
      </c>
      <c r="AU618" s="81" t="s">
        <v>2155</v>
      </c>
      <c r="AV618" s="81" t="str">
        <f t="shared" si="119"/>
        <v>GND_GND_GASTOS FINANCIEROS_COSTOS DE TRANSACCIÓN (COMISIONES BANCARIAS, HONORARIOS, TASAS, ENTRE OTROS)_RELACIONADAS_Del exterior_Gasto</v>
      </c>
    </row>
    <row r="619" spans="1:48">
      <c r="A619" s="53"/>
      <c r="B619" s="53"/>
      <c r="C619" s="53"/>
      <c r="D619" s="53"/>
      <c r="E619" s="53"/>
      <c r="F619" s="247" t="s">
        <v>78</v>
      </c>
      <c r="G619" s="247"/>
      <c r="H619" s="247"/>
      <c r="I619" s="247"/>
      <c r="J619" s="247"/>
      <c r="K619" s="247"/>
      <c r="L619" s="246" t="s">
        <v>11</v>
      </c>
      <c r="M619" s="246"/>
      <c r="N619" s="246" t="s">
        <v>791</v>
      </c>
      <c r="O619" s="246"/>
      <c r="S619" s="67" t="str">
        <f t="shared" si="120"/>
        <v>Gasto</v>
      </c>
      <c r="T619" s="64" t="str">
        <f t="shared" si="111"/>
        <v>ESTADO DEL RESULTADO INTEGRAL</v>
      </c>
      <c r="U619" s="64" t="str">
        <f t="shared" si="112"/>
        <v>COSTOS Y GASTOS</v>
      </c>
      <c r="V619" s="64" t="str">
        <f t="shared" si="116"/>
        <v>GASTOS FINANCIEROS Y OTROS  NO OPERACIONALES</v>
      </c>
      <c r="W619" s="64" t="str">
        <f t="shared" si="117"/>
        <v>GASTOS FINANCIEROS</v>
      </c>
      <c r="X619" s="64" t="str">
        <f t="shared" si="113"/>
        <v>COSTOS DE TRANSACCIÓN (COMISIONES BANCARIAS, HONORARIOS, TASAS, ENTRE OTROS)</v>
      </c>
      <c r="Y619" s="64" t="str">
        <f t="shared" si="114"/>
        <v>NO RELACIONADAS</v>
      </c>
      <c r="Z619" s="64" t="str">
        <f t="shared" si="115"/>
        <v/>
      </c>
      <c r="AA619" s="64" t="str">
        <f t="shared" si="118"/>
        <v>GASTOS FINANCIEROS_COSTOS DE TRANSACCIÓN (COMISIONES BANCARIAS, HONORARIOS, TASAS, ENTRE OTROS)_NO RELACIONADAS__Gasto</v>
      </c>
      <c r="AM619" s="81"/>
      <c r="AN619" s="81" t="s">
        <v>561</v>
      </c>
      <c r="AO619" s="81" t="s">
        <v>789</v>
      </c>
      <c r="AP619" s="81" t="s">
        <v>1060</v>
      </c>
      <c r="AQ619" s="81" t="s">
        <v>1061</v>
      </c>
      <c r="AR619" s="81" t="s">
        <v>1070</v>
      </c>
      <c r="AS619" s="81" t="s">
        <v>78</v>
      </c>
      <c r="AT619" s="81" t="s">
        <v>444</v>
      </c>
      <c r="AU619" s="81" t="s">
        <v>2156</v>
      </c>
      <c r="AV619" s="81" t="str">
        <f t="shared" si="119"/>
        <v>GND_GND_GASTOS FINANCIEROS_COSTOS DE TRANSACCIÓN (COMISIONES BANCARIAS, HONORARIOS, TASAS, ENTRE OTROS)_NO RELACIONADAS__Gasto</v>
      </c>
    </row>
    <row r="620" spans="1:48">
      <c r="A620" s="53"/>
      <c r="B620" s="53"/>
      <c r="C620" s="53"/>
      <c r="D620" s="53"/>
      <c r="E620" s="53"/>
      <c r="F620" s="53"/>
      <c r="G620" s="242" t="s">
        <v>25</v>
      </c>
      <c r="H620" s="242"/>
      <c r="I620" s="242"/>
      <c r="J620" s="242"/>
      <c r="K620" s="242"/>
      <c r="L620" s="9" t="s">
        <v>1075</v>
      </c>
      <c r="M620" s="55" t="e">
        <f>VLOOKUP(L620,Casilleros!$A$4:$Q$830,17,FALSE)</f>
        <v>#REF!</v>
      </c>
      <c r="N620" s="9" t="s">
        <v>1076</v>
      </c>
      <c r="O620" s="55" t="e">
        <f>VLOOKUP(N620,Casilleros!$A$4:$Q$830,17,FALSE)</f>
        <v>#REF!</v>
      </c>
      <c r="S620" s="67" t="str">
        <f t="shared" si="120"/>
        <v>7269</v>
      </c>
      <c r="T620" s="64" t="str">
        <f t="shared" si="111"/>
        <v>ESTADO DEL RESULTADO INTEGRAL</v>
      </c>
      <c r="U620" s="64" t="str">
        <f t="shared" si="112"/>
        <v>COSTOS Y GASTOS</v>
      </c>
      <c r="V620" s="64" t="str">
        <f t="shared" si="116"/>
        <v>GASTOS FINANCIEROS Y OTROS  NO OPERACIONALES</v>
      </c>
      <c r="W620" s="64" t="str">
        <f t="shared" si="117"/>
        <v>GASTOS FINANCIEROS</v>
      </c>
      <c r="X620" s="64" t="str">
        <f t="shared" si="113"/>
        <v>COSTOS DE TRANSACCIÓN (COMISIONES BANCARIAS, HONORARIOS, TASAS, ENTRE OTROS)</v>
      </c>
      <c r="Y620" s="64" t="str">
        <f t="shared" si="114"/>
        <v>NO RELACIONADAS</v>
      </c>
      <c r="Z620" s="64" t="str">
        <f t="shared" si="115"/>
        <v>Local</v>
      </c>
      <c r="AA620" s="64" t="str">
        <f t="shared" si="118"/>
        <v>GASTOS FINANCIEROS_COSTOS DE TRANSACCIÓN (COMISIONES BANCARIAS, HONORARIOS, TASAS, ENTRE OTROS)_NO RELACIONADAS_Local_Gasto</v>
      </c>
      <c r="AM620" s="9" t="s">
        <v>1076</v>
      </c>
      <c r="AN620" s="81" t="s">
        <v>561</v>
      </c>
      <c r="AO620" s="81" t="s">
        <v>789</v>
      </c>
      <c r="AP620" s="81" t="s">
        <v>1060</v>
      </c>
      <c r="AQ620" s="81" t="s">
        <v>1061</v>
      </c>
      <c r="AR620" s="81" t="s">
        <v>1070</v>
      </c>
      <c r="AS620" s="81" t="s">
        <v>78</v>
      </c>
      <c r="AT620" s="81" t="s">
        <v>25</v>
      </c>
      <c r="AU620" s="81" t="s">
        <v>2157</v>
      </c>
      <c r="AV620" s="81" t="str">
        <f t="shared" si="119"/>
        <v>GND_GND_GASTOS FINANCIEROS_COSTOS DE TRANSACCIÓN (COMISIONES BANCARIAS, HONORARIOS, TASAS, ENTRE OTROS)_NO RELACIONADAS_Local_Gasto</v>
      </c>
    </row>
    <row r="621" spans="1:48">
      <c r="A621" s="53"/>
      <c r="B621" s="53"/>
      <c r="C621" s="53"/>
      <c r="D621" s="53"/>
      <c r="E621" s="53"/>
      <c r="F621" s="53"/>
      <c r="G621" s="242" t="s">
        <v>26</v>
      </c>
      <c r="H621" s="242"/>
      <c r="I621" s="242"/>
      <c r="J621" s="242"/>
      <c r="K621" s="242"/>
      <c r="L621" s="9" t="s">
        <v>1077</v>
      </c>
      <c r="M621" s="55" t="e">
        <f>VLOOKUP(L621,Casilleros!$A$4:$Q$830,17,FALSE)</f>
        <v>#REF!</v>
      </c>
      <c r="N621" s="9" t="s">
        <v>1078</v>
      </c>
      <c r="O621" s="55" t="e">
        <f>VLOOKUP(N621,Casilleros!$A$4:$Q$830,17,FALSE)</f>
        <v>#REF!</v>
      </c>
      <c r="S621" s="67" t="str">
        <f t="shared" si="120"/>
        <v>7272</v>
      </c>
      <c r="T621" s="64" t="str">
        <f t="shared" si="111"/>
        <v>ESTADO DEL RESULTADO INTEGRAL</v>
      </c>
      <c r="U621" s="64" t="str">
        <f t="shared" si="112"/>
        <v>COSTOS Y GASTOS</v>
      </c>
      <c r="V621" s="64" t="str">
        <f t="shared" si="116"/>
        <v>GASTOS FINANCIEROS Y OTROS  NO OPERACIONALES</v>
      </c>
      <c r="W621" s="64" t="str">
        <f t="shared" si="117"/>
        <v>GASTOS FINANCIEROS</v>
      </c>
      <c r="X621" s="64" t="str">
        <f t="shared" si="113"/>
        <v>COSTOS DE TRANSACCIÓN (COMISIONES BANCARIAS, HONORARIOS, TASAS, ENTRE OTROS)</v>
      </c>
      <c r="Y621" s="64" t="str">
        <f t="shared" si="114"/>
        <v>NO RELACIONADAS</v>
      </c>
      <c r="Z621" s="64" t="str">
        <f t="shared" si="115"/>
        <v>Del exterior</v>
      </c>
      <c r="AA621" s="64" t="str">
        <f t="shared" si="118"/>
        <v>GASTOS FINANCIEROS_COSTOS DE TRANSACCIÓN (COMISIONES BANCARIAS, HONORARIOS, TASAS, ENTRE OTROS)_NO RELACIONADAS_Del exterior_Gasto</v>
      </c>
      <c r="AM621" s="9" t="s">
        <v>1078</v>
      </c>
      <c r="AN621" s="81" t="s">
        <v>561</v>
      </c>
      <c r="AO621" s="81" t="s">
        <v>789</v>
      </c>
      <c r="AP621" s="81" t="s">
        <v>1060</v>
      </c>
      <c r="AQ621" s="81" t="s">
        <v>1061</v>
      </c>
      <c r="AR621" s="81" t="s">
        <v>1070</v>
      </c>
      <c r="AS621" s="81" t="s">
        <v>78</v>
      </c>
      <c r="AT621" s="81" t="s">
        <v>26</v>
      </c>
      <c r="AU621" s="81" t="s">
        <v>2158</v>
      </c>
      <c r="AV621" s="81" t="str">
        <f t="shared" si="119"/>
        <v>GND_GND_GASTOS FINANCIEROS_COSTOS DE TRANSACCIÓN (COMISIONES BANCARIAS, HONORARIOS, TASAS, ENTRE OTROS)_NO RELACIONADAS_Del exterior_Gasto</v>
      </c>
    </row>
    <row r="622" spans="1:48">
      <c r="A622" s="53"/>
      <c r="B622" s="53"/>
      <c r="C622" s="53"/>
      <c r="D622" s="53"/>
      <c r="E622" s="256" t="s">
        <v>723</v>
      </c>
      <c r="F622" s="256"/>
      <c r="G622" s="256"/>
      <c r="H622" s="256"/>
      <c r="I622" s="256"/>
      <c r="J622" s="256"/>
      <c r="K622" s="256"/>
      <c r="L622" s="256"/>
      <c r="M622" s="256"/>
      <c r="N622" s="256"/>
      <c r="O622" s="256"/>
      <c r="S622" s="67">
        <f t="shared" si="120"/>
        <v>0</v>
      </c>
      <c r="T622" s="64" t="str">
        <f t="shared" si="111"/>
        <v>ESTADO DEL RESULTADO INTEGRAL</v>
      </c>
      <c r="U622" s="64" t="str">
        <f t="shared" si="112"/>
        <v>COSTOS Y GASTOS</v>
      </c>
      <c r="V622" s="64" t="str">
        <f t="shared" si="116"/>
        <v>GASTOS FINANCIEROS Y OTROS  NO OPERACIONALES</v>
      </c>
      <c r="W622" s="64" t="str">
        <f t="shared" si="117"/>
        <v>GASTOS FINANCIEROS</v>
      </c>
      <c r="X622" s="64" t="str">
        <f t="shared" si="113"/>
        <v>INTERESES CON INSTITUCIONES FINANCIERAS</v>
      </c>
      <c r="Y622" s="64" t="str">
        <f t="shared" si="114"/>
        <v/>
      </c>
      <c r="Z622" s="64" t="str">
        <f t="shared" si="115"/>
        <v/>
      </c>
      <c r="AA622" s="64" t="str">
        <f t="shared" si="118"/>
        <v>GASTOS FINANCIEROS_INTERESES CON INSTITUCIONES FINANCIERAS___Gasto</v>
      </c>
      <c r="AM622" s="81"/>
      <c r="AN622" s="81" t="s">
        <v>561</v>
      </c>
      <c r="AO622" s="81" t="s">
        <v>789</v>
      </c>
      <c r="AP622" s="81" t="s">
        <v>1060</v>
      </c>
      <c r="AQ622" s="81" t="s">
        <v>1061</v>
      </c>
      <c r="AR622" s="81" t="s">
        <v>723</v>
      </c>
      <c r="AS622" s="81" t="s">
        <v>444</v>
      </c>
      <c r="AT622" s="81" t="s">
        <v>444</v>
      </c>
      <c r="AU622" s="81" t="s">
        <v>2159</v>
      </c>
      <c r="AV622" s="81" t="str">
        <f t="shared" si="119"/>
        <v>GND_GND_GASTOS FINANCIEROS_INTERESES CON INSTITUCIONES FINANCIERAS___Gasto</v>
      </c>
    </row>
    <row r="623" spans="1:48">
      <c r="A623" s="53"/>
      <c r="B623" s="53"/>
      <c r="C623" s="53"/>
      <c r="D623" s="53"/>
      <c r="E623" s="53"/>
      <c r="F623" s="247" t="s">
        <v>72</v>
      </c>
      <c r="G623" s="247"/>
      <c r="H623" s="247"/>
      <c r="I623" s="247"/>
      <c r="J623" s="247"/>
      <c r="K623" s="247"/>
      <c r="L623" s="246" t="s">
        <v>11</v>
      </c>
      <c r="M623" s="246"/>
      <c r="N623" s="246" t="s">
        <v>791</v>
      </c>
      <c r="O623" s="246"/>
      <c r="S623" s="67" t="str">
        <f t="shared" si="120"/>
        <v>Gasto</v>
      </c>
      <c r="T623" s="64" t="str">
        <f t="shared" si="111"/>
        <v>ESTADO DEL RESULTADO INTEGRAL</v>
      </c>
      <c r="U623" s="64" t="str">
        <f t="shared" si="112"/>
        <v>COSTOS Y GASTOS</v>
      </c>
      <c r="V623" s="64" t="str">
        <f t="shared" si="116"/>
        <v>GASTOS FINANCIEROS Y OTROS  NO OPERACIONALES</v>
      </c>
      <c r="W623" s="64" t="str">
        <f t="shared" si="117"/>
        <v>GASTOS FINANCIEROS</v>
      </c>
      <c r="X623" s="64" t="str">
        <f t="shared" si="113"/>
        <v>INTERESES CON INSTITUCIONES FINANCIERAS</v>
      </c>
      <c r="Y623" s="64" t="str">
        <f t="shared" si="114"/>
        <v>RELACIONADAS</v>
      </c>
      <c r="Z623" s="64" t="str">
        <f t="shared" si="115"/>
        <v/>
      </c>
      <c r="AA623" s="64" t="str">
        <f t="shared" si="118"/>
        <v>GASTOS FINANCIEROS_INTERESES CON INSTITUCIONES FINANCIERAS_RELACIONADAS__Gasto</v>
      </c>
      <c r="AM623" s="81"/>
      <c r="AN623" s="81" t="s">
        <v>561</v>
      </c>
      <c r="AO623" s="81" t="s">
        <v>789</v>
      </c>
      <c r="AP623" s="81" t="s">
        <v>1060</v>
      </c>
      <c r="AQ623" s="81" t="s">
        <v>1061</v>
      </c>
      <c r="AR623" s="81" t="s">
        <v>723</v>
      </c>
      <c r="AS623" s="81" t="s">
        <v>72</v>
      </c>
      <c r="AT623" s="81" t="s">
        <v>444</v>
      </c>
      <c r="AU623" s="81" t="s">
        <v>2160</v>
      </c>
      <c r="AV623" s="81" t="str">
        <f t="shared" si="119"/>
        <v>GND_GND_GASTOS FINANCIEROS_INTERESES CON INSTITUCIONES FINANCIERAS_RELACIONADAS__Gasto</v>
      </c>
    </row>
    <row r="624" spans="1:48">
      <c r="A624" s="53"/>
      <c r="B624" s="53"/>
      <c r="C624" s="53"/>
      <c r="D624" s="53"/>
      <c r="E624" s="53"/>
      <c r="F624" s="53"/>
      <c r="G624" s="242" t="s">
        <v>25</v>
      </c>
      <c r="H624" s="242"/>
      <c r="I624" s="242"/>
      <c r="J624" s="242"/>
      <c r="K624" s="242"/>
      <c r="L624" s="9" t="s">
        <v>1079</v>
      </c>
      <c r="M624" s="55" t="e">
        <f>VLOOKUP(L624,Casilleros!$A$4:$Q$830,17,FALSE)</f>
        <v>#REF!</v>
      </c>
      <c r="N624" s="9" t="s">
        <v>1080</v>
      </c>
      <c r="O624" s="55" t="e">
        <f>VLOOKUP(N624,Casilleros!$A$4:$Q$830,17,FALSE)</f>
        <v>#REF!</v>
      </c>
      <c r="S624" s="67" t="str">
        <f t="shared" si="120"/>
        <v>7275</v>
      </c>
      <c r="T624" s="64" t="str">
        <f t="shared" si="111"/>
        <v>ESTADO DEL RESULTADO INTEGRAL</v>
      </c>
      <c r="U624" s="64" t="str">
        <f t="shared" si="112"/>
        <v>COSTOS Y GASTOS</v>
      </c>
      <c r="V624" s="64" t="str">
        <f t="shared" si="116"/>
        <v>GASTOS FINANCIEROS Y OTROS  NO OPERACIONALES</v>
      </c>
      <c r="W624" s="64" t="str">
        <f t="shared" si="117"/>
        <v>GASTOS FINANCIEROS</v>
      </c>
      <c r="X624" s="64" t="str">
        <f t="shared" si="113"/>
        <v>INTERESES CON INSTITUCIONES FINANCIERAS</v>
      </c>
      <c r="Y624" s="64" t="str">
        <f t="shared" si="114"/>
        <v>RELACIONADAS</v>
      </c>
      <c r="Z624" s="64" t="str">
        <f t="shared" si="115"/>
        <v>Local</v>
      </c>
      <c r="AA624" s="64" t="str">
        <f t="shared" si="118"/>
        <v>GASTOS FINANCIEROS_INTERESES CON INSTITUCIONES FINANCIERAS_RELACIONADAS_Local_Gasto</v>
      </c>
      <c r="AM624" s="9" t="s">
        <v>1080</v>
      </c>
      <c r="AN624" s="81" t="s">
        <v>561</v>
      </c>
      <c r="AO624" s="81" t="s">
        <v>789</v>
      </c>
      <c r="AP624" s="81" t="s">
        <v>1060</v>
      </c>
      <c r="AQ624" s="81" t="s">
        <v>1061</v>
      </c>
      <c r="AR624" s="81" t="s">
        <v>723</v>
      </c>
      <c r="AS624" s="81" t="s">
        <v>72</v>
      </c>
      <c r="AT624" s="81" t="s">
        <v>25</v>
      </c>
      <c r="AU624" s="81" t="s">
        <v>2161</v>
      </c>
      <c r="AV624" s="81" t="str">
        <f t="shared" si="119"/>
        <v>GND_GND_GASTOS FINANCIEROS_INTERESES CON INSTITUCIONES FINANCIERAS_RELACIONADAS_Local_Gasto</v>
      </c>
    </row>
    <row r="625" spans="1:48">
      <c r="A625" s="53"/>
      <c r="B625" s="53"/>
      <c r="C625" s="53"/>
      <c r="D625" s="53"/>
      <c r="E625" s="53"/>
      <c r="F625" s="53"/>
      <c r="G625" s="242" t="s">
        <v>26</v>
      </c>
      <c r="H625" s="242"/>
      <c r="I625" s="242"/>
      <c r="J625" s="242"/>
      <c r="K625" s="242"/>
      <c r="L625" s="9" t="s">
        <v>1081</v>
      </c>
      <c r="M625" s="55" t="e">
        <f>VLOOKUP(L625,Casilleros!$A$4:$Q$830,17,FALSE)</f>
        <v>#REF!</v>
      </c>
      <c r="N625" s="9" t="s">
        <v>1082</v>
      </c>
      <c r="O625" s="55" t="e">
        <f>VLOOKUP(N625,Casilleros!$A$4:$Q$830,17,FALSE)</f>
        <v>#REF!</v>
      </c>
      <c r="S625" s="67" t="str">
        <f t="shared" si="120"/>
        <v>7278</v>
      </c>
      <c r="T625" s="64" t="str">
        <f t="shared" si="111"/>
        <v>ESTADO DEL RESULTADO INTEGRAL</v>
      </c>
      <c r="U625" s="64" t="str">
        <f t="shared" si="112"/>
        <v>COSTOS Y GASTOS</v>
      </c>
      <c r="V625" s="64" t="str">
        <f t="shared" si="116"/>
        <v>GASTOS FINANCIEROS Y OTROS  NO OPERACIONALES</v>
      </c>
      <c r="W625" s="64" t="str">
        <f t="shared" si="117"/>
        <v>GASTOS FINANCIEROS</v>
      </c>
      <c r="X625" s="64" t="str">
        <f t="shared" si="113"/>
        <v>INTERESES CON INSTITUCIONES FINANCIERAS</v>
      </c>
      <c r="Y625" s="64" t="str">
        <f t="shared" si="114"/>
        <v>RELACIONADAS</v>
      </c>
      <c r="Z625" s="64" t="str">
        <f t="shared" si="115"/>
        <v>Del exterior</v>
      </c>
      <c r="AA625" s="64" t="str">
        <f t="shared" si="118"/>
        <v>GASTOS FINANCIEROS_INTERESES CON INSTITUCIONES FINANCIERAS_RELACIONADAS_Del exterior_Gasto</v>
      </c>
      <c r="AM625" s="9" t="s">
        <v>1082</v>
      </c>
      <c r="AN625" s="81" t="s">
        <v>561</v>
      </c>
      <c r="AO625" s="81" t="s">
        <v>789</v>
      </c>
      <c r="AP625" s="81" t="s">
        <v>1060</v>
      </c>
      <c r="AQ625" s="81" t="s">
        <v>1061</v>
      </c>
      <c r="AR625" s="81" t="s">
        <v>723</v>
      </c>
      <c r="AS625" s="81" t="s">
        <v>72</v>
      </c>
      <c r="AT625" s="81" t="s">
        <v>26</v>
      </c>
      <c r="AU625" s="81" t="s">
        <v>2162</v>
      </c>
      <c r="AV625" s="81" t="str">
        <f t="shared" si="119"/>
        <v>GND_GND_GASTOS FINANCIEROS_INTERESES CON INSTITUCIONES FINANCIERAS_RELACIONADAS_Del exterior_Gasto</v>
      </c>
    </row>
    <row r="626" spans="1:48">
      <c r="A626" s="53"/>
      <c r="B626" s="53"/>
      <c r="C626" s="53"/>
      <c r="D626" s="53"/>
      <c r="E626" s="53"/>
      <c r="F626" s="247" t="s">
        <v>78</v>
      </c>
      <c r="G626" s="247"/>
      <c r="H626" s="247"/>
      <c r="I626" s="247"/>
      <c r="J626" s="247"/>
      <c r="K626" s="247"/>
      <c r="L626" s="246" t="s">
        <v>11</v>
      </c>
      <c r="M626" s="246"/>
      <c r="N626" s="246" t="s">
        <v>791</v>
      </c>
      <c r="O626" s="246"/>
      <c r="S626" s="67" t="str">
        <f t="shared" si="120"/>
        <v>Gasto</v>
      </c>
      <c r="T626" s="64" t="str">
        <f t="shared" si="111"/>
        <v>ESTADO DEL RESULTADO INTEGRAL</v>
      </c>
      <c r="U626" s="64" t="str">
        <f t="shared" si="112"/>
        <v>COSTOS Y GASTOS</v>
      </c>
      <c r="V626" s="64" t="str">
        <f t="shared" si="116"/>
        <v>GASTOS FINANCIEROS Y OTROS  NO OPERACIONALES</v>
      </c>
      <c r="W626" s="64" t="str">
        <f t="shared" si="117"/>
        <v>GASTOS FINANCIEROS</v>
      </c>
      <c r="X626" s="64" t="str">
        <f t="shared" si="113"/>
        <v>INTERESES CON INSTITUCIONES FINANCIERAS</v>
      </c>
      <c r="Y626" s="64" t="str">
        <f t="shared" si="114"/>
        <v>NO RELACIONADAS</v>
      </c>
      <c r="Z626" s="64" t="str">
        <f t="shared" si="115"/>
        <v/>
      </c>
      <c r="AA626" s="64" t="str">
        <f t="shared" si="118"/>
        <v>GASTOS FINANCIEROS_INTERESES CON INSTITUCIONES FINANCIERAS_NO RELACIONADAS__Gasto</v>
      </c>
      <c r="AM626" s="81"/>
      <c r="AN626" s="81" t="s">
        <v>561</v>
      </c>
      <c r="AO626" s="81" t="s">
        <v>789</v>
      </c>
      <c r="AP626" s="81" t="s">
        <v>1060</v>
      </c>
      <c r="AQ626" s="81" t="s">
        <v>1061</v>
      </c>
      <c r="AR626" s="81" t="s">
        <v>723</v>
      </c>
      <c r="AS626" s="81" t="s">
        <v>78</v>
      </c>
      <c r="AT626" s="81" t="s">
        <v>444</v>
      </c>
      <c r="AU626" s="81" t="s">
        <v>2163</v>
      </c>
      <c r="AV626" s="81" t="str">
        <f t="shared" si="119"/>
        <v>GND_GND_GASTOS FINANCIEROS_INTERESES CON INSTITUCIONES FINANCIERAS_NO RELACIONADAS__Gasto</v>
      </c>
    </row>
    <row r="627" spans="1:48">
      <c r="A627" s="53"/>
      <c r="B627" s="53"/>
      <c r="C627" s="53"/>
      <c r="D627" s="53"/>
      <c r="E627" s="53"/>
      <c r="F627" s="53"/>
      <c r="G627" s="242" t="s">
        <v>25</v>
      </c>
      <c r="H627" s="242"/>
      <c r="I627" s="242"/>
      <c r="J627" s="242"/>
      <c r="K627" s="242"/>
      <c r="L627" s="9" t="s">
        <v>1083</v>
      </c>
      <c r="M627" s="55" t="e">
        <f>VLOOKUP(L627,Casilleros!$A$4:$Q$830,17,FALSE)</f>
        <v>#REF!</v>
      </c>
      <c r="N627" s="9" t="s">
        <v>1084</v>
      </c>
      <c r="O627" s="55" t="e">
        <f>VLOOKUP(N627,Casilleros!$A$4:$Q$830,17,FALSE)</f>
        <v>#REF!</v>
      </c>
      <c r="S627" s="67" t="str">
        <f t="shared" si="120"/>
        <v>7281</v>
      </c>
      <c r="T627" s="64" t="str">
        <f t="shared" si="111"/>
        <v>ESTADO DEL RESULTADO INTEGRAL</v>
      </c>
      <c r="U627" s="64" t="str">
        <f t="shared" si="112"/>
        <v>COSTOS Y GASTOS</v>
      </c>
      <c r="V627" s="64" t="str">
        <f t="shared" si="116"/>
        <v>GASTOS FINANCIEROS Y OTROS  NO OPERACIONALES</v>
      </c>
      <c r="W627" s="64" t="str">
        <f t="shared" si="117"/>
        <v>GASTOS FINANCIEROS</v>
      </c>
      <c r="X627" s="64" t="str">
        <f t="shared" si="113"/>
        <v>INTERESES CON INSTITUCIONES FINANCIERAS</v>
      </c>
      <c r="Y627" s="64" t="str">
        <f t="shared" si="114"/>
        <v>NO RELACIONADAS</v>
      </c>
      <c r="Z627" s="64" t="str">
        <f t="shared" si="115"/>
        <v>Local</v>
      </c>
      <c r="AA627" s="64" t="str">
        <f t="shared" si="118"/>
        <v>GASTOS FINANCIEROS_INTERESES CON INSTITUCIONES FINANCIERAS_NO RELACIONADAS_Local_Gasto</v>
      </c>
      <c r="AM627" s="9" t="s">
        <v>1084</v>
      </c>
      <c r="AN627" s="81" t="s">
        <v>561</v>
      </c>
      <c r="AO627" s="81" t="s">
        <v>789</v>
      </c>
      <c r="AP627" s="81" t="s">
        <v>1060</v>
      </c>
      <c r="AQ627" s="81" t="s">
        <v>1061</v>
      </c>
      <c r="AR627" s="81" t="s">
        <v>723</v>
      </c>
      <c r="AS627" s="81" t="s">
        <v>78</v>
      </c>
      <c r="AT627" s="81" t="s">
        <v>25</v>
      </c>
      <c r="AU627" s="81" t="s">
        <v>2164</v>
      </c>
      <c r="AV627" s="81" t="str">
        <f t="shared" si="119"/>
        <v>GND_GND_GASTOS FINANCIEROS_INTERESES CON INSTITUCIONES FINANCIERAS_NO RELACIONADAS_Local_Gasto</v>
      </c>
    </row>
    <row r="628" spans="1:48">
      <c r="A628" s="53"/>
      <c r="B628" s="53"/>
      <c r="C628" s="53"/>
      <c r="D628" s="53"/>
      <c r="E628" s="53"/>
      <c r="F628" s="53"/>
      <c r="G628" s="242" t="s">
        <v>26</v>
      </c>
      <c r="H628" s="242"/>
      <c r="I628" s="242"/>
      <c r="J628" s="242"/>
      <c r="K628" s="242"/>
      <c r="L628" s="9" t="s">
        <v>1085</v>
      </c>
      <c r="M628" s="55" t="e">
        <f>VLOOKUP(L628,Casilleros!$A$4:$Q$830,17,FALSE)</f>
        <v>#REF!</v>
      </c>
      <c r="N628" s="9" t="s">
        <v>1086</v>
      </c>
      <c r="O628" s="55" t="e">
        <f>VLOOKUP(N628,Casilleros!$A$4:$Q$830,17,FALSE)</f>
        <v>#REF!</v>
      </c>
      <c r="S628" s="67" t="str">
        <f t="shared" si="120"/>
        <v>7284</v>
      </c>
      <c r="T628" s="64" t="str">
        <f t="shared" si="111"/>
        <v>ESTADO DEL RESULTADO INTEGRAL</v>
      </c>
      <c r="U628" s="64" t="str">
        <f t="shared" si="112"/>
        <v>COSTOS Y GASTOS</v>
      </c>
      <c r="V628" s="64" t="str">
        <f t="shared" si="116"/>
        <v>GASTOS FINANCIEROS Y OTROS  NO OPERACIONALES</v>
      </c>
      <c r="W628" s="64" t="str">
        <f t="shared" si="117"/>
        <v>GASTOS FINANCIEROS</v>
      </c>
      <c r="X628" s="64" t="str">
        <f t="shared" si="113"/>
        <v>INTERESES CON INSTITUCIONES FINANCIERAS</v>
      </c>
      <c r="Y628" s="64" t="str">
        <f t="shared" si="114"/>
        <v>NO RELACIONADAS</v>
      </c>
      <c r="Z628" s="64" t="str">
        <f t="shared" si="115"/>
        <v>Del exterior</v>
      </c>
      <c r="AA628" s="64" t="str">
        <f t="shared" si="118"/>
        <v>GASTOS FINANCIEROS_INTERESES CON INSTITUCIONES FINANCIERAS_NO RELACIONADAS_Del exterior_Gasto</v>
      </c>
      <c r="AM628" s="9" t="s">
        <v>1086</v>
      </c>
      <c r="AN628" s="81" t="s">
        <v>561</v>
      </c>
      <c r="AO628" s="81" t="s">
        <v>789</v>
      </c>
      <c r="AP628" s="81" t="s">
        <v>1060</v>
      </c>
      <c r="AQ628" s="81" t="s">
        <v>1061</v>
      </c>
      <c r="AR628" s="81" t="s">
        <v>723</v>
      </c>
      <c r="AS628" s="81" t="s">
        <v>78</v>
      </c>
      <c r="AT628" s="81" t="s">
        <v>26</v>
      </c>
      <c r="AU628" s="81" t="s">
        <v>2165</v>
      </c>
      <c r="AV628" s="81" t="str">
        <f t="shared" si="119"/>
        <v>GND_GND_GASTOS FINANCIEROS_INTERESES CON INSTITUCIONES FINANCIERAS_NO RELACIONADAS_Del exterior_Gasto</v>
      </c>
    </row>
    <row r="629" spans="1:48">
      <c r="A629" s="53"/>
      <c r="B629" s="53"/>
      <c r="C629" s="53"/>
      <c r="D629" s="53"/>
      <c r="E629" s="256" t="s">
        <v>1087</v>
      </c>
      <c r="F629" s="256"/>
      <c r="G629" s="256"/>
      <c r="H629" s="256"/>
      <c r="I629" s="256"/>
      <c r="J629" s="256"/>
      <c r="K629" s="256"/>
      <c r="L629" s="256"/>
      <c r="M629" s="256"/>
      <c r="N629" s="256"/>
      <c r="O629" s="256"/>
      <c r="S629" s="67">
        <f t="shared" si="120"/>
        <v>0</v>
      </c>
      <c r="T629" s="64" t="str">
        <f t="shared" si="111"/>
        <v>ESTADO DEL RESULTADO INTEGRAL</v>
      </c>
      <c r="U629" s="64" t="str">
        <f t="shared" si="112"/>
        <v>COSTOS Y GASTOS</v>
      </c>
      <c r="V629" s="64" t="str">
        <f t="shared" si="116"/>
        <v>GASTOS FINANCIEROS Y OTROS  NO OPERACIONALES</v>
      </c>
      <c r="W629" s="64" t="str">
        <f t="shared" si="117"/>
        <v>GASTOS FINANCIEROS</v>
      </c>
      <c r="X629" s="64" t="str">
        <f t="shared" si="113"/>
        <v>INTERESES PAGADOS A TERCEROS</v>
      </c>
      <c r="Y629" s="64" t="str">
        <f t="shared" si="114"/>
        <v/>
      </c>
      <c r="Z629" s="64" t="str">
        <f t="shared" si="115"/>
        <v/>
      </c>
      <c r="AA629" s="64" t="str">
        <f t="shared" si="118"/>
        <v>GASTOS FINANCIEROS_INTERESES PAGADOS A TERCEROS___Gasto</v>
      </c>
      <c r="AM629" s="81"/>
      <c r="AN629" s="81" t="s">
        <v>561</v>
      </c>
      <c r="AO629" s="81" t="s">
        <v>789</v>
      </c>
      <c r="AP629" s="81" t="s">
        <v>1060</v>
      </c>
      <c r="AQ629" s="81" t="s">
        <v>1061</v>
      </c>
      <c r="AR629" s="81" t="s">
        <v>1087</v>
      </c>
      <c r="AS629" s="81" t="s">
        <v>444</v>
      </c>
      <c r="AT629" s="81" t="s">
        <v>444</v>
      </c>
      <c r="AU629" s="81" t="s">
        <v>2166</v>
      </c>
      <c r="AV629" s="81" t="str">
        <f t="shared" si="119"/>
        <v>GND_GND_GASTOS FINANCIEROS_INTERESES PAGADOS A TERCEROS___Gasto</v>
      </c>
    </row>
    <row r="630" spans="1:48">
      <c r="A630" s="53"/>
      <c r="B630" s="53"/>
      <c r="C630" s="53"/>
      <c r="D630" s="53"/>
      <c r="E630" s="53"/>
      <c r="F630" s="247" t="s">
        <v>72</v>
      </c>
      <c r="G630" s="247"/>
      <c r="H630" s="247"/>
      <c r="I630" s="247"/>
      <c r="J630" s="247"/>
      <c r="K630" s="247"/>
      <c r="L630" s="246" t="s">
        <v>11</v>
      </c>
      <c r="M630" s="246"/>
      <c r="N630" s="246" t="s">
        <v>791</v>
      </c>
      <c r="O630" s="246"/>
      <c r="S630" s="67" t="str">
        <f t="shared" si="120"/>
        <v>Gasto</v>
      </c>
      <c r="T630" s="64" t="str">
        <f t="shared" si="111"/>
        <v>ESTADO DEL RESULTADO INTEGRAL</v>
      </c>
      <c r="U630" s="64" t="str">
        <f t="shared" si="112"/>
        <v>COSTOS Y GASTOS</v>
      </c>
      <c r="V630" s="64" t="str">
        <f t="shared" si="116"/>
        <v>GASTOS FINANCIEROS Y OTROS  NO OPERACIONALES</v>
      </c>
      <c r="W630" s="64" t="str">
        <f t="shared" si="117"/>
        <v>GASTOS FINANCIEROS</v>
      </c>
      <c r="X630" s="64" t="str">
        <f t="shared" si="113"/>
        <v>INTERESES PAGADOS A TERCEROS</v>
      </c>
      <c r="Y630" s="64" t="str">
        <f t="shared" si="114"/>
        <v>RELACIONADAS</v>
      </c>
      <c r="Z630" s="64" t="str">
        <f t="shared" si="115"/>
        <v/>
      </c>
      <c r="AA630" s="64" t="str">
        <f t="shared" si="118"/>
        <v>GASTOS FINANCIEROS_INTERESES PAGADOS A TERCEROS_RELACIONADAS__Gasto</v>
      </c>
      <c r="AM630" s="81"/>
      <c r="AN630" s="81" t="s">
        <v>561</v>
      </c>
      <c r="AO630" s="81" t="s">
        <v>789</v>
      </c>
      <c r="AP630" s="81" t="s">
        <v>1060</v>
      </c>
      <c r="AQ630" s="81" t="s">
        <v>1061</v>
      </c>
      <c r="AR630" s="81" t="s">
        <v>1087</v>
      </c>
      <c r="AS630" s="81" t="s">
        <v>72</v>
      </c>
      <c r="AT630" s="81" t="s">
        <v>444</v>
      </c>
      <c r="AU630" s="81" t="s">
        <v>2167</v>
      </c>
      <c r="AV630" s="81" t="str">
        <f t="shared" si="119"/>
        <v>GND_GND_GASTOS FINANCIEROS_INTERESES PAGADOS A TERCEROS_RELACIONADAS__Gasto</v>
      </c>
    </row>
    <row r="631" spans="1:48">
      <c r="A631" s="53"/>
      <c r="B631" s="53"/>
      <c r="C631" s="53"/>
      <c r="D631" s="53"/>
      <c r="E631" s="53"/>
      <c r="F631" s="53"/>
      <c r="G631" s="242" t="s">
        <v>25</v>
      </c>
      <c r="H631" s="242"/>
      <c r="I631" s="242"/>
      <c r="J631" s="242"/>
      <c r="K631" s="242"/>
      <c r="L631" s="9" t="s">
        <v>1088</v>
      </c>
      <c r="M631" s="55" t="e">
        <f>VLOOKUP(L631,Casilleros!$A$4:$Q$830,17,FALSE)</f>
        <v>#REF!</v>
      </c>
      <c r="N631" s="9" t="s">
        <v>1089</v>
      </c>
      <c r="O631" s="55" t="e">
        <f>VLOOKUP(N631,Casilleros!$A$4:$Q$830,17,FALSE)</f>
        <v>#REF!</v>
      </c>
      <c r="S631" s="67" t="str">
        <f t="shared" si="120"/>
        <v>7287</v>
      </c>
      <c r="T631" s="64" t="str">
        <f t="shared" si="111"/>
        <v>ESTADO DEL RESULTADO INTEGRAL</v>
      </c>
      <c r="U631" s="64" t="str">
        <f t="shared" si="112"/>
        <v>COSTOS Y GASTOS</v>
      </c>
      <c r="V631" s="64" t="str">
        <f t="shared" si="116"/>
        <v>GASTOS FINANCIEROS Y OTROS  NO OPERACIONALES</v>
      </c>
      <c r="W631" s="64" t="str">
        <f t="shared" si="117"/>
        <v>GASTOS FINANCIEROS</v>
      </c>
      <c r="X631" s="64" t="str">
        <f t="shared" si="113"/>
        <v>INTERESES PAGADOS A TERCEROS</v>
      </c>
      <c r="Y631" s="64" t="str">
        <f t="shared" si="114"/>
        <v>RELACIONADAS</v>
      </c>
      <c r="Z631" s="64" t="str">
        <f t="shared" si="115"/>
        <v>Local</v>
      </c>
      <c r="AA631" s="64" t="str">
        <f t="shared" si="118"/>
        <v>GASTOS FINANCIEROS_INTERESES PAGADOS A TERCEROS_RELACIONADAS_Local_Gasto</v>
      </c>
      <c r="AM631" s="9" t="s">
        <v>1089</v>
      </c>
      <c r="AN631" s="81" t="s">
        <v>561</v>
      </c>
      <c r="AO631" s="81" t="s">
        <v>789</v>
      </c>
      <c r="AP631" s="81" t="s">
        <v>1060</v>
      </c>
      <c r="AQ631" s="81" t="s">
        <v>1061</v>
      </c>
      <c r="AR631" s="81" t="s">
        <v>1087</v>
      </c>
      <c r="AS631" s="81" t="s">
        <v>72</v>
      </c>
      <c r="AT631" s="81" t="s">
        <v>25</v>
      </c>
      <c r="AU631" s="81" t="s">
        <v>2168</v>
      </c>
      <c r="AV631" s="81" t="str">
        <f t="shared" si="119"/>
        <v>GND_GND_GASTOS FINANCIEROS_INTERESES PAGADOS A TERCEROS_RELACIONADAS_Local_Gasto</v>
      </c>
    </row>
    <row r="632" spans="1:48">
      <c r="A632" s="53"/>
      <c r="B632" s="53"/>
      <c r="C632" s="53"/>
      <c r="D632" s="53"/>
      <c r="E632" s="53"/>
      <c r="F632" s="53"/>
      <c r="G632" s="242" t="s">
        <v>26</v>
      </c>
      <c r="H632" s="242"/>
      <c r="I632" s="242"/>
      <c r="J632" s="242"/>
      <c r="K632" s="242"/>
      <c r="L632" s="9" t="s">
        <v>1090</v>
      </c>
      <c r="M632" s="55" t="e">
        <f>VLOOKUP(L632,Casilleros!$A$4:$Q$830,17,FALSE)</f>
        <v>#REF!</v>
      </c>
      <c r="N632" s="9" t="s">
        <v>1091</v>
      </c>
      <c r="O632" s="55" t="e">
        <f>VLOOKUP(N632,Casilleros!$A$4:$Q$830,17,FALSE)</f>
        <v>#REF!</v>
      </c>
      <c r="S632" s="67" t="str">
        <f t="shared" si="120"/>
        <v>7290</v>
      </c>
      <c r="T632" s="64" t="str">
        <f t="shared" si="111"/>
        <v>ESTADO DEL RESULTADO INTEGRAL</v>
      </c>
      <c r="U632" s="64" t="str">
        <f t="shared" si="112"/>
        <v>COSTOS Y GASTOS</v>
      </c>
      <c r="V632" s="64" t="str">
        <f t="shared" si="116"/>
        <v>GASTOS FINANCIEROS Y OTROS  NO OPERACIONALES</v>
      </c>
      <c r="W632" s="64" t="str">
        <f t="shared" si="117"/>
        <v>GASTOS FINANCIEROS</v>
      </c>
      <c r="X632" s="64" t="str">
        <f t="shared" si="113"/>
        <v>INTERESES PAGADOS A TERCEROS</v>
      </c>
      <c r="Y632" s="64" t="str">
        <f t="shared" si="114"/>
        <v>RELACIONADAS</v>
      </c>
      <c r="Z632" s="64" t="str">
        <f t="shared" si="115"/>
        <v>Del exterior</v>
      </c>
      <c r="AA632" s="64" t="str">
        <f t="shared" si="118"/>
        <v>GASTOS FINANCIEROS_INTERESES PAGADOS A TERCEROS_RELACIONADAS_Del exterior_Gasto</v>
      </c>
      <c r="AM632" s="9" t="s">
        <v>1091</v>
      </c>
      <c r="AN632" s="81" t="s">
        <v>561</v>
      </c>
      <c r="AO632" s="81" t="s">
        <v>789</v>
      </c>
      <c r="AP632" s="81" t="s">
        <v>1060</v>
      </c>
      <c r="AQ632" s="81" t="s">
        <v>1061</v>
      </c>
      <c r="AR632" s="81" t="s">
        <v>1087</v>
      </c>
      <c r="AS632" s="81" t="s">
        <v>72</v>
      </c>
      <c r="AT632" s="81" t="s">
        <v>26</v>
      </c>
      <c r="AU632" s="81" t="s">
        <v>2169</v>
      </c>
      <c r="AV632" s="81" t="str">
        <f t="shared" si="119"/>
        <v>GND_GND_GASTOS FINANCIEROS_INTERESES PAGADOS A TERCEROS_RELACIONADAS_Del exterior_Gasto</v>
      </c>
    </row>
    <row r="633" spans="1:48">
      <c r="A633" s="53"/>
      <c r="B633" s="53"/>
      <c r="C633" s="53"/>
      <c r="D633" s="53"/>
      <c r="E633" s="53"/>
      <c r="F633" s="247" t="s">
        <v>78</v>
      </c>
      <c r="G633" s="247"/>
      <c r="H633" s="247"/>
      <c r="I633" s="247"/>
      <c r="J633" s="247"/>
      <c r="K633" s="247"/>
      <c r="L633" s="246" t="s">
        <v>11</v>
      </c>
      <c r="M633" s="246"/>
      <c r="N633" s="246" t="s">
        <v>791</v>
      </c>
      <c r="O633" s="246"/>
      <c r="S633" s="67" t="str">
        <f t="shared" si="120"/>
        <v>Gasto</v>
      </c>
      <c r="T633" s="64" t="str">
        <f t="shared" si="111"/>
        <v>ESTADO DEL RESULTADO INTEGRAL</v>
      </c>
      <c r="U633" s="64" t="str">
        <f t="shared" si="112"/>
        <v>COSTOS Y GASTOS</v>
      </c>
      <c r="V633" s="64" t="str">
        <f t="shared" si="116"/>
        <v>GASTOS FINANCIEROS Y OTROS  NO OPERACIONALES</v>
      </c>
      <c r="W633" s="64" t="str">
        <f t="shared" si="117"/>
        <v>GASTOS FINANCIEROS</v>
      </c>
      <c r="X633" s="64" t="str">
        <f t="shared" si="113"/>
        <v>INTERESES PAGADOS A TERCEROS</v>
      </c>
      <c r="Y633" s="64" t="str">
        <f t="shared" si="114"/>
        <v>NO RELACIONADAS</v>
      </c>
      <c r="Z633" s="64" t="str">
        <f t="shared" si="115"/>
        <v/>
      </c>
      <c r="AA633" s="64" t="str">
        <f t="shared" si="118"/>
        <v>GASTOS FINANCIEROS_INTERESES PAGADOS A TERCEROS_NO RELACIONADAS__Gasto</v>
      </c>
      <c r="AM633" s="81"/>
      <c r="AN633" s="81" t="s">
        <v>561</v>
      </c>
      <c r="AO633" s="81" t="s">
        <v>789</v>
      </c>
      <c r="AP633" s="81" t="s">
        <v>1060</v>
      </c>
      <c r="AQ633" s="81" t="s">
        <v>1061</v>
      </c>
      <c r="AR633" s="81" t="s">
        <v>1087</v>
      </c>
      <c r="AS633" s="81" t="s">
        <v>78</v>
      </c>
      <c r="AT633" s="81" t="s">
        <v>444</v>
      </c>
      <c r="AU633" s="81" t="s">
        <v>2170</v>
      </c>
      <c r="AV633" s="81" t="str">
        <f t="shared" si="119"/>
        <v>GND_GND_GASTOS FINANCIEROS_INTERESES PAGADOS A TERCEROS_NO RELACIONADAS__Gasto</v>
      </c>
    </row>
    <row r="634" spans="1:48">
      <c r="A634" s="53"/>
      <c r="B634" s="53"/>
      <c r="C634" s="53"/>
      <c r="D634" s="53"/>
      <c r="E634" s="53"/>
      <c r="F634" s="53"/>
      <c r="G634" s="242" t="s">
        <v>25</v>
      </c>
      <c r="H634" s="242"/>
      <c r="I634" s="242"/>
      <c r="J634" s="242"/>
      <c r="K634" s="242"/>
      <c r="L634" s="9" t="s">
        <v>1092</v>
      </c>
      <c r="M634" s="55" t="e">
        <f>VLOOKUP(L634,Casilleros!$A$4:$Q$830,17,FALSE)</f>
        <v>#REF!</v>
      </c>
      <c r="N634" s="9" t="s">
        <v>1093</v>
      </c>
      <c r="O634" s="55" t="e">
        <f>VLOOKUP(N634,Casilleros!$A$4:$Q$830,17,FALSE)</f>
        <v>#REF!</v>
      </c>
      <c r="S634" s="67" t="str">
        <f t="shared" si="120"/>
        <v>7293</v>
      </c>
      <c r="T634" s="64" t="str">
        <f t="shared" si="111"/>
        <v>ESTADO DEL RESULTADO INTEGRAL</v>
      </c>
      <c r="U634" s="64" t="str">
        <f t="shared" si="112"/>
        <v>COSTOS Y GASTOS</v>
      </c>
      <c r="V634" s="64" t="str">
        <f t="shared" si="116"/>
        <v>GASTOS FINANCIEROS Y OTROS  NO OPERACIONALES</v>
      </c>
      <c r="W634" s="64" t="str">
        <f t="shared" si="117"/>
        <v>GASTOS FINANCIEROS</v>
      </c>
      <c r="X634" s="64" t="str">
        <f t="shared" si="113"/>
        <v>INTERESES PAGADOS A TERCEROS</v>
      </c>
      <c r="Y634" s="64" t="str">
        <f t="shared" si="114"/>
        <v>NO RELACIONADAS</v>
      </c>
      <c r="Z634" s="64" t="str">
        <f t="shared" si="115"/>
        <v>Local</v>
      </c>
      <c r="AA634" s="64" t="str">
        <f t="shared" si="118"/>
        <v>GASTOS FINANCIEROS_INTERESES PAGADOS A TERCEROS_NO RELACIONADAS_Local_Gasto</v>
      </c>
      <c r="AM634" s="9" t="s">
        <v>1093</v>
      </c>
      <c r="AN634" s="81" t="s">
        <v>561</v>
      </c>
      <c r="AO634" s="81" t="s">
        <v>789</v>
      </c>
      <c r="AP634" s="81" t="s">
        <v>1060</v>
      </c>
      <c r="AQ634" s="81" t="s">
        <v>1061</v>
      </c>
      <c r="AR634" s="81" t="s">
        <v>1087</v>
      </c>
      <c r="AS634" s="81" t="s">
        <v>78</v>
      </c>
      <c r="AT634" s="81" t="s">
        <v>25</v>
      </c>
      <c r="AU634" s="81" t="s">
        <v>2171</v>
      </c>
      <c r="AV634" s="81" t="str">
        <f t="shared" si="119"/>
        <v>GND_GND_GASTOS FINANCIEROS_INTERESES PAGADOS A TERCEROS_NO RELACIONADAS_Local_Gasto</v>
      </c>
    </row>
    <row r="635" spans="1:48">
      <c r="A635" s="53"/>
      <c r="B635" s="53"/>
      <c r="C635" s="53"/>
      <c r="D635" s="53"/>
      <c r="E635" s="53"/>
      <c r="F635" s="53"/>
      <c r="G635" s="242" t="s">
        <v>26</v>
      </c>
      <c r="H635" s="242"/>
      <c r="I635" s="242"/>
      <c r="J635" s="242"/>
      <c r="K635" s="242"/>
      <c r="L635" s="9" t="s">
        <v>1094</v>
      </c>
      <c r="M635" s="55" t="e">
        <f>VLOOKUP(L635,Casilleros!$A$4:$Q$830,17,FALSE)</f>
        <v>#REF!</v>
      </c>
      <c r="N635" s="9" t="s">
        <v>1095</v>
      </c>
      <c r="O635" s="55" t="e">
        <f>VLOOKUP(N635,Casilleros!$A$4:$Q$830,17,FALSE)</f>
        <v>#REF!</v>
      </c>
      <c r="S635" s="67" t="str">
        <f t="shared" si="120"/>
        <v>7296</v>
      </c>
      <c r="T635" s="64" t="str">
        <f t="shared" si="111"/>
        <v>ESTADO DEL RESULTADO INTEGRAL</v>
      </c>
      <c r="U635" s="64" t="str">
        <f t="shared" si="112"/>
        <v>COSTOS Y GASTOS</v>
      </c>
      <c r="V635" s="64" t="str">
        <f t="shared" si="116"/>
        <v>GASTOS FINANCIEROS Y OTROS  NO OPERACIONALES</v>
      </c>
      <c r="W635" s="64" t="str">
        <f t="shared" si="117"/>
        <v>GASTOS FINANCIEROS</v>
      </c>
      <c r="X635" s="64" t="str">
        <f t="shared" si="113"/>
        <v>INTERESES PAGADOS A TERCEROS</v>
      </c>
      <c r="Y635" s="64" t="str">
        <f t="shared" si="114"/>
        <v>NO RELACIONADAS</v>
      </c>
      <c r="Z635" s="64" t="str">
        <f t="shared" si="115"/>
        <v>Del exterior</v>
      </c>
      <c r="AA635" s="64" t="str">
        <f t="shared" si="118"/>
        <v>GASTOS FINANCIEROS_INTERESES PAGADOS A TERCEROS_NO RELACIONADAS_Del exterior_Gasto</v>
      </c>
      <c r="AM635" s="9" t="s">
        <v>1095</v>
      </c>
      <c r="AN635" s="81" t="s">
        <v>561</v>
      </c>
      <c r="AO635" s="81" t="s">
        <v>789</v>
      </c>
      <c r="AP635" s="81" t="s">
        <v>1060</v>
      </c>
      <c r="AQ635" s="81" t="s">
        <v>1061</v>
      </c>
      <c r="AR635" s="81" t="s">
        <v>1087</v>
      </c>
      <c r="AS635" s="81" t="s">
        <v>78</v>
      </c>
      <c r="AT635" s="81" t="s">
        <v>26</v>
      </c>
      <c r="AU635" s="81" t="s">
        <v>2172</v>
      </c>
      <c r="AV635" s="81" t="str">
        <f t="shared" si="119"/>
        <v>GND_GND_GASTOS FINANCIEROS_INTERESES PAGADOS A TERCEROS_NO RELACIONADAS_Del exterior_Gasto</v>
      </c>
    </row>
    <row r="636" spans="1:48">
      <c r="A636" s="53"/>
      <c r="B636" s="53"/>
      <c r="C636" s="53"/>
      <c r="D636" s="53"/>
      <c r="E636" s="242" t="s">
        <v>1096</v>
      </c>
      <c r="F636" s="242"/>
      <c r="G636" s="242"/>
      <c r="H636" s="242"/>
      <c r="I636" s="242"/>
      <c r="J636" s="242"/>
      <c r="K636" s="242"/>
      <c r="L636" s="9" t="s">
        <v>1097</v>
      </c>
      <c r="M636" s="55" t="e">
        <f>VLOOKUP(L636,Casilleros!$A$4:$Q$830,17,FALSE)</f>
        <v>#REF!</v>
      </c>
      <c r="N636" s="9" t="s">
        <v>1098</v>
      </c>
      <c r="O636" s="55" t="e">
        <f>VLOOKUP(N636,Casilleros!$A$4:$Q$830,17,FALSE)</f>
        <v>#REF!</v>
      </c>
      <c r="S636" s="67" t="str">
        <f t="shared" si="120"/>
        <v>7299</v>
      </c>
      <c r="T636" s="64" t="str">
        <f t="shared" si="111"/>
        <v>ESTADO DEL RESULTADO INTEGRAL</v>
      </c>
      <c r="U636" s="64" t="str">
        <f t="shared" si="112"/>
        <v>COSTOS Y GASTOS</v>
      </c>
      <c r="V636" s="64" t="str">
        <f t="shared" si="116"/>
        <v>GASTOS FINANCIEROS Y OTROS  NO OPERACIONALES</v>
      </c>
      <c r="W636" s="64" t="str">
        <f t="shared" si="117"/>
        <v>GASTOS FINANCIEROS</v>
      </c>
      <c r="X636" s="64" t="str">
        <f t="shared" si="113"/>
        <v>Reversiones del descuento de provisiones que fueron reconocidas a su valor presente</v>
      </c>
      <c r="Y636" s="64" t="str">
        <f t="shared" si="114"/>
        <v/>
      </c>
      <c r="Z636" s="64" t="str">
        <f t="shared" si="115"/>
        <v/>
      </c>
      <c r="AA636" s="64" t="str">
        <f t="shared" si="118"/>
        <v>GASTOS FINANCIEROS_Reversiones del descuento de provisiones que fueron reconocidas a su valor presente___Gasto</v>
      </c>
      <c r="AM636" s="9" t="s">
        <v>1098</v>
      </c>
      <c r="AN636" s="81" t="s">
        <v>561</v>
      </c>
      <c r="AO636" s="81" t="s">
        <v>789</v>
      </c>
      <c r="AP636" s="81" t="s">
        <v>1060</v>
      </c>
      <c r="AQ636" s="81" t="s">
        <v>1061</v>
      </c>
      <c r="AR636" s="81" t="s">
        <v>1096</v>
      </c>
      <c r="AS636" s="81" t="s">
        <v>444</v>
      </c>
      <c r="AT636" s="81" t="s">
        <v>444</v>
      </c>
      <c r="AU636" s="81" t="s">
        <v>2173</v>
      </c>
      <c r="AV636" s="81" t="str">
        <f t="shared" si="119"/>
        <v>GND_GND_GASTOS FINANCIEROS_Reversiones del descuento de provisiones que fueron reconocidas a su valor presente___Gasto</v>
      </c>
    </row>
    <row r="637" spans="1:48">
      <c r="A637" s="53"/>
      <c r="B637" s="53"/>
      <c r="C637" s="53"/>
      <c r="D637" s="53"/>
      <c r="E637" s="242" t="s">
        <v>1099</v>
      </c>
      <c r="F637" s="242"/>
      <c r="G637" s="242"/>
      <c r="H637" s="242"/>
      <c r="I637" s="242"/>
      <c r="J637" s="242"/>
      <c r="K637" s="242"/>
      <c r="L637" s="9" t="s">
        <v>1100</v>
      </c>
      <c r="M637" s="55" t="e">
        <f>VLOOKUP(L637,Casilleros!$A$4:$Q$830,17,FALSE)</f>
        <v>#REF!</v>
      </c>
      <c r="N637" s="9" t="s">
        <v>1101</v>
      </c>
      <c r="O637" s="55" t="e">
        <f>VLOOKUP(N637,Casilleros!$A$4:$Q$830,17,FALSE)</f>
        <v>#REF!</v>
      </c>
      <c r="S637" s="67" t="str">
        <f t="shared" si="120"/>
        <v>7302</v>
      </c>
      <c r="T637" s="64" t="str">
        <f t="shared" si="111"/>
        <v>ESTADO DEL RESULTADO INTEGRAL</v>
      </c>
      <c r="U637" s="64" t="str">
        <f t="shared" si="112"/>
        <v>COSTOS Y GASTOS</v>
      </c>
      <c r="V637" s="64" t="str">
        <f t="shared" si="116"/>
        <v>GASTOS FINANCIEROS Y OTROS  NO OPERACIONALES</v>
      </c>
      <c r="W637" s="64" t="str">
        <f t="shared" si="117"/>
        <v>GASTOS FINANCIEROS</v>
      </c>
      <c r="X637" s="64" t="str">
        <f t="shared" si="113"/>
        <v>Intereses implícitos devengados por acuerdos que constituyen efectivamente una transacción financiera o pago diferido</v>
      </c>
      <c r="Y637" s="64" t="str">
        <f t="shared" si="114"/>
        <v/>
      </c>
      <c r="Z637" s="64" t="str">
        <f t="shared" si="115"/>
        <v/>
      </c>
      <c r="AA637" s="64" t="str">
        <f t="shared" si="118"/>
        <v>GASTOS FINANCIEROS_Intereses implícitos devengados por acuerdos que constituyen efectivamente una transacción financiera o pago diferido___Gasto</v>
      </c>
      <c r="AM637" s="9" t="s">
        <v>1101</v>
      </c>
      <c r="AN637" s="81" t="s">
        <v>561</v>
      </c>
      <c r="AO637" s="81" t="s">
        <v>789</v>
      </c>
      <c r="AP637" s="81" t="s">
        <v>1060</v>
      </c>
      <c r="AQ637" s="81" t="s">
        <v>1061</v>
      </c>
      <c r="AR637" s="81" t="s">
        <v>1099</v>
      </c>
      <c r="AS637" s="81" t="s">
        <v>444</v>
      </c>
      <c r="AT637" s="81" t="s">
        <v>444</v>
      </c>
      <c r="AU637" s="81" t="s">
        <v>2174</v>
      </c>
      <c r="AV637" s="81" t="str">
        <f t="shared" si="119"/>
        <v>GND_GND_GASTOS FINANCIEROS_Intereses implícitos devengados por acuerdos que constituyen efectivamente una transacción financiera o pago diferido___Gasto</v>
      </c>
    </row>
    <row r="638" spans="1:48">
      <c r="A638" s="53"/>
      <c r="B638" s="53"/>
      <c r="C638" s="53"/>
      <c r="D638" s="53"/>
      <c r="E638" s="242" t="s">
        <v>122</v>
      </c>
      <c r="F638" s="242"/>
      <c r="G638" s="242"/>
      <c r="H638" s="242"/>
      <c r="I638" s="242"/>
      <c r="J638" s="242"/>
      <c r="K638" s="242"/>
      <c r="L638" s="9" t="s">
        <v>1102</v>
      </c>
      <c r="M638" s="55" t="e">
        <f>VLOOKUP(L638,Casilleros!$A$4:$Q$830,17,FALSE)</f>
        <v>#REF!</v>
      </c>
      <c r="N638" s="9" t="s">
        <v>1103</v>
      </c>
      <c r="O638" s="55" t="e">
        <f>VLOOKUP(N638,Casilleros!$A$4:$Q$830,17,FALSE)</f>
        <v>#REF!</v>
      </c>
      <c r="S638" s="67" t="str">
        <f t="shared" si="120"/>
        <v>7305</v>
      </c>
      <c r="T638" s="64" t="str">
        <f t="shared" ref="T638:T701" si="121">IF(A638&lt;&gt;"",A638,T637)</f>
        <v>ESTADO DEL RESULTADO INTEGRAL</v>
      </c>
      <c r="U638" s="64" t="str">
        <f t="shared" ref="U638:U701" si="122">IF(T637&lt;&gt;T638,"",(IF(B638&lt;&gt;"",B638,U637)))</f>
        <v>COSTOS Y GASTOS</v>
      </c>
      <c r="V638" s="64" t="str">
        <f t="shared" si="116"/>
        <v>GASTOS FINANCIEROS Y OTROS  NO OPERACIONALES</v>
      </c>
      <c r="W638" s="64" t="str">
        <f t="shared" si="117"/>
        <v>GASTOS FINANCIEROS</v>
      </c>
      <c r="X638" s="64" t="str">
        <f t="shared" ref="X638:X701" si="123">IF(W637&lt;&gt;W638,"",(IF(E638&lt;&gt;"",E638,X637)))</f>
        <v>Otros</v>
      </c>
      <c r="Y638" s="64" t="str">
        <f t="shared" ref="Y638:Y701" si="124">IF(X637&lt;&gt;X638,"",(IF(F638&lt;&gt;"",F638,Y637)))</f>
        <v/>
      </c>
      <c r="Z638" s="64" t="str">
        <f t="shared" ref="Z638:Z701" si="125">IF(Y637&lt;&gt;Y638,"",(IF(G638&lt;&gt;"",G638,Z637)))</f>
        <v/>
      </c>
      <c r="AA638" s="64" t="str">
        <f t="shared" si="118"/>
        <v>GASTOS FINANCIEROS_Otros___Gasto</v>
      </c>
      <c r="AM638" s="9" t="s">
        <v>1103</v>
      </c>
      <c r="AN638" s="81" t="s">
        <v>561</v>
      </c>
      <c r="AO638" s="81" t="s">
        <v>789</v>
      </c>
      <c r="AP638" s="81" t="s">
        <v>1060</v>
      </c>
      <c r="AQ638" s="81" t="s">
        <v>1061</v>
      </c>
      <c r="AR638" s="81" t="s">
        <v>122</v>
      </c>
      <c r="AS638" s="81" t="s">
        <v>444</v>
      </c>
      <c r="AT638" s="81" t="s">
        <v>444</v>
      </c>
      <c r="AU638" s="81" t="s">
        <v>2175</v>
      </c>
      <c r="AV638" s="81" t="str">
        <f t="shared" si="119"/>
        <v>GND_GND_GASTOS FINANCIEROS_Otros___Gasto</v>
      </c>
    </row>
    <row r="639" spans="1:48">
      <c r="A639" s="53"/>
      <c r="B639" s="53"/>
      <c r="C639" s="53"/>
      <c r="D639" s="242" t="s">
        <v>1104</v>
      </c>
      <c r="E639" s="242"/>
      <c r="F639" s="242"/>
      <c r="G639" s="242"/>
      <c r="H639" s="242"/>
      <c r="I639" s="242"/>
      <c r="J639" s="242"/>
      <c r="K639" s="242"/>
      <c r="L639" s="9" t="s">
        <v>1105</v>
      </c>
      <c r="M639" s="55" t="e">
        <f>VLOOKUP(L639,Casilleros!$A$4:$Q$830,17,FALSE)</f>
        <v>#REF!</v>
      </c>
      <c r="N639" s="9" t="s">
        <v>1106</v>
      </c>
      <c r="O639" s="55" t="e">
        <f>VLOOKUP(N639,Casilleros!$A$4:$Q$830,17,FALSE)</f>
        <v>#REF!</v>
      </c>
      <c r="S639" s="67" t="str">
        <f t="shared" si="120"/>
        <v>7308</v>
      </c>
      <c r="T639" s="64" t="str">
        <f t="shared" si="121"/>
        <v>ESTADO DEL RESULTADO INTEGRAL</v>
      </c>
      <c r="U639" s="64" t="str">
        <f t="shared" si="122"/>
        <v>COSTOS Y GASTOS</v>
      </c>
      <c r="V639" s="64" t="str">
        <f t="shared" si="116"/>
        <v>GASTOS FINANCIEROS Y OTROS  NO OPERACIONALES</v>
      </c>
      <c r="W639" s="64" t="str">
        <f t="shared" si="117"/>
        <v>Pérdidas por medición de inversiones en asociadas y negocios conjuntos al método de la participación (valor patrimonial proporcional)</v>
      </c>
      <c r="X639" s="64" t="str">
        <f t="shared" si="123"/>
        <v/>
      </c>
      <c r="Y639" s="64" t="str">
        <f t="shared" si="124"/>
        <v/>
      </c>
      <c r="Z639" s="64" t="str">
        <f t="shared" si="125"/>
        <v/>
      </c>
      <c r="AA639" s="64" t="str">
        <f t="shared" si="118"/>
        <v>GASTOS FINANCIEROS Y OTROS  NO OPERACIONALES_Pérdidas por medición de inversiones en asociadas y negocios conjuntos al método de la participación (valor patrimonial proporcional)_Gasto</v>
      </c>
      <c r="AM639" s="9" t="s">
        <v>1106</v>
      </c>
      <c r="AN639" s="81" t="s">
        <v>561</v>
      </c>
      <c r="AO639" s="81" t="s">
        <v>789</v>
      </c>
      <c r="AP639" s="81" t="s">
        <v>1060</v>
      </c>
      <c r="AQ639" s="81" t="s">
        <v>1104</v>
      </c>
      <c r="AR639" s="81" t="s">
        <v>444</v>
      </c>
      <c r="AS639" s="81" t="s">
        <v>444</v>
      </c>
      <c r="AT639" s="81" t="s">
        <v>444</v>
      </c>
      <c r="AU639" s="81" t="s">
        <v>2176</v>
      </c>
      <c r="AV639" s="81" t="str">
        <f t="shared" si="119"/>
        <v>GND_GND_GASTOS FINANCIEROS Y OTROS  NO OPERACIONALES_Pérdidas por medición de inversiones en asociadas y negocios conjuntos al método de la participación (valor patrimonial proporcional)_Gasto</v>
      </c>
    </row>
    <row r="640" spans="1:48">
      <c r="A640" s="53"/>
      <c r="B640" s="53"/>
      <c r="C640" s="53"/>
      <c r="D640" s="242" t="s">
        <v>122</v>
      </c>
      <c r="E640" s="242"/>
      <c r="F640" s="242"/>
      <c r="G640" s="242"/>
      <c r="H640" s="242"/>
      <c r="I640" s="242"/>
      <c r="J640" s="242"/>
      <c r="K640" s="242"/>
      <c r="L640" s="9" t="s">
        <v>1107</v>
      </c>
      <c r="M640" s="74" t="e">
        <f>VLOOKUP(L640,Casilleros!$A$4:$Q$830,17,FALSE)</f>
        <v>#REF!</v>
      </c>
      <c r="N640" s="9" t="s">
        <v>1108</v>
      </c>
      <c r="O640" s="55" t="e">
        <f>VLOOKUP(N640,Casilleros!$A$4:$Q$830,17,FALSE)</f>
        <v>#REF!</v>
      </c>
      <c r="S640" s="67" t="str">
        <f t="shared" si="120"/>
        <v>7311</v>
      </c>
      <c r="T640" s="64" t="str">
        <f t="shared" si="121"/>
        <v>ESTADO DEL RESULTADO INTEGRAL</v>
      </c>
      <c r="U640" s="64" t="str">
        <f t="shared" si="122"/>
        <v>COSTOS Y GASTOS</v>
      </c>
      <c r="V640" s="64" t="str">
        <f t="shared" si="116"/>
        <v>GASTOS FINANCIEROS Y OTROS  NO OPERACIONALES</v>
      </c>
      <c r="W640" s="64" t="str">
        <f t="shared" si="117"/>
        <v>Otros</v>
      </c>
      <c r="X640" s="64" t="str">
        <f t="shared" si="123"/>
        <v/>
      </c>
      <c r="Y640" s="64" t="str">
        <f t="shared" si="124"/>
        <v/>
      </c>
      <c r="Z640" s="64" t="str">
        <f t="shared" si="125"/>
        <v/>
      </c>
      <c r="AA640" s="64" t="str">
        <f t="shared" si="118"/>
        <v>GASTOS FINANCIEROS Y OTROS  NO OPERACIONALES_Otros_Gasto</v>
      </c>
      <c r="AM640" s="9" t="s">
        <v>1108</v>
      </c>
      <c r="AN640" s="81" t="s">
        <v>561</v>
      </c>
      <c r="AO640" s="81" t="s">
        <v>789</v>
      </c>
      <c r="AP640" s="81" t="s">
        <v>1060</v>
      </c>
      <c r="AQ640" s="81" t="s">
        <v>122</v>
      </c>
      <c r="AR640" s="81" t="s">
        <v>444</v>
      </c>
      <c r="AS640" s="81" t="s">
        <v>444</v>
      </c>
      <c r="AT640" s="81" t="s">
        <v>444</v>
      </c>
      <c r="AU640" s="81" t="s">
        <v>2177</v>
      </c>
      <c r="AV640" s="81" t="str">
        <f t="shared" si="119"/>
        <v>GND_GND_GASTOS FINANCIEROS Y OTROS  NO OPERACIONALES_Otros_Gasto</v>
      </c>
    </row>
    <row r="641" spans="1:48">
      <c r="A641" s="53"/>
      <c r="B641" s="53"/>
      <c r="C641" s="235" t="s">
        <v>1109</v>
      </c>
      <c r="D641" s="235"/>
      <c r="E641" s="235"/>
      <c r="F641" s="235"/>
      <c r="G641" s="235"/>
      <c r="H641" s="235"/>
      <c r="I641" s="235"/>
      <c r="J641" s="235"/>
      <c r="K641" s="235"/>
      <c r="L641" s="9" t="s">
        <v>1110</v>
      </c>
      <c r="M641" s="55" t="e">
        <f>VLOOKUP(L641,Casilleros!$A$4:$Q$830,17,FALSE)</f>
        <v>#REF!</v>
      </c>
      <c r="N641" s="9" t="s">
        <v>1111</v>
      </c>
      <c r="O641" s="55" t="e">
        <f>VLOOKUP(N641,Casilleros!$A$4:$Q$830,17,FALSE)</f>
        <v>#REF!</v>
      </c>
      <c r="S641" s="67" t="str">
        <f t="shared" si="120"/>
        <v>7314</v>
      </c>
      <c r="T641" s="64" t="str">
        <f t="shared" si="121"/>
        <v>ESTADO DEL RESULTADO INTEGRAL</v>
      </c>
      <c r="U641" s="64" t="str">
        <f t="shared" si="122"/>
        <v>COSTOS Y GASTOS</v>
      </c>
      <c r="V641" s="64" t="str">
        <f t="shared" si="116"/>
        <v>Perdidas netas procedentes de actividades disconitnuadas</v>
      </c>
      <c r="W641" s="64" t="str">
        <f t="shared" si="117"/>
        <v/>
      </c>
      <c r="X641" s="64" t="str">
        <f t="shared" si="123"/>
        <v/>
      </c>
      <c r="Y641" s="64" t="str">
        <f t="shared" si="124"/>
        <v/>
      </c>
      <c r="Z641" s="64" t="str">
        <f t="shared" si="125"/>
        <v/>
      </c>
      <c r="AA641" s="64" t="str">
        <f t="shared" si="118"/>
        <v>Perdidas netas procedentes de actividades disconitnuadas__Gasto</v>
      </c>
      <c r="AM641" s="9" t="s">
        <v>1111</v>
      </c>
      <c r="AN641" s="81" t="s">
        <v>561</v>
      </c>
      <c r="AO641" s="81" t="s">
        <v>789</v>
      </c>
      <c r="AP641" s="81" t="s">
        <v>1109</v>
      </c>
      <c r="AQ641" s="81" t="s">
        <v>444</v>
      </c>
      <c r="AR641" s="81" t="s">
        <v>444</v>
      </c>
      <c r="AS641" s="81" t="s">
        <v>444</v>
      </c>
      <c r="AT641" s="81" t="s">
        <v>444</v>
      </c>
      <c r="AU641" s="81" t="s">
        <v>2178</v>
      </c>
      <c r="AV641" s="81" t="str">
        <f t="shared" si="119"/>
        <v>GND_GND_Perdidas netas procedentes de actividades disconitnuadas__Gasto</v>
      </c>
    </row>
    <row r="642" spans="1:48">
      <c r="A642" s="53"/>
      <c r="B642" s="257" t="s">
        <v>1112</v>
      </c>
      <c r="C642" s="258"/>
      <c r="D642" s="258"/>
      <c r="E642" s="258"/>
      <c r="F642" s="258"/>
      <c r="G642" s="258"/>
      <c r="H642" s="258"/>
      <c r="I642" s="259"/>
      <c r="J642" s="71" t="s">
        <v>1113</v>
      </c>
      <c r="K642" s="83" t="e">
        <f>SUM(K505:K605)</f>
        <v>#REF!</v>
      </c>
      <c r="L642" s="260"/>
      <c r="M642" s="260"/>
      <c r="N642" s="260"/>
      <c r="O642" s="260"/>
      <c r="S642" s="67" t="str">
        <f>J642</f>
        <v>7991</v>
      </c>
      <c r="T642" s="64" t="str">
        <f t="shared" si="121"/>
        <v>ESTADO DEL RESULTADO INTEGRAL</v>
      </c>
      <c r="U642" s="64" t="str">
        <f t="shared" si="122"/>
        <v>TOTAL COSTOS OPERACIONALES</v>
      </c>
      <c r="V642" s="64" t="str">
        <f t="shared" si="116"/>
        <v/>
      </c>
      <c r="W642" s="64" t="str">
        <f t="shared" si="117"/>
        <v/>
      </c>
      <c r="X642" s="64" t="str">
        <f t="shared" si="123"/>
        <v/>
      </c>
      <c r="Y642" s="64" t="str">
        <f t="shared" si="124"/>
        <v/>
      </c>
      <c r="Z642" s="64" t="str">
        <f t="shared" si="125"/>
        <v/>
      </c>
      <c r="AA642" s="69" t="str">
        <f>+U642</f>
        <v>TOTAL COSTOS OPERACIONALES</v>
      </c>
    </row>
    <row r="643" spans="1:48">
      <c r="A643" s="53"/>
      <c r="B643" s="261" t="s">
        <v>1114</v>
      </c>
      <c r="C643" s="262"/>
      <c r="D643" s="262"/>
      <c r="E643" s="262"/>
      <c r="F643" s="262"/>
      <c r="G643" s="262"/>
      <c r="H643" s="262"/>
      <c r="I643" s="262"/>
      <c r="J643" s="262"/>
      <c r="K643" s="263"/>
      <c r="L643" s="71" t="s">
        <v>1115</v>
      </c>
      <c r="M643" s="83" t="e">
        <f>SUM(M505:M641)</f>
        <v>#REF!</v>
      </c>
      <c r="N643" s="260"/>
      <c r="O643" s="260"/>
      <c r="S643" s="67" t="str">
        <f t="shared" si="120"/>
        <v>7992</v>
      </c>
      <c r="T643" s="64" t="str">
        <f t="shared" si="121"/>
        <v>ESTADO DEL RESULTADO INTEGRAL</v>
      </c>
      <c r="U643" s="64" t="str">
        <f t="shared" si="122"/>
        <v>TOTAL GASTOS</v>
      </c>
      <c r="V643" s="64" t="str">
        <f t="shared" si="116"/>
        <v/>
      </c>
      <c r="W643" s="64" t="str">
        <f t="shared" si="117"/>
        <v/>
      </c>
      <c r="X643" s="64" t="str">
        <f t="shared" si="123"/>
        <v/>
      </c>
      <c r="Y643" s="64" t="str">
        <f t="shared" si="124"/>
        <v/>
      </c>
      <c r="Z643" s="64" t="str">
        <f t="shared" si="125"/>
        <v/>
      </c>
      <c r="AA643" s="69" t="str">
        <f t="shared" ref="AA643:AA656" si="126">+U643</f>
        <v>TOTAL GASTOS</v>
      </c>
    </row>
    <row r="644" spans="1:48">
      <c r="A644" s="53"/>
      <c r="B644" s="238" t="s">
        <v>1116</v>
      </c>
      <c r="C644" s="238"/>
      <c r="D644" s="238"/>
      <c r="E644" s="238"/>
      <c r="F644" s="238"/>
      <c r="G644" s="238"/>
      <c r="H644" s="238"/>
      <c r="I644" s="238"/>
      <c r="J644" s="238"/>
      <c r="K644" s="238"/>
      <c r="L644" s="238"/>
      <c r="M644" s="238"/>
      <c r="N644" s="71" t="s">
        <v>1117</v>
      </c>
      <c r="O644" s="72" t="e">
        <f>+K642+M643</f>
        <v>#REF!</v>
      </c>
      <c r="P644" s="67" t="e">
        <f>+P643-O644</f>
        <v>#REF!</v>
      </c>
      <c r="S644" s="67" t="str">
        <f>N644</f>
        <v>7999</v>
      </c>
      <c r="T644" s="64" t="str">
        <f t="shared" si="121"/>
        <v>ESTADO DEL RESULTADO INTEGRAL</v>
      </c>
      <c r="U644" s="64" t="str">
        <f t="shared" si="122"/>
        <v>TOTAL COSTOS Y GASTOS</v>
      </c>
      <c r="V644" s="64" t="str">
        <f t="shared" si="116"/>
        <v/>
      </c>
      <c r="W644" s="64" t="str">
        <f t="shared" si="117"/>
        <v/>
      </c>
      <c r="X644" s="64" t="str">
        <f t="shared" si="123"/>
        <v/>
      </c>
      <c r="Y644" s="64" t="str">
        <f t="shared" si="124"/>
        <v/>
      </c>
      <c r="Z644" s="64" t="str">
        <f t="shared" si="125"/>
        <v/>
      </c>
      <c r="AA644" s="69" t="str">
        <f t="shared" si="126"/>
        <v>TOTAL COSTOS Y GASTOS</v>
      </c>
    </row>
    <row r="645" spans="1:48">
      <c r="A645" s="53"/>
      <c r="B645" s="235" t="s">
        <v>1118</v>
      </c>
      <c r="C645" s="235"/>
      <c r="D645" s="235"/>
      <c r="E645" s="235"/>
      <c r="F645" s="235"/>
      <c r="G645" s="235"/>
      <c r="H645" s="235"/>
      <c r="I645" s="235"/>
      <c r="J645" s="235"/>
      <c r="K645" s="235"/>
      <c r="L645" s="235"/>
      <c r="M645" s="235"/>
      <c r="N645" s="9" t="s">
        <v>1119</v>
      </c>
      <c r="O645" s="55" t="e">
        <f>VLOOKUP(N645,Casilleros!$A$4:$Q$830,17,FALSE)</f>
        <v>#REF!</v>
      </c>
      <c r="S645" s="67" t="str">
        <f t="shared" ref="S645:S672" si="127">N645</f>
        <v>7901</v>
      </c>
      <c r="T645" s="64" t="str">
        <f t="shared" si="121"/>
        <v>ESTADO DEL RESULTADO INTEGRAL</v>
      </c>
      <c r="U645" s="64" t="str">
        <f t="shared" si="122"/>
        <v>Baja de inventario (Informativo)</v>
      </c>
      <c r="V645" s="64" t="str">
        <f t="shared" si="116"/>
        <v/>
      </c>
      <c r="W645" s="64" t="str">
        <f t="shared" si="117"/>
        <v/>
      </c>
      <c r="X645" s="64" t="str">
        <f t="shared" si="123"/>
        <v/>
      </c>
      <c r="Y645" s="64" t="str">
        <f t="shared" si="124"/>
        <v/>
      </c>
      <c r="Z645" s="64" t="str">
        <f t="shared" si="125"/>
        <v/>
      </c>
      <c r="AA645" s="75" t="str">
        <f t="shared" si="126"/>
        <v>Baja de inventario (Informativo)</v>
      </c>
    </row>
    <row r="646" spans="1:48">
      <c r="A646" s="53"/>
      <c r="B646" s="235" t="s">
        <v>1120</v>
      </c>
      <c r="C646" s="235"/>
      <c r="D646" s="235"/>
      <c r="E646" s="235"/>
      <c r="F646" s="235"/>
      <c r="G646" s="235"/>
      <c r="H646" s="235"/>
      <c r="I646" s="235"/>
      <c r="J646" s="235"/>
      <c r="K646" s="235"/>
      <c r="L646" s="235"/>
      <c r="M646" s="235"/>
      <c r="N646" s="9" t="s">
        <v>1121</v>
      </c>
      <c r="O646" s="55" t="e">
        <f>VLOOKUP(N646,Casilleros!$A$4:$Q$830,17,FALSE)</f>
        <v>#REF!</v>
      </c>
      <c r="S646" s="67" t="str">
        <f t="shared" si="127"/>
        <v>7902</v>
      </c>
      <c r="T646" s="64" t="str">
        <f t="shared" si="121"/>
        <v>ESTADO DEL RESULTADO INTEGRAL</v>
      </c>
      <c r="U646" s="64" t="str">
        <f t="shared" si="122"/>
        <v>Pago por reembolso como reembolsante / monto total facturado por socios por puntos de emisión a operadoras de transporte (Informativo)</v>
      </c>
      <c r="V646" s="64" t="str">
        <f t="shared" si="116"/>
        <v/>
      </c>
      <c r="W646" s="64" t="str">
        <f t="shared" si="117"/>
        <v/>
      </c>
      <c r="X646" s="64" t="str">
        <f t="shared" si="123"/>
        <v/>
      </c>
      <c r="Y646" s="64" t="str">
        <f t="shared" si="124"/>
        <v/>
      </c>
      <c r="Z646" s="64" t="str">
        <f t="shared" si="125"/>
        <v/>
      </c>
      <c r="AA646" s="75" t="str">
        <f t="shared" si="126"/>
        <v>Pago por reembolso como reembolsante / monto total facturado por socios por puntos de emisión a operadoras de transporte (Informativo)</v>
      </c>
    </row>
    <row r="647" spans="1:48">
      <c r="A647" s="53"/>
      <c r="B647" s="235" t="s">
        <v>1122</v>
      </c>
      <c r="C647" s="235"/>
      <c r="D647" s="235"/>
      <c r="E647" s="235"/>
      <c r="F647" s="235"/>
      <c r="G647" s="235"/>
      <c r="H647" s="235"/>
      <c r="I647" s="235"/>
      <c r="J647" s="235"/>
      <c r="K647" s="235"/>
      <c r="L647" s="235"/>
      <c r="M647" s="235"/>
      <c r="N647" s="9" t="s">
        <v>1123</v>
      </c>
      <c r="O647" s="55" t="e">
        <f>VLOOKUP(N647,Casilleros!$A$4:$Q$830,17,FALSE)</f>
        <v>#REF!</v>
      </c>
      <c r="S647" s="67" t="str">
        <f t="shared" si="127"/>
        <v>7903</v>
      </c>
      <c r="T647" s="64" t="str">
        <f t="shared" si="121"/>
        <v>ESTADO DEL RESULTADO INTEGRAL</v>
      </c>
      <c r="U647" s="64" t="str">
        <f t="shared" si="122"/>
        <v>Pago por reembolso como intermediario (Informativo)</v>
      </c>
      <c r="V647" s="64" t="str">
        <f t="shared" si="116"/>
        <v/>
      </c>
      <c r="W647" s="64" t="str">
        <f t="shared" si="117"/>
        <v/>
      </c>
      <c r="X647" s="64" t="str">
        <f t="shared" si="123"/>
        <v/>
      </c>
      <c r="Y647" s="64" t="str">
        <f t="shared" si="124"/>
        <v/>
      </c>
      <c r="Z647" s="64" t="str">
        <f t="shared" si="125"/>
        <v/>
      </c>
      <c r="AA647" s="75" t="str">
        <f t="shared" si="126"/>
        <v>Pago por reembolso como intermediario (Informativo)</v>
      </c>
    </row>
    <row r="648" spans="1:48">
      <c r="A648" s="53"/>
      <c r="B648" s="264" t="s">
        <v>2731</v>
      </c>
      <c r="C648" s="264"/>
      <c r="D648" s="264"/>
      <c r="E648" s="264"/>
      <c r="F648" s="264"/>
      <c r="G648" s="264"/>
      <c r="H648" s="264"/>
      <c r="I648" s="264"/>
      <c r="J648" s="264"/>
      <c r="K648" s="264"/>
      <c r="L648" s="264"/>
      <c r="M648" s="264"/>
      <c r="N648" s="9" t="s">
        <v>1125</v>
      </c>
      <c r="O648" s="55" t="e">
        <f>VLOOKUP(N648,Casilleros!$A$4:$Q$830,17,FALSE)</f>
        <v>#REF!</v>
      </c>
      <c r="S648" s="67" t="str">
        <f t="shared" si="127"/>
        <v>7904</v>
      </c>
      <c r="T648" s="64" t="str">
        <f t="shared" si="121"/>
        <v>ESTADO DEL RESULTADO INTEGRAL</v>
      </c>
      <c r="U648" s="64" t="str">
        <f t="shared" si="122"/>
        <v>No. de ruc del profesional que  realizó el cálculo actuarial para el contribuyente (Informativo)  1702725498001 RODRIGO ARROBA PIEDRA</v>
      </c>
      <c r="V648" s="64" t="str">
        <f t="shared" si="116"/>
        <v/>
      </c>
      <c r="W648" s="64" t="str">
        <f t="shared" si="117"/>
        <v/>
      </c>
      <c r="X648" s="64" t="str">
        <f t="shared" si="123"/>
        <v/>
      </c>
      <c r="Y648" s="64" t="str">
        <f t="shared" si="124"/>
        <v/>
      </c>
      <c r="Z648" s="64" t="str">
        <f t="shared" si="125"/>
        <v/>
      </c>
      <c r="AA648" s="75" t="str">
        <f t="shared" si="126"/>
        <v>No. de ruc del profesional que  realizó el cálculo actuarial para el contribuyente (Informativo)  1702725498001 RODRIGO ARROBA PIEDRA</v>
      </c>
    </row>
    <row r="649" spans="1:48">
      <c r="A649" s="53"/>
      <c r="B649" s="235" t="s">
        <v>1126</v>
      </c>
      <c r="C649" s="235"/>
      <c r="D649" s="235"/>
      <c r="E649" s="235"/>
      <c r="F649" s="235"/>
      <c r="G649" s="235"/>
      <c r="H649" s="235"/>
      <c r="I649" s="235"/>
      <c r="J649" s="235"/>
      <c r="K649" s="235"/>
      <c r="L649" s="235"/>
      <c r="M649" s="235"/>
      <c r="N649" s="9" t="s">
        <v>1127</v>
      </c>
      <c r="O649" s="55" t="e">
        <f>VLOOKUP(N649,Casilleros!$A$4:$Q$830,17,FALSE)</f>
        <v>#REF!</v>
      </c>
      <c r="S649" s="67" t="str">
        <f t="shared" si="127"/>
        <v>7905</v>
      </c>
      <c r="T649" s="64" t="str">
        <f t="shared" si="121"/>
        <v>ESTADO DEL RESULTADO INTEGRAL</v>
      </c>
      <c r="U649" s="64" t="str">
        <f t="shared" si="122"/>
        <v>Costos y gastos generados en fideicomisos mercantiles o encargos fiduciarios donde el contribuyente es constituyente  o aportante (Informativo)</v>
      </c>
      <c r="V649" s="64" t="str">
        <f t="shared" si="116"/>
        <v/>
      </c>
      <c r="W649" s="64" t="str">
        <f t="shared" si="117"/>
        <v/>
      </c>
      <c r="X649" s="64" t="str">
        <f t="shared" si="123"/>
        <v/>
      </c>
      <c r="Y649" s="64" t="str">
        <f t="shared" si="124"/>
        <v/>
      </c>
      <c r="Z649" s="64" t="str">
        <f t="shared" si="125"/>
        <v/>
      </c>
      <c r="AA649" s="75" t="str">
        <f t="shared" si="126"/>
        <v>Costos y gastos generados en fideicomisos mercantiles o encargos fiduciarios donde el contribuyente es constituyente  o aportante (Informativo)</v>
      </c>
    </row>
    <row r="650" spans="1:48">
      <c r="A650" s="53"/>
      <c r="B650" s="235" t="s">
        <v>1128</v>
      </c>
      <c r="C650" s="235"/>
      <c r="D650" s="235"/>
      <c r="E650" s="235"/>
      <c r="F650" s="235"/>
      <c r="G650" s="235"/>
      <c r="H650" s="235"/>
      <c r="I650" s="235"/>
      <c r="J650" s="235"/>
      <c r="K650" s="235"/>
      <c r="L650" s="235"/>
      <c r="M650" s="235"/>
      <c r="N650" s="9" t="s">
        <v>1129</v>
      </c>
      <c r="O650" s="55" t="e">
        <f>VLOOKUP(N650,Casilleros!$A$4:$Q$830,17,FALSE)</f>
        <v>#REF!</v>
      </c>
      <c r="S650" s="67" t="str">
        <f t="shared" si="127"/>
        <v>7906</v>
      </c>
      <c r="T650" s="64" t="str">
        <f t="shared" si="121"/>
        <v>ESTADO DEL RESULTADO INTEGRAL</v>
      </c>
      <c r="U650" s="64" t="str">
        <f t="shared" si="122"/>
        <v>Gastos atribuidos a ingresos no objeto de impuesto a la renta</v>
      </c>
      <c r="V650" s="64" t="str">
        <f t="shared" si="116"/>
        <v/>
      </c>
      <c r="W650" s="64" t="str">
        <f t="shared" si="117"/>
        <v/>
      </c>
      <c r="X650" s="64" t="str">
        <f t="shared" si="123"/>
        <v/>
      </c>
      <c r="Y650" s="64" t="str">
        <f t="shared" si="124"/>
        <v/>
      </c>
      <c r="Z650" s="64" t="str">
        <f t="shared" si="125"/>
        <v/>
      </c>
      <c r="AA650" s="75" t="str">
        <f t="shared" si="126"/>
        <v>Gastos atribuidos a ingresos no objeto de impuesto a la renta</v>
      </c>
    </row>
    <row r="651" spans="1:48">
      <c r="A651" s="53"/>
      <c r="B651" s="235" t="s">
        <v>1130</v>
      </c>
      <c r="C651" s="235"/>
      <c r="D651" s="235"/>
      <c r="E651" s="235"/>
      <c r="F651" s="235"/>
      <c r="G651" s="235"/>
      <c r="H651" s="235"/>
      <c r="I651" s="235"/>
      <c r="J651" s="235"/>
      <c r="K651" s="235"/>
      <c r="L651" s="235"/>
      <c r="M651" s="235"/>
      <c r="N651" s="9" t="s">
        <v>1131</v>
      </c>
      <c r="O651" s="55" t="e">
        <f>VLOOKUP(N651,Casilleros!$A$4:$Q$830,17,FALSE)</f>
        <v>#REF!</v>
      </c>
      <c r="S651" s="67" t="str">
        <f t="shared" si="127"/>
        <v>7907</v>
      </c>
      <c r="T651" s="64" t="str">
        <f t="shared" si="121"/>
        <v>ESTADO DEL RESULTADO INTEGRAL</v>
      </c>
      <c r="U651" s="64" t="str">
        <f t="shared" si="122"/>
        <v>Costos y gastos realizados con dinero electrónico (Informativo)</v>
      </c>
      <c r="V651" s="64" t="str">
        <f t="shared" si="116"/>
        <v/>
      </c>
      <c r="W651" s="64" t="str">
        <f t="shared" si="117"/>
        <v/>
      </c>
      <c r="X651" s="64" t="str">
        <f t="shared" si="123"/>
        <v/>
      </c>
      <c r="Y651" s="64" t="str">
        <f t="shared" si="124"/>
        <v/>
      </c>
      <c r="Z651" s="64" t="str">
        <f t="shared" si="125"/>
        <v/>
      </c>
      <c r="AA651" s="75" t="str">
        <f t="shared" si="126"/>
        <v>Costos y gastos realizados con dinero electrónico (Informativo)</v>
      </c>
    </row>
    <row r="652" spans="1:48">
      <c r="A652" s="53"/>
      <c r="B652" s="235" t="s">
        <v>1132</v>
      </c>
      <c r="C652" s="235"/>
      <c r="D652" s="235"/>
      <c r="E652" s="235"/>
      <c r="F652" s="235"/>
      <c r="G652" s="235"/>
      <c r="H652" s="235"/>
      <c r="I652" s="235"/>
      <c r="J652" s="235"/>
      <c r="K652" s="235"/>
      <c r="L652" s="235"/>
      <c r="M652" s="235"/>
      <c r="N652" s="9" t="s">
        <v>1133</v>
      </c>
      <c r="O652" s="55" t="e">
        <f>VLOOKUP(N652,Casilleros!$A$4:$Q$830,17,FALSE)</f>
        <v>#REF!</v>
      </c>
      <c r="S652" s="67" t="str">
        <f t="shared" si="127"/>
        <v>7908</v>
      </c>
      <c r="T652" s="64" t="str">
        <f t="shared" si="121"/>
        <v>ESTADO DEL RESULTADO INTEGRAL</v>
      </c>
      <c r="U652" s="64" t="str">
        <f t="shared" si="122"/>
        <v>Incentivos ley de solidaridad (inversiones nuevas, exoneración para IFIS y compensación por el exceso de las contribuciones solidarias)</v>
      </c>
      <c r="V652" s="64" t="str">
        <f t="shared" si="116"/>
        <v/>
      </c>
      <c r="W652" s="64" t="str">
        <f t="shared" si="117"/>
        <v/>
      </c>
      <c r="X652" s="64" t="str">
        <f t="shared" si="123"/>
        <v/>
      </c>
      <c r="Y652" s="64" t="str">
        <f t="shared" si="124"/>
        <v/>
      </c>
      <c r="Z652" s="64" t="str">
        <f t="shared" si="125"/>
        <v/>
      </c>
      <c r="AA652" s="75" t="str">
        <f t="shared" si="126"/>
        <v>Incentivos ley de solidaridad (inversiones nuevas, exoneración para IFIS y compensación por el exceso de las contribuciones solidarias)</v>
      </c>
    </row>
    <row r="653" spans="1:48">
      <c r="A653" s="236" t="s">
        <v>28</v>
      </c>
      <c r="B653" s="236"/>
      <c r="C653" s="236"/>
      <c r="D653" s="236"/>
      <c r="E653" s="236"/>
      <c r="F653" s="236"/>
      <c r="G653" s="236"/>
      <c r="H653" s="236"/>
      <c r="I653" s="236"/>
      <c r="J653" s="236"/>
      <c r="K653" s="236"/>
      <c r="L653" s="236"/>
      <c r="M653" s="236"/>
      <c r="N653" s="236"/>
      <c r="O653" s="236"/>
      <c r="S653" s="67">
        <f t="shared" si="127"/>
        <v>0</v>
      </c>
      <c r="T653" s="64" t="str">
        <f t="shared" si="121"/>
        <v>CONCILIACIÓN TRIBUTARIA</v>
      </c>
      <c r="U653" s="64" t="str">
        <f t="shared" si="122"/>
        <v/>
      </c>
      <c r="V653" s="64" t="str">
        <f t="shared" si="116"/>
        <v/>
      </c>
      <c r="W653" s="64" t="str">
        <f t="shared" si="117"/>
        <v/>
      </c>
      <c r="X653" s="64" t="str">
        <f t="shared" si="123"/>
        <v/>
      </c>
      <c r="Y653" s="64" t="str">
        <f t="shared" si="124"/>
        <v/>
      </c>
      <c r="Z653" s="64" t="str">
        <f t="shared" si="125"/>
        <v/>
      </c>
      <c r="AA653" s="69" t="str">
        <f t="shared" si="126"/>
        <v/>
      </c>
    </row>
    <row r="654" spans="1:48">
      <c r="A654" s="53"/>
      <c r="B654" s="245" t="s">
        <v>9</v>
      </c>
      <c r="C654" s="245"/>
      <c r="D654" s="245"/>
      <c r="E654" s="245"/>
      <c r="F654" s="245"/>
      <c r="G654" s="245"/>
      <c r="H654" s="245"/>
      <c r="I654" s="245"/>
      <c r="J654" s="245"/>
      <c r="K654" s="245"/>
      <c r="L654" s="245"/>
      <c r="M654" s="245"/>
      <c r="N654" s="71" t="s">
        <v>1134</v>
      </c>
      <c r="O654" s="72" t="e">
        <f>IF((+O644+O489)&lt;0,(+O644+O489),0)</f>
        <v>#REF!</v>
      </c>
      <c r="S654" s="67" t="str">
        <f t="shared" si="127"/>
        <v>801</v>
      </c>
      <c r="T654" s="64" t="str">
        <f t="shared" si="121"/>
        <v>CONCILIACIÓN TRIBUTARIA</v>
      </c>
      <c r="U654" s="64" t="str">
        <f t="shared" si="122"/>
        <v>UTILIDAD DEL EJERCICIO</v>
      </c>
      <c r="V654" s="64" t="str">
        <f t="shared" si="116"/>
        <v/>
      </c>
      <c r="W654" s="64" t="str">
        <f t="shared" si="117"/>
        <v/>
      </c>
      <c r="X654" s="64" t="str">
        <f t="shared" si="123"/>
        <v/>
      </c>
      <c r="Y654" s="64" t="str">
        <f t="shared" si="124"/>
        <v/>
      </c>
      <c r="Z654" s="64" t="str">
        <f t="shared" si="125"/>
        <v/>
      </c>
      <c r="AA654" s="69" t="str">
        <f t="shared" si="126"/>
        <v>UTILIDAD DEL EJERCICIO</v>
      </c>
    </row>
    <row r="655" spans="1:48">
      <c r="A655" s="53"/>
      <c r="B655" s="245" t="s">
        <v>1135</v>
      </c>
      <c r="C655" s="245"/>
      <c r="D655" s="245"/>
      <c r="E655" s="245"/>
      <c r="F655" s="245"/>
      <c r="G655" s="245"/>
      <c r="H655" s="245"/>
      <c r="I655" s="245"/>
      <c r="J655" s="245"/>
      <c r="K655" s="245"/>
      <c r="L655" s="245"/>
      <c r="M655" s="245"/>
      <c r="N655" s="71" t="s">
        <v>1136</v>
      </c>
      <c r="O655" s="72" t="e">
        <f>IF((+O644+O489)&gt;0,(+O644+O489),0)</f>
        <v>#REF!</v>
      </c>
      <c r="S655" s="67" t="str">
        <f t="shared" si="127"/>
        <v>802</v>
      </c>
      <c r="T655" s="64" t="str">
        <f t="shared" si="121"/>
        <v>CONCILIACIÓN TRIBUTARIA</v>
      </c>
      <c r="U655" s="64" t="str">
        <f t="shared" si="122"/>
        <v>PÉRDIDA DEL EJERCICIO</v>
      </c>
      <c r="V655" s="64" t="str">
        <f t="shared" si="116"/>
        <v/>
      </c>
      <c r="W655" s="64" t="str">
        <f t="shared" si="117"/>
        <v/>
      </c>
      <c r="X655" s="64" t="str">
        <f t="shared" si="123"/>
        <v/>
      </c>
      <c r="Y655" s="64" t="str">
        <f t="shared" si="124"/>
        <v/>
      </c>
      <c r="Z655" s="64" t="str">
        <f t="shared" si="125"/>
        <v/>
      </c>
      <c r="AA655" s="69" t="str">
        <f t="shared" si="126"/>
        <v>PÉRDIDA DEL EJERCICIO</v>
      </c>
    </row>
    <row r="656" spans="1:48">
      <c r="A656" s="53"/>
      <c r="B656" s="84" t="s">
        <v>1369</v>
      </c>
      <c r="C656" s="236" t="s">
        <v>21</v>
      </c>
      <c r="D656" s="236"/>
      <c r="E656" s="236"/>
      <c r="F656" s="236"/>
      <c r="G656" s="236"/>
      <c r="H656" s="236"/>
      <c r="I656" s="236"/>
      <c r="J656" s="236"/>
      <c r="K656" s="236"/>
      <c r="L656" s="246" t="s">
        <v>1137</v>
      </c>
      <c r="M656" s="246"/>
      <c r="N656" s="246" t="s">
        <v>1138</v>
      </c>
      <c r="O656" s="246"/>
      <c r="S656" s="67" t="str">
        <f t="shared" si="127"/>
        <v>Reversión</v>
      </c>
      <c r="T656" s="64" t="str">
        <f t="shared" si="121"/>
        <v>CONCILIACIÓN TRIBUTARIA</v>
      </c>
      <c r="U656" s="64" t="str">
        <f t="shared" si="122"/>
        <v>_</v>
      </c>
      <c r="V656" s="69" t="str">
        <f>+C656</f>
        <v>CÁLCULO DE BASE PARTICIPACIÓN A TRABAJADORES</v>
      </c>
      <c r="W656" s="64" t="str">
        <f t="shared" si="117"/>
        <v/>
      </c>
      <c r="X656" s="64" t="str">
        <f t="shared" si="123"/>
        <v/>
      </c>
      <c r="Y656" s="64" t="str">
        <f t="shared" si="124"/>
        <v/>
      </c>
      <c r="Z656" s="64" t="str">
        <f t="shared" si="125"/>
        <v/>
      </c>
      <c r="AA656" s="69" t="str">
        <f t="shared" si="126"/>
        <v>_</v>
      </c>
    </row>
    <row r="657" spans="1:425">
      <c r="A657" s="53"/>
      <c r="B657" s="53"/>
      <c r="C657" s="53"/>
      <c r="D657" s="242" t="s">
        <v>1139</v>
      </c>
      <c r="E657" s="242"/>
      <c r="F657" s="242"/>
      <c r="G657" s="242"/>
      <c r="H657" s="242"/>
      <c r="I657" s="242"/>
      <c r="J657" s="242"/>
      <c r="K657" s="242"/>
      <c r="L657" s="9" t="s">
        <v>1140</v>
      </c>
      <c r="M657" s="54"/>
      <c r="N657" s="9" t="s">
        <v>1141</v>
      </c>
      <c r="O657" s="55"/>
      <c r="S657" s="67" t="str">
        <f>L657</f>
        <v>094</v>
      </c>
      <c r="T657" s="64" t="str">
        <f t="shared" si="121"/>
        <v>CONCILIACIÓN TRIBUTARIA</v>
      </c>
      <c r="U657" s="64" t="str">
        <f t="shared" si="122"/>
        <v>_</v>
      </c>
      <c r="V657" s="69" t="s">
        <v>21</v>
      </c>
      <c r="W657" s="64" t="str">
        <f t="shared" si="117"/>
        <v>Ingresos por mediciones de activos biológicos al valor razonable menos costos de venta</v>
      </c>
      <c r="X657" s="64" t="str">
        <f t="shared" si="123"/>
        <v/>
      </c>
      <c r="Y657" s="64" t="str">
        <f t="shared" si="124"/>
        <v/>
      </c>
      <c r="Z657" s="64" t="str">
        <f t="shared" si="125"/>
        <v/>
      </c>
      <c r="AA657" s="64" t="str">
        <f>IF(X657&lt;&gt;"",CONCATENATE(W657,"_",X657,"_",Y657,"_",Z657,"_Generación"),CONCATENATE(V657, "_",W657,"_Generación"))</f>
        <v>CÁLCULO DE BASE PARTICIPACIÓN A TRABAJADORES_Ingresos por mediciones de activos biológicos al valor razonable menos costos de venta_Generación</v>
      </c>
      <c r="AC657" s="76" t="s">
        <v>1141</v>
      </c>
      <c r="AD657" s="76" t="s">
        <v>28</v>
      </c>
      <c r="AE657" s="76" t="s">
        <v>1369</v>
      </c>
      <c r="AF657" s="76" t="s">
        <v>21</v>
      </c>
      <c r="AG657" s="76" t="s">
        <v>1139</v>
      </c>
      <c r="AH657" s="76" t="s">
        <v>444</v>
      </c>
      <c r="AI657" s="76" t="s">
        <v>444</v>
      </c>
      <c r="AJ657" s="76" t="s">
        <v>444</v>
      </c>
      <c r="AK657" s="76" t="s">
        <v>1459</v>
      </c>
    </row>
    <row r="658" spans="1:425">
      <c r="A658" s="53"/>
      <c r="B658" s="53"/>
      <c r="C658" s="53"/>
      <c r="D658" s="242" t="s">
        <v>1142</v>
      </c>
      <c r="E658" s="242"/>
      <c r="F658" s="242"/>
      <c r="G658" s="242"/>
      <c r="H658" s="242"/>
      <c r="I658" s="242"/>
      <c r="J658" s="242"/>
      <c r="K658" s="242"/>
      <c r="L658" s="9" t="s">
        <v>1143</v>
      </c>
      <c r="M658" s="54"/>
      <c r="N658" s="9" t="s">
        <v>1144</v>
      </c>
      <c r="O658" s="55"/>
      <c r="S658" s="67" t="str">
        <f>L658</f>
        <v>096</v>
      </c>
      <c r="T658" s="64" t="str">
        <f t="shared" si="121"/>
        <v>CONCILIACIÓN TRIBUTARIA</v>
      </c>
      <c r="U658" s="64" t="str">
        <f t="shared" si="122"/>
        <v>_</v>
      </c>
      <c r="V658" s="69" t="s">
        <v>21</v>
      </c>
      <c r="W658" s="64" t="str">
        <f t="shared" si="117"/>
        <v>Pérdidas, costos y gastos por mediciones de activos biológicos al valor razonable menos costos de venta</v>
      </c>
      <c r="X658" s="64" t="str">
        <f t="shared" si="123"/>
        <v/>
      </c>
      <c r="Y658" s="64" t="str">
        <f t="shared" si="124"/>
        <v/>
      </c>
      <c r="Z658" s="64" t="str">
        <f t="shared" si="125"/>
        <v/>
      </c>
      <c r="AA658" s="64" t="str">
        <f>IF(X658&lt;&gt;"",CONCATENATE(W658,"_",X658,"_",Y658,"_",Z658,"_Generación"),CONCATENATE(V658, "_",W658,"_Generación"))</f>
        <v>CÁLCULO DE BASE PARTICIPACIÓN A TRABAJADORES_Pérdidas, costos y gastos por mediciones de activos biológicos al valor razonable menos costos de venta_Generación</v>
      </c>
      <c r="AC658" s="76" t="s">
        <v>1144</v>
      </c>
      <c r="AD658" s="76" t="s">
        <v>28</v>
      </c>
      <c r="AE658" s="76" t="s">
        <v>1369</v>
      </c>
      <c r="AF658" s="76" t="s">
        <v>21</v>
      </c>
      <c r="AG658" s="76" t="s">
        <v>1142</v>
      </c>
      <c r="AH658" s="76" t="s">
        <v>444</v>
      </c>
      <c r="AI658" s="76" t="s">
        <v>444</v>
      </c>
      <c r="AJ658" s="76" t="s">
        <v>444</v>
      </c>
      <c r="AK658" s="76" t="s">
        <v>1460</v>
      </c>
    </row>
    <row r="659" spans="1:425">
      <c r="A659" s="53"/>
      <c r="B659" s="53"/>
      <c r="C659" s="53"/>
      <c r="D659" s="242" t="s">
        <v>22</v>
      </c>
      <c r="E659" s="242"/>
      <c r="F659" s="242"/>
      <c r="G659" s="242"/>
      <c r="H659" s="242"/>
      <c r="I659" s="242"/>
      <c r="J659" s="242"/>
      <c r="K659" s="242"/>
      <c r="L659" s="254" t="s">
        <v>741</v>
      </c>
      <c r="M659" s="254"/>
      <c r="N659" s="9" t="s">
        <v>23</v>
      </c>
      <c r="O659" s="55" t="e">
        <f>+O654+SUM(M657:M658)-SUM(O657:O658)</f>
        <v>#REF!</v>
      </c>
      <c r="P659" s="67" t="e">
        <f>+#REF!</f>
        <v>#REF!</v>
      </c>
      <c r="Q659" s="67" t="e">
        <f>+P659+O659</f>
        <v>#REF!</v>
      </c>
      <c r="S659" s="67" t="str">
        <f t="shared" si="127"/>
        <v>098</v>
      </c>
      <c r="T659" s="64" t="str">
        <f t="shared" si="121"/>
        <v>CONCILIACIÓN TRIBUTARIA</v>
      </c>
      <c r="U659" s="64" t="str">
        <f t="shared" si="122"/>
        <v>_</v>
      </c>
      <c r="V659" s="69" t="s">
        <v>21</v>
      </c>
      <c r="W659" s="64" t="str">
        <f t="shared" si="117"/>
        <v>Base de cálculo de participación a trabajadores</v>
      </c>
      <c r="X659" s="64" t="str">
        <f t="shared" si="123"/>
        <v/>
      </c>
      <c r="Y659" s="64" t="str">
        <f t="shared" si="124"/>
        <v/>
      </c>
      <c r="Z659" s="64" t="str">
        <f t="shared" si="125"/>
        <v/>
      </c>
      <c r="AA659" s="64" t="str">
        <f>IF(X659&lt;&gt;"",CONCATENATE(W659,"_",X659,"_",Y659,"_",Z659,"_Generación"),CONCATENATE(V659, "_",W659,"_Generación"))</f>
        <v>CÁLCULO DE BASE PARTICIPACIÓN A TRABAJADORES_Base de cálculo de participación a trabajadores_Generación</v>
      </c>
    </row>
    <row r="660" spans="1:425">
      <c r="A660" s="53"/>
      <c r="B660" s="53"/>
      <c r="C660" s="236" t="s">
        <v>1145</v>
      </c>
      <c r="D660" s="236"/>
      <c r="E660" s="236"/>
      <c r="F660" s="236"/>
      <c r="G660" s="236"/>
      <c r="H660" s="236"/>
      <c r="I660" s="236"/>
      <c r="J660" s="236"/>
      <c r="K660" s="236"/>
      <c r="L660" s="236"/>
      <c r="M660" s="236"/>
      <c r="N660" s="236"/>
      <c r="O660" s="236"/>
      <c r="S660" s="67">
        <f t="shared" si="127"/>
        <v>0</v>
      </c>
      <c r="T660" s="64" t="str">
        <f t="shared" si="121"/>
        <v>CONCILIACIÓN TRIBUTARIA</v>
      </c>
      <c r="U660" s="64" t="str">
        <f t="shared" si="122"/>
        <v>_</v>
      </c>
      <c r="V660" s="64" t="str">
        <f t="shared" si="116"/>
        <v>DIFERENCIAS PERMANENTES</v>
      </c>
      <c r="W660" s="64" t="str">
        <f t="shared" si="117"/>
        <v/>
      </c>
      <c r="X660" s="64" t="str">
        <f t="shared" si="123"/>
        <v/>
      </c>
      <c r="Y660" s="64" t="str">
        <f t="shared" si="124"/>
        <v/>
      </c>
      <c r="Z660" s="64" t="str">
        <f t="shared" si="125"/>
        <v/>
      </c>
      <c r="AA660" s="64" t="str">
        <f t="shared" ref="AA660:AA671" si="128">IF(X660&lt;&gt;"",CONCATENATE(W660,"_",X660,"_",Y660,"_",Z660,""),CONCATENATE(V660, "_",W660,""))</f>
        <v>DIFERENCIAS PERMANENTES_</v>
      </c>
    </row>
    <row r="661" spans="1:425">
      <c r="A661" s="53"/>
      <c r="B661" s="53"/>
      <c r="C661" s="53"/>
      <c r="D661" s="242" t="s">
        <v>1146</v>
      </c>
      <c r="E661" s="242"/>
      <c r="F661" s="242"/>
      <c r="G661" s="242"/>
      <c r="H661" s="242"/>
      <c r="I661" s="242"/>
      <c r="J661" s="242"/>
      <c r="K661" s="242"/>
      <c r="L661" s="242"/>
      <c r="M661" s="242"/>
      <c r="N661" s="9" t="s">
        <v>1147</v>
      </c>
      <c r="O661" s="55" t="e">
        <f>-VLOOKUP(N661,Casilleros!$A$4:$Q$830,17,FALSE)</f>
        <v>#REF!</v>
      </c>
      <c r="S661" s="67" t="str">
        <f t="shared" si="127"/>
        <v>803</v>
      </c>
      <c r="T661" s="64" t="str">
        <f t="shared" si="121"/>
        <v>CONCILIACIÓN TRIBUTARIA</v>
      </c>
      <c r="U661" s="64" t="str">
        <f t="shared" si="122"/>
        <v>_</v>
      </c>
      <c r="V661" s="64" t="str">
        <f t="shared" si="116"/>
        <v>DIFERENCIAS PERMANENTES</v>
      </c>
      <c r="W661" s="64" t="str">
        <f t="shared" si="117"/>
        <v>(-) Participación a trabajadores</v>
      </c>
      <c r="X661" s="64" t="str">
        <f t="shared" si="123"/>
        <v/>
      </c>
      <c r="Y661" s="64" t="str">
        <f t="shared" si="124"/>
        <v/>
      </c>
      <c r="Z661" s="64" t="str">
        <f t="shared" si="125"/>
        <v/>
      </c>
      <c r="AA661" s="64" t="str">
        <f t="shared" si="128"/>
        <v>DIFERENCIAS PERMANENTES_(-) Participación a trabajadores</v>
      </c>
    </row>
    <row r="662" spans="1:425" s="85" customFormat="1">
      <c r="A662" s="70"/>
      <c r="B662" s="70"/>
      <c r="C662" s="70"/>
      <c r="D662" s="265" t="s">
        <v>1148</v>
      </c>
      <c r="E662" s="265"/>
      <c r="F662" s="265"/>
      <c r="G662" s="265"/>
      <c r="H662" s="265"/>
      <c r="I662" s="265"/>
      <c r="J662" s="265"/>
      <c r="K662" s="265"/>
      <c r="L662" s="265"/>
      <c r="M662" s="265"/>
      <c r="N662" s="9" t="s">
        <v>1149</v>
      </c>
      <c r="O662" s="55" t="e">
        <f>VLOOKUP(N662,Casilleros!$A$4:$Q$830,17,FALSE)</f>
        <v>#REF!</v>
      </c>
      <c r="P662" s="67"/>
      <c r="Q662" s="67"/>
      <c r="R662" s="67"/>
      <c r="S662" s="67" t="str">
        <f t="shared" si="127"/>
        <v>804</v>
      </c>
      <c r="T662" s="64" t="str">
        <f t="shared" si="121"/>
        <v>CONCILIACIÓN TRIBUTARIA</v>
      </c>
      <c r="U662" s="64" t="str">
        <f t="shared" si="122"/>
        <v>_</v>
      </c>
      <c r="V662" s="64" t="str">
        <f t="shared" si="116"/>
        <v>DIFERENCIAS PERMANENTES</v>
      </c>
      <c r="W662" s="64" t="str">
        <f t="shared" si="117"/>
        <v>(-) Dividendos exentos  y efectos por método de participación (valor patrimonial proporcional) campos (6024+6026+6132)</v>
      </c>
      <c r="X662" s="64" t="str">
        <f t="shared" si="123"/>
        <v/>
      </c>
      <c r="Y662" s="64" t="str">
        <f t="shared" si="124"/>
        <v/>
      </c>
      <c r="Z662" s="64" t="str">
        <f t="shared" si="125"/>
        <v/>
      </c>
      <c r="AA662" s="64" t="str">
        <f t="shared" si="128"/>
        <v>DIFERENCIAS PERMANENTES_(-) Dividendos exentos  y efectos por método de participación (valor patrimonial proporcional) campos (6024+6026+6132)</v>
      </c>
      <c r="AB662" s="64"/>
      <c r="AC662" s="64"/>
      <c r="AD662" s="64"/>
      <c r="AE662" s="64"/>
      <c r="AF662" s="64"/>
      <c r="AG662" s="64"/>
      <c r="AH662" s="64"/>
      <c r="AI662" s="64"/>
      <c r="AJ662" s="64"/>
      <c r="AK662" s="64"/>
      <c r="AL662" s="64"/>
      <c r="AM662" s="64"/>
      <c r="AN662" s="64"/>
      <c r="AO662" s="64"/>
      <c r="AP662" s="64"/>
      <c r="AQ662" s="64"/>
      <c r="AR662" s="64"/>
      <c r="AS662" s="64"/>
      <c r="AT662" s="64"/>
      <c r="AU662" s="64"/>
      <c r="AV662" s="64"/>
      <c r="AW662" s="64"/>
      <c r="AX662" s="64"/>
      <c r="AY662" s="64"/>
      <c r="AZ662" s="64"/>
      <c r="BA662" s="64"/>
      <c r="BB662" s="64"/>
      <c r="BC662" s="64"/>
      <c r="BD662" s="64"/>
      <c r="BE662" s="64"/>
      <c r="BF662" s="64"/>
      <c r="BG662" s="64"/>
      <c r="BH662" s="64"/>
      <c r="BI662" s="64"/>
      <c r="BJ662" s="64"/>
      <c r="BK662" s="64"/>
      <c r="BL662" s="64"/>
      <c r="BM662" s="64"/>
      <c r="BN662" s="64"/>
      <c r="BO662" s="64"/>
      <c r="BP662" s="64"/>
      <c r="BQ662" s="64"/>
      <c r="BR662" s="64"/>
      <c r="BS662" s="64"/>
      <c r="BT662" s="64"/>
      <c r="BU662" s="64"/>
      <c r="BV662" s="64"/>
      <c r="BW662" s="64"/>
      <c r="BX662" s="64"/>
      <c r="BY662" s="64"/>
      <c r="BZ662" s="64"/>
      <c r="CA662" s="64"/>
      <c r="CB662" s="64"/>
      <c r="CC662" s="64"/>
      <c r="CD662" s="64"/>
      <c r="CE662" s="64"/>
      <c r="CF662" s="64"/>
      <c r="CG662" s="64"/>
      <c r="CH662" s="64"/>
      <c r="CI662" s="64"/>
      <c r="CJ662" s="64"/>
      <c r="CK662" s="64"/>
      <c r="CL662" s="64"/>
      <c r="CM662" s="64"/>
      <c r="CN662" s="64"/>
      <c r="CO662" s="64"/>
      <c r="CP662" s="64"/>
      <c r="CQ662" s="64"/>
      <c r="CR662" s="64"/>
      <c r="CS662" s="64"/>
      <c r="CT662" s="64"/>
      <c r="CU662" s="64"/>
      <c r="CV662" s="64"/>
      <c r="CW662" s="64"/>
      <c r="CX662" s="64"/>
      <c r="CY662" s="64"/>
      <c r="CZ662" s="64"/>
      <c r="DA662" s="64"/>
      <c r="DB662" s="64"/>
      <c r="DC662" s="64"/>
      <c r="DD662" s="64"/>
      <c r="DE662" s="64"/>
      <c r="DF662" s="64"/>
      <c r="DG662" s="64"/>
      <c r="DH662" s="64"/>
      <c r="DI662" s="64"/>
      <c r="DJ662" s="64"/>
      <c r="DK662" s="64"/>
      <c r="DL662" s="64"/>
      <c r="DM662" s="64"/>
      <c r="DN662" s="64"/>
      <c r="DO662" s="64"/>
      <c r="DP662" s="64"/>
      <c r="DQ662" s="64"/>
      <c r="DR662" s="64"/>
      <c r="DS662" s="64"/>
      <c r="DT662" s="64"/>
      <c r="DU662" s="64"/>
      <c r="DV662" s="64"/>
      <c r="DW662" s="64"/>
      <c r="DX662" s="64"/>
      <c r="DY662" s="64"/>
      <c r="DZ662" s="64"/>
      <c r="EA662" s="64"/>
      <c r="EB662" s="64"/>
      <c r="EC662" s="64"/>
      <c r="ED662" s="64"/>
      <c r="EE662" s="64"/>
      <c r="EF662" s="64"/>
      <c r="EG662" s="64"/>
      <c r="EH662" s="64"/>
      <c r="EI662" s="64"/>
      <c r="EJ662" s="64"/>
      <c r="EK662" s="64"/>
      <c r="EL662" s="64"/>
      <c r="EM662" s="64"/>
      <c r="EN662" s="64"/>
      <c r="EO662" s="64"/>
      <c r="EP662" s="64"/>
      <c r="EQ662" s="64"/>
      <c r="ER662" s="64"/>
      <c r="ES662" s="64"/>
      <c r="ET662" s="64"/>
      <c r="EU662" s="64"/>
      <c r="EV662" s="64"/>
      <c r="EW662" s="64"/>
      <c r="EX662" s="64"/>
      <c r="EY662" s="64"/>
      <c r="EZ662" s="64"/>
      <c r="FA662" s="64"/>
      <c r="FB662" s="64"/>
      <c r="FC662" s="64"/>
      <c r="FD662" s="64"/>
      <c r="FE662" s="64"/>
      <c r="FF662" s="64"/>
      <c r="FG662" s="64"/>
      <c r="FH662" s="64"/>
      <c r="FI662" s="64"/>
      <c r="FJ662" s="64"/>
      <c r="FK662" s="64"/>
      <c r="FL662" s="64"/>
      <c r="FM662" s="64"/>
      <c r="FN662" s="64"/>
      <c r="FO662" s="64"/>
      <c r="FP662" s="64"/>
      <c r="FQ662" s="64"/>
      <c r="FR662" s="64"/>
      <c r="FS662" s="64"/>
      <c r="FT662" s="64"/>
      <c r="FU662" s="64"/>
      <c r="FV662" s="64"/>
      <c r="FW662" s="64"/>
      <c r="FX662" s="64"/>
      <c r="FY662" s="64"/>
      <c r="FZ662" s="64"/>
      <c r="GA662" s="64"/>
      <c r="GB662" s="64"/>
      <c r="GC662" s="64"/>
      <c r="GD662" s="64"/>
      <c r="GE662" s="64"/>
      <c r="GF662" s="64"/>
      <c r="GG662" s="64"/>
      <c r="GH662" s="64"/>
      <c r="GI662" s="64"/>
      <c r="GJ662" s="64"/>
      <c r="GK662" s="64"/>
      <c r="GL662" s="64"/>
      <c r="GM662" s="64"/>
      <c r="GN662" s="64"/>
      <c r="GO662" s="64"/>
      <c r="GP662" s="64"/>
      <c r="GQ662" s="64"/>
      <c r="GR662" s="64"/>
      <c r="GS662" s="64"/>
      <c r="GT662" s="64"/>
      <c r="GU662" s="64"/>
      <c r="GV662" s="64"/>
      <c r="GW662" s="64"/>
      <c r="GX662" s="64"/>
      <c r="GY662" s="64"/>
      <c r="GZ662" s="64"/>
      <c r="HA662" s="64"/>
      <c r="HB662" s="64"/>
      <c r="HC662" s="64"/>
      <c r="HD662" s="64"/>
      <c r="HE662" s="64"/>
      <c r="HF662" s="64"/>
      <c r="HG662" s="64"/>
      <c r="HH662" s="64"/>
      <c r="HI662" s="64"/>
      <c r="HJ662" s="64"/>
      <c r="HK662" s="64"/>
      <c r="HL662" s="64"/>
      <c r="HM662" s="64"/>
      <c r="HN662" s="64"/>
      <c r="HO662" s="64"/>
      <c r="HP662" s="64"/>
      <c r="HQ662" s="64"/>
      <c r="HR662" s="64"/>
      <c r="HS662" s="64"/>
      <c r="HT662" s="64"/>
      <c r="HU662" s="64"/>
      <c r="HV662" s="64"/>
      <c r="HW662" s="64"/>
      <c r="HX662" s="64"/>
      <c r="HY662" s="64"/>
      <c r="HZ662" s="64"/>
      <c r="IA662" s="64"/>
      <c r="IB662" s="64"/>
      <c r="IC662" s="64"/>
      <c r="ID662" s="64"/>
      <c r="IE662" s="64"/>
      <c r="IF662" s="64"/>
      <c r="IG662" s="64"/>
      <c r="IH662" s="64"/>
      <c r="II662" s="64"/>
      <c r="IJ662" s="64"/>
      <c r="IK662" s="64"/>
      <c r="IL662" s="64"/>
      <c r="IM662" s="64"/>
      <c r="IN662" s="64"/>
      <c r="IO662" s="64"/>
      <c r="IP662" s="64"/>
      <c r="IQ662" s="64"/>
      <c r="IR662" s="64"/>
      <c r="IS662" s="64"/>
      <c r="IT662" s="64"/>
      <c r="IU662" s="64"/>
      <c r="IV662" s="64"/>
      <c r="IW662" s="64"/>
      <c r="IX662" s="64"/>
      <c r="IY662" s="64"/>
      <c r="IZ662" s="64"/>
      <c r="JA662" s="64"/>
      <c r="JB662" s="64"/>
      <c r="JC662" s="64"/>
      <c r="JD662" s="64"/>
      <c r="JE662" s="64"/>
      <c r="JF662" s="64"/>
      <c r="JG662" s="64"/>
      <c r="JH662" s="64"/>
      <c r="JI662" s="64"/>
      <c r="JJ662" s="64"/>
      <c r="JK662" s="64"/>
      <c r="JL662" s="64"/>
      <c r="JM662" s="64"/>
      <c r="JN662" s="64"/>
      <c r="JO662" s="64"/>
      <c r="JP662" s="64"/>
      <c r="JQ662" s="64"/>
      <c r="JR662" s="64"/>
      <c r="JS662" s="64"/>
      <c r="JT662" s="64"/>
      <c r="JU662" s="64"/>
      <c r="JV662" s="64"/>
      <c r="JW662" s="64"/>
      <c r="JX662" s="64"/>
      <c r="JY662" s="64"/>
      <c r="JZ662" s="64"/>
      <c r="KA662" s="64"/>
      <c r="KB662" s="64"/>
      <c r="KC662" s="64"/>
      <c r="KD662" s="64"/>
      <c r="KE662" s="64"/>
      <c r="KF662" s="64"/>
      <c r="KG662" s="64"/>
      <c r="KH662" s="64"/>
      <c r="KI662" s="64"/>
      <c r="KJ662" s="64"/>
      <c r="KK662" s="64"/>
      <c r="KL662" s="64"/>
      <c r="KM662" s="64"/>
      <c r="KN662" s="64"/>
      <c r="KO662" s="64"/>
      <c r="KP662" s="64"/>
      <c r="KQ662" s="64"/>
      <c r="KR662" s="64"/>
      <c r="KS662" s="64"/>
      <c r="KT662" s="64"/>
      <c r="KU662" s="64"/>
      <c r="KV662" s="64"/>
      <c r="KW662" s="64"/>
      <c r="KX662" s="64"/>
      <c r="KY662" s="64"/>
      <c r="KZ662" s="64"/>
      <c r="LA662" s="64"/>
      <c r="LB662" s="64"/>
      <c r="LC662" s="64"/>
      <c r="LD662" s="64"/>
      <c r="LE662" s="64"/>
      <c r="LF662" s="64"/>
      <c r="LG662" s="64"/>
      <c r="LH662" s="64"/>
      <c r="LI662" s="64"/>
      <c r="LJ662" s="64"/>
      <c r="LK662" s="64"/>
      <c r="LL662" s="64"/>
      <c r="LM662" s="64"/>
      <c r="LN662" s="64"/>
      <c r="LO662" s="64"/>
      <c r="LP662" s="64"/>
      <c r="LQ662" s="64"/>
      <c r="LR662" s="64"/>
      <c r="LS662" s="64"/>
      <c r="LT662" s="64"/>
      <c r="LU662" s="64"/>
      <c r="LV662" s="64"/>
      <c r="LW662" s="64"/>
      <c r="LX662" s="64"/>
      <c r="LY662" s="64"/>
      <c r="LZ662" s="64"/>
      <c r="MA662" s="64"/>
      <c r="MB662" s="64"/>
      <c r="MC662" s="64"/>
      <c r="MD662" s="64"/>
      <c r="ME662" s="64"/>
      <c r="MF662" s="64"/>
      <c r="MG662" s="64"/>
      <c r="MH662" s="64"/>
      <c r="MI662" s="64"/>
      <c r="MJ662" s="64"/>
      <c r="MK662" s="64"/>
      <c r="ML662" s="64"/>
      <c r="MM662" s="64"/>
      <c r="MN662" s="64"/>
      <c r="MO662" s="64"/>
      <c r="MP662" s="64"/>
      <c r="MQ662" s="64"/>
      <c r="MR662" s="64"/>
      <c r="MS662" s="64"/>
      <c r="MT662" s="64"/>
      <c r="MU662" s="64"/>
      <c r="MV662" s="64"/>
      <c r="MW662" s="64"/>
      <c r="MX662" s="64"/>
      <c r="MY662" s="64"/>
      <c r="MZ662" s="64"/>
      <c r="NA662" s="64"/>
      <c r="NB662" s="64"/>
      <c r="NC662" s="64"/>
      <c r="ND662" s="64"/>
      <c r="NE662" s="64"/>
      <c r="NF662" s="64"/>
      <c r="NG662" s="64"/>
      <c r="NH662" s="64"/>
      <c r="NI662" s="64"/>
      <c r="NJ662" s="64"/>
      <c r="NK662" s="64"/>
      <c r="NL662" s="64"/>
      <c r="NM662" s="64"/>
      <c r="NN662" s="64"/>
      <c r="NO662" s="64"/>
      <c r="NP662" s="64"/>
      <c r="NQ662" s="64"/>
      <c r="NR662" s="64"/>
      <c r="NS662" s="64"/>
      <c r="NT662" s="64"/>
      <c r="NU662" s="64"/>
      <c r="NV662" s="64"/>
      <c r="NW662" s="64"/>
      <c r="NX662" s="64"/>
      <c r="NY662" s="64"/>
      <c r="NZ662" s="64"/>
      <c r="OA662" s="64"/>
      <c r="OB662" s="64"/>
      <c r="OC662" s="64"/>
      <c r="OD662" s="64"/>
      <c r="OE662" s="64"/>
      <c r="OF662" s="64"/>
      <c r="OG662" s="64"/>
      <c r="OH662" s="64"/>
      <c r="OI662" s="64"/>
      <c r="OJ662" s="64"/>
      <c r="OK662" s="64"/>
      <c r="OL662" s="64"/>
      <c r="OM662" s="64"/>
      <c r="ON662" s="64"/>
      <c r="OO662" s="64"/>
      <c r="OP662" s="64"/>
      <c r="OQ662" s="64"/>
      <c r="OR662" s="64"/>
      <c r="OS662" s="64"/>
      <c r="OT662" s="64"/>
      <c r="OU662" s="64"/>
      <c r="OV662" s="64"/>
      <c r="OW662" s="64"/>
      <c r="OX662" s="64"/>
      <c r="OY662" s="64"/>
      <c r="OZ662" s="64"/>
      <c r="PA662" s="64"/>
      <c r="PB662" s="64"/>
      <c r="PC662" s="64"/>
      <c r="PD662" s="64"/>
      <c r="PE662" s="64"/>
      <c r="PF662" s="64"/>
      <c r="PG662" s="64"/>
      <c r="PH662" s="64"/>
      <c r="PI662" s="64"/>
    </row>
    <row r="663" spans="1:425" s="85" customFormat="1">
      <c r="A663" s="70"/>
      <c r="B663" s="70"/>
      <c r="C663" s="70"/>
      <c r="D663" s="266" t="s">
        <v>1150</v>
      </c>
      <c r="E663" s="266"/>
      <c r="F663" s="266"/>
      <c r="G663" s="266"/>
      <c r="H663" s="266"/>
      <c r="I663" s="266"/>
      <c r="J663" s="266"/>
      <c r="K663" s="266"/>
      <c r="L663" s="266"/>
      <c r="M663" s="266"/>
      <c r="N663" s="9" t="s">
        <v>1151</v>
      </c>
      <c r="O663" s="55" t="e">
        <f>VLOOKUP(N663,Casilleros!$A$4:$Q$830,17,FALSE)</f>
        <v>#REF!</v>
      </c>
      <c r="P663" s="67"/>
      <c r="Q663" s="67"/>
      <c r="R663" s="67"/>
      <c r="S663" s="67" t="str">
        <f t="shared" si="127"/>
        <v>805</v>
      </c>
      <c r="T663" s="64" t="str">
        <f t="shared" si="121"/>
        <v>CONCILIACIÓN TRIBUTARIA</v>
      </c>
      <c r="U663" s="64" t="str">
        <f t="shared" si="122"/>
        <v>_</v>
      </c>
      <c r="V663" s="64" t="str">
        <f t="shared" si="116"/>
        <v>DIFERENCIAS PERMANENTES</v>
      </c>
      <c r="W663" s="64" t="str">
        <f t="shared" si="117"/>
        <v>(-) Otras rentas exentas e ingresos no objeto de Impuesto a la Renta</v>
      </c>
      <c r="X663" s="64" t="str">
        <f t="shared" si="123"/>
        <v/>
      </c>
      <c r="Y663" s="64" t="str">
        <f t="shared" si="124"/>
        <v/>
      </c>
      <c r="Z663" s="64" t="str">
        <f t="shared" si="125"/>
        <v/>
      </c>
      <c r="AA663" s="64" t="str">
        <f t="shared" si="128"/>
        <v>DIFERENCIAS PERMANENTES_(-) Otras rentas exentas e ingresos no objeto de Impuesto a la Renta</v>
      </c>
      <c r="AB663" s="64"/>
      <c r="AC663" s="64"/>
      <c r="AD663" s="64"/>
      <c r="AE663" s="64"/>
      <c r="AF663" s="64"/>
      <c r="AG663" s="64"/>
      <c r="AH663" s="64"/>
      <c r="AI663" s="64"/>
      <c r="AJ663" s="64"/>
      <c r="AK663" s="64"/>
      <c r="AL663" s="64"/>
      <c r="AM663" s="64"/>
      <c r="AN663" s="64"/>
      <c r="AO663" s="64"/>
      <c r="AP663" s="64"/>
      <c r="AQ663" s="64"/>
      <c r="AR663" s="64"/>
      <c r="AS663" s="64"/>
      <c r="AT663" s="64"/>
      <c r="AU663" s="64"/>
      <c r="AV663" s="64"/>
      <c r="AW663" s="64"/>
      <c r="AX663" s="64"/>
      <c r="AY663" s="64"/>
      <c r="AZ663" s="64"/>
      <c r="BA663" s="64"/>
      <c r="BB663" s="64"/>
      <c r="BC663" s="64"/>
      <c r="BD663" s="64"/>
      <c r="BE663" s="64"/>
      <c r="BF663" s="64"/>
      <c r="BG663" s="64"/>
      <c r="BH663" s="64"/>
      <c r="BI663" s="64"/>
      <c r="BJ663" s="64"/>
      <c r="BK663" s="64"/>
      <c r="BL663" s="64"/>
      <c r="BM663" s="64"/>
      <c r="BN663" s="64"/>
      <c r="BO663" s="64"/>
      <c r="BP663" s="64"/>
      <c r="BQ663" s="64"/>
      <c r="BR663" s="64"/>
      <c r="BS663" s="64"/>
      <c r="BT663" s="64"/>
      <c r="BU663" s="64"/>
      <c r="BV663" s="64"/>
      <c r="BW663" s="64"/>
      <c r="BX663" s="64"/>
      <c r="BY663" s="64"/>
      <c r="BZ663" s="64"/>
      <c r="CA663" s="64"/>
      <c r="CB663" s="64"/>
      <c r="CC663" s="64"/>
      <c r="CD663" s="64"/>
      <c r="CE663" s="64"/>
      <c r="CF663" s="64"/>
      <c r="CG663" s="64"/>
      <c r="CH663" s="64"/>
      <c r="CI663" s="64"/>
      <c r="CJ663" s="64"/>
      <c r="CK663" s="64"/>
      <c r="CL663" s="64"/>
      <c r="CM663" s="64"/>
      <c r="CN663" s="64"/>
      <c r="CO663" s="64"/>
      <c r="CP663" s="64"/>
      <c r="CQ663" s="64"/>
      <c r="CR663" s="64"/>
      <c r="CS663" s="64"/>
      <c r="CT663" s="64"/>
      <c r="CU663" s="64"/>
      <c r="CV663" s="64"/>
      <c r="CW663" s="64"/>
      <c r="CX663" s="64"/>
      <c r="CY663" s="64"/>
      <c r="CZ663" s="64"/>
      <c r="DA663" s="64"/>
      <c r="DB663" s="64"/>
      <c r="DC663" s="64"/>
      <c r="DD663" s="64"/>
      <c r="DE663" s="64"/>
      <c r="DF663" s="64"/>
      <c r="DG663" s="64"/>
      <c r="DH663" s="64"/>
      <c r="DI663" s="64"/>
      <c r="DJ663" s="64"/>
      <c r="DK663" s="64"/>
      <c r="DL663" s="64"/>
      <c r="DM663" s="64"/>
      <c r="DN663" s="64"/>
      <c r="DO663" s="64"/>
      <c r="DP663" s="64"/>
      <c r="DQ663" s="64"/>
      <c r="DR663" s="64"/>
      <c r="DS663" s="64"/>
      <c r="DT663" s="64"/>
      <c r="DU663" s="64"/>
      <c r="DV663" s="64"/>
      <c r="DW663" s="64"/>
      <c r="DX663" s="64"/>
      <c r="DY663" s="64"/>
      <c r="DZ663" s="64"/>
      <c r="EA663" s="64"/>
      <c r="EB663" s="64"/>
      <c r="EC663" s="64"/>
      <c r="ED663" s="64"/>
      <c r="EE663" s="64"/>
      <c r="EF663" s="64"/>
      <c r="EG663" s="64"/>
      <c r="EH663" s="64"/>
      <c r="EI663" s="64"/>
      <c r="EJ663" s="64"/>
      <c r="EK663" s="64"/>
      <c r="EL663" s="64"/>
      <c r="EM663" s="64"/>
      <c r="EN663" s="64"/>
      <c r="EO663" s="64"/>
      <c r="EP663" s="64"/>
      <c r="EQ663" s="64"/>
      <c r="ER663" s="64"/>
      <c r="ES663" s="64"/>
      <c r="ET663" s="64"/>
      <c r="EU663" s="64"/>
      <c r="EV663" s="64"/>
      <c r="EW663" s="64"/>
      <c r="EX663" s="64"/>
      <c r="EY663" s="64"/>
      <c r="EZ663" s="64"/>
      <c r="FA663" s="64"/>
      <c r="FB663" s="64"/>
      <c r="FC663" s="64"/>
      <c r="FD663" s="64"/>
      <c r="FE663" s="64"/>
      <c r="FF663" s="64"/>
      <c r="FG663" s="64"/>
      <c r="FH663" s="64"/>
      <c r="FI663" s="64"/>
      <c r="FJ663" s="64"/>
      <c r="FK663" s="64"/>
      <c r="FL663" s="64"/>
      <c r="FM663" s="64"/>
      <c r="FN663" s="64"/>
      <c r="FO663" s="64"/>
      <c r="FP663" s="64"/>
      <c r="FQ663" s="64"/>
      <c r="FR663" s="64"/>
      <c r="FS663" s="64"/>
      <c r="FT663" s="64"/>
      <c r="FU663" s="64"/>
      <c r="FV663" s="64"/>
      <c r="FW663" s="64"/>
      <c r="FX663" s="64"/>
      <c r="FY663" s="64"/>
      <c r="FZ663" s="64"/>
      <c r="GA663" s="64"/>
      <c r="GB663" s="64"/>
      <c r="GC663" s="64"/>
      <c r="GD663" s="64"/>
      <c r="GE663" s="64"/>
      <c r="GF663" s="64"/>
      <c r="GG663" s="64"/>
      <c r="GH663" s="64"/>
      <c r="GI663" s="64"/>
      <c r="GJ663" s="64"/>
      <c r="GK663" s="64"/>
      <c r="GL663" s="64"/>
      <c r="GM663" s="64"/>
      <c r="GN663" s="64"/>
      <c r="GO663" s="64"/>
      <c r="GP663" s="64"/>
      <c r="GQ663" s="64"/>
      <c r="GR663" s="64"/>
      <c r="GS663" s="64"/>
      <c r="GT663" s="64"/>
      <c r="GU663" s="64"/>
      <c r="GV663" s="64"/>
      <c r="GW663" s="64"/>
      <c r="GX663" s="64"/>
      <c r="GY663" s="64"/>
      <c r="GZ663" s="64"/>
      <c r="HA663" s="64"/>
      <c r="HB663" s="64"/>
      <c r="HC663" s="64"/>
      <c r="HD663" s="64"/>
      <c r="HE663" s="64"/>
      <c r="HF663" s="64"/>
      <c r="HG663" s="64"/>
      <c r="HH663" s="64"/>
      <c r="HI663" s="64"/>
      <c r="HJ663" s="64"/>
      <c r="HK663" s="64"/>
      <c r="HL663" s="64"/>
      <c r="HM663" s="64"/>
      <c r="HN663" s="64"/>
      <c r="HO663" s="64"/>
      <c r="HP663" s="64"/>
      <c r="HQ663" s="64"/>
      <c r="HR663" s="64"/>
      <c r="HS663" s="64"/>
      <c r="HT663" s="64"/>
      <c r="HU663" s="64"/>
      <c r="HV663" s="64"/>
      <c r="HW663" s="64"/>
      <c r="HX663" s="64"/>
      <c r="HY663" s="64"/>
      <c r="HZ663" s="64"/>
      <c r="IA663" s="64"/>
      <c r="IB663" s="64"/>
      <c r="IC663" s="64"/>
      <c r="ID663" s="64"/>
      <c r="IE663" s="64"/>
      <c r="IF663" s="64"/>
      <c r="IG663" s="64"/>
      <c r="IH663" s="64"/>
      <c r="II663" s="64"/>
      <c r="IJ663" s="64"/>
      <c r="IK663" s="64"/>
      <c r="IL663" s="64"/>
      <c r="IM663" s="64"/>
      <c r="IN663" s="64"/>
      <c r="IO663" s="64"/>
      <c r="IP663" s="64"/>
      <c r="IQ663" s="64"/>
      <c r="IR663" s="64"/>
      <c r="IS663" s="64"/>
      <c r="IT663" s="64"/>
      <c r="IU663" s="64"/>
      <c r="IV663" s="64"/>
      <c r="IW663" s="64"/>
      <c r="IX663" s="64"/>
      <c r="IY663" s="64"/>
      <c r="IZ663" s="64"/>
      <c r="JA663" s="64"/>
      <c r="JB663" s="64"/>
      <c r="JC663" s="64"/>
      <c r="JD663" s="64"/>
      <c r="JE663" s="64"/>
      <c r="JF663" s="64"/>
      <c r="JG663" s="64"/>
      <c r="JH663" s="64"/>
      <c r="JI663" s="64"/>
      <c r="JJ663" s="64"/>
      <c r="JK663" s="64"/>
      <c r="JL663" s="64"/>
      <c r="JM663" s="64"/>
      <c r="JN663" s="64"/>
      <c r="JO663" s="64"/>
      <c r="JP663" s="64"/>
      <c r="JQ663" s="64"/>
      <c r="JR663" s="64"/>
      <c r="JS663" s="64"/>
      <c r="JT663" s="64"/>
      <c r="JU663" s="64"/>
      <c r="JV663" s="64"/>
      <c r="JW663" s="64"/>
      <c r="JX663" s="64"/>
      <c r="JY663" s="64"/>
      <c r="JZ663" s="64"/>
      <c r="KA663" s="64"/>
      <c r="KB663" s="64"/>
      <c r="KC663" s="64"/>
      <c r="KD663" s="64"/>
      <c r="KE663" s="64"/>
      <c r="KF663" s="64"/>
      <c r="KG663" s="64"/>
      <c r="KH663" s="64"/>
      <c r="KI663" s="64"/>
      <c r="KJ663" s="64"/>
      <c r="KK663" s="64"/>
      <c r="KL663" s="64"/>
      <c r="KM663" s="64"/>
      <c r="KN663" s="64"/>
      <c r="KO663" s="64"/>
      <c r="KP663" s="64"/>
      <c r="KQ663" s="64"/>
      <c r="KR663" s="64"/>
      <c r="KS663" s="64"/>
      <c r="KT663" s="64"/>
      <c r="KU663" s="64"/>
      <c r="KV663" s="64"/>
      <c r="KW663" s="64"/>
      <c r="KX663" s="64"/>
      <c r="KY663" s="64"/>
      <c r="KZ663" s="64"/>
      <c r="LA663" s="64"/>
      <c r="LB663" s="64"/>
      <c r="LC663" s="64"/>
      <c r="LD663" s="64"/>
      <c r="LE663" s="64"/>
      <c r="LF663" s="64"/>
      <c r="LG663" s="64"/>
      <c r="LH663" s="64"/>
      <c r="LI663" s="64"/>
      <c r="LJ663" s="64"/>
      <c r="LK663" s="64"/>
      <c r="LL663" s="64"/>
      <c r="LM663" s="64"/>
      <c r="LN663" s="64"/>
      <c r="LO663" s="64"/>
      <c r="LP663" s="64"/>
      <c r="LQ663" s="64"/>
      <c r="LR663" s="64"/>
      <c r="LS663" s="64"/>
      <c r="LT663" s="64"/>
      <c r="LU663" s="64"/>
      <c r="LV663" s="64"/>
      <c r="LW663" s="64"/>
      <c r="LX663" s="64"/>
      <c r="LY663" s="64"/>
      <c r="LZ663" s="64"/>
      <c r="MA663" s="64"/>
      <c r="MB663" s="64"/>
      <c r="MC663" s="64"/>
      <c r="MD663" s="64"/>
      <c r="ME663" s="64"/>
      <c r="MF663" s="64"/>
      <c r="MG663" s="64"/>
      <c r="MH663" s="64"/>
      <c r="MI663" s="64"/>
      <c r="MJ663" s="64"/>
      <c r="MK663" s="64"/>
      <c r="ML663" s="64"/>
      <c r="MM663" s="64"/>
      <c r="MN663" s="64"/>
      <c r="MO663" s="64"/>
      <c r="MP663" s="64"/>
      <c r="MQ663" s="64"/>
      <c r="MR663" s="64"/>
      <c r="MS663" s="64"/>
      <c r="MT663" s="64"/>
      <c r="MU663" s="64"/>
      <c r="MV663" s="64"/>
      <c r="MW663" s="64"/>
      <c r="MX663" s="64"/>
      <c r="MY663" s="64"/>
      <c r="MZ663" s="64"/>
      <c r="NA663" s="64"/>
      <c r="NB663" s="64"/>
      <c r="NC663" s="64"/>
      <c r="ND663" s="64"/>
      <c r="NE663" s="64"/>
      <c r="NF663" s="64"/>
      <c r="NG663" s="64"/>
      <c r="NH663" s="64"/>
      <c r="NI663" s="64"/>
      <c r="NJ663" s="64"/>
      <c r="NK663" s="64"/>
      <c r="NL663" s="64"/>
      <c r="NM663" s="64"/>
      <c r="NN663" s="64"/>
      <c r="NO663" s="64"/>
      <c r="NP663" s="64"/>
      <c r="NQ663" s="64"/>
      <c r="NR663" s="64"/>
      <c r="NS663" s="64"/>
      <c r="NT663" s="64"/>
      <c r="NU663" s="64"/>
      <c r="NV663" s="64"/>
      <c r="NW663" s="64"/>
      <c r="NX663" s="64"/>
      <c r="NY663" s="64"/>
      <c r="NZ663" s="64"/>
      <c r="OA663" s="64"/>
      <c r="OB663" s="64"/>
      <c r="OC663" s="64"/>
      <c r="OD663" s="64"/>
      <c r="OE663" s="64"/>
      <c r="OF663" s="64"/>
      <c r="OG663" s="64"/>
      <c r="OH663" s="64"/>
      <c r="OI663" s="64"/>
      <c r="OJ663" s="64"/>
      <c r="OK663" s="64"/>
      <c r="OL663" s="64"/>
      <c r="OM663" s="64"/>
      <c r="ON663" s="64"/>
      <c r="OO663" s="64"/>
      <c r="OP663" s="64"/>
      <c r="OQ663" s="64"/>
      <c r="OR663" s="64"/>
      <c r="OS663" s="64"/>
      <c r="OT663" s="64"/>
      <c r="OU663" s="64"/>
      <c r="OV663" s="64"/>
      <c r="OW663" s="64"/>
      <c r="OX663" s="64"/>
      <c r="OY663" s="64"/>
      <c r="OZ663" s="64"/>
      <c r="PA663" s="64"/>
      <c r="PB663" s="64"/>
      <c r="PC663" s="64"/>
      <c r="PD663" s="64"/>
      <c r="PE663" s="64"/>
      <c r="PF663" s="64"/>
      <c r="PG663" s="64"/>
      <c r="PH663" s="64"/>
      <c r="PI663" s="64"/>
    </row>
    <row r="664" spans="1:425">
      <c r="A664" s="86"/>
      <c r="B664" s="86"/>
      <c r="C664" s="86"/>
      <c r="D664" s="267" t="s">
        <v>1152</v>
      </c>
      <c r="E664" s="267"/>
      <c r="F664" s="267"/>
      <c r="G664" s="267"/>
      <c r="H664" s="267"/>
      <c r="I664" s="267"/>
      <c r="J664" s="267"/>
      <c r="K664" s="267"/>
      <c r="L664" s="267"/>
      <c r="M664" s="267"/>
      <c r="N664" s="9" t="s">
        <v>1153</v>
      </c>
      <c r="O664" s="55" t="e">
        <f>VLOOKUP(N664,Casilleros!$A$4:$Q$830,17,FALSE)</f>
        <v>#REF!</v>
      </c>
      <c r="S664" s="67" t="str">
        <f t="shared" si="127"/>
        <v>806</v>
      </c>
      <c r="T664" s="64" t="str">
        <f t="shared" si="121"/>
        <v>CONCILIACIÓN TRIBUTARIA</v>
      </c>
      <c r="U664" s="64" t="str">
        <f t="shared" si="122"/>
        <v>_</v>
      </c>
      <c r="V664" s="64" t="str">
        <f t="shared" si="116"/>
        <v>DIFERENCIAS PERMANENTES</v>
      </c>
      <c r="W664" s="64" t="str">
        <f t="shared" si="117"/>
        <v>(+) Gastos no deducibles locales</v>
      </c>
      <c r="X664" s="64" t="str">
        <f t="shared" si="123"/>
        <v/>
      </c>
      <c r="Y664" s="64" t="str">
        <f t="shared" si="124"/>
        <v/>
      </c>
      <c r="Z664" s="64" t="str">
        <f t="shared" si="125"/>
        <v/>
      </c>
      <c r="AA664" s="64" t="str">
        <f t="shared" si="128"/>
        <v>DIFERENCIAS PERMANENTES_(+) Gastos no deducibles locales</v>
      </c>
    </row>
    <row r="665" spans="1:425">
      <c r="A665" s="86"/>
      <c r="B665" s="86"/>
      <c r="C665" s="86"/>
      <c r="D665" s="267" t="s">
        <v>1154</v>
      </c>
      <c r="E665" s="267"/>
      <c r="F665" s="267"/>
      <c r="G665" s="267"/>
      <c r="H665" s="267"/>
      <c r="I665" s="267"/>
      <c r="J665" s="267"/>
      <c r="K665" s="267"/>
      <c r="L665" s="267"/>
      <c r="M665" s="267"/>
      <c r="N665" s="9" t="s">
        <v>1155</v>
      </c>
      <c r="O665" s="55" t="e">
        <f>VLOOKUP(N665,Casilleros!$A$4:$Q$830,17,FALSE)</f>
        <v>#REF!</v>
      </c>
      <c r="P665" s="67" t="e">
        <f>SUM(O664:O665)</f>
        <v>#REF!</v>
      </c>
      <c r="Q665" s="67" t="e">
        <f>SUM(O508:O641)</f>
        <v>#REF!</v>
      </c>
      <c r="S665" s="67" t="str">
        <f t="shared" si="127"/>
        <v>807</v>
      </c>
      <c r="T665" s="64" t="str">
        <f t="shared" si="121"/>
        <v>CONCILIACIÓN TRIBUTARIA</v>
      </c>
      <c r="U665" s="64" t="str">
        <f t="shared" si="122"/>
        <v>_</v>
      </c>
      <c r="V665" s="64" t="str">
        <f t="shared" si="116"/>
        <v>DIFERENCIAS PERMANENTES</v>
      </c>
      <c r="W665" s="64" t="str">
        <f t="shared" si="117"/>
        <v>(+) Gastos no deducibles del exterior</v>
      </c>
      <c r="X665" s="64" t="str">
        <f t="shared" si="123"/>
        <v/>
      </c>
      <c r="Y665" s="64" t="str">
        <f t="shared" si="124"/>
        <v/>
      </c>
      <c r="Z665" s="64" t="str">
        <f t="shared" si="125"/>
        <v/>
      </c>
      <c r="AA665" s="64" t="str">
        <f t="shared" si="128"/>
        <v>DIFERENCIAS PERMANENTES_(+) Gastos no deducibles del exterior</v>
      </c>
    </row>
    <row r="666" spans="1:425">
      <c r="A666" s="86"/>
      <c r="B666" s="86"/>
      <c r="C666" s="86"/>
      <c r="D666" s="267" t="s">
        <v>1156</v>
      </c>
      <c r="E666" s="267"/>
      <c r="F666" s="267"/>
      <c r="G666" s="267"/>
      <c r="H666" s="267"/>
      <c r="I666" s="267"/>
      <c r="J666" s="267"/>
      <c r="K666" s="267"/>
      <c r="L666" s="267"/>
      <c r="M666" s="267"/>
      <c r="N666" s="9" t="s">
        <v>1157</v>
      </c>
      <c r="O666" s="55" t="e">
        <f>VLOOKUP(N666,Casilleros!$A$4:$Q$830,17,FALSE)</f>
        <v>#REF!</v>
      </c>
      <c r="P666" s="67" t="e">
        <f>+#REF!</f>
        <v>#REF!</v>
      </c>
      <c r="Q666" s="67" t="e">
        <f>+Q665-P665</f>
        <v>#REF!</v>
      </c>
      <c r="S666" s="67" t="str">
        <f t="shared" si="127"/>
        <v>808</v>
      </c>
      <c r="T666" s="64" t="str">
        <f t="shared" si="121"/>
        <v>CONCILIACIÓN TRIBUTARIA</v>
      </c>
      <c r="U666" s="64" t="str">
        <f t="shared" si="122"/>
        <v>_</v>
      </c>
      <c r="V666" s="64" t="str">
        <f t="shared" si="116"/>
        <v>DIFERENCIAS PERMANENTES</v>
      </c>
      <c r="W666" s="64" t="str">
        <f t="shared" si="117"/>
        <v>(+) Gastos incurridos para generar ingresos exentos y gastos atribuidos a ingresos no objeto de Impuesto a la Renta</v>
      </c>
      <c r="X666" s="64" t="str">
        <f t="shared" si="123"/>
        <v/>
      </c>
      <c r="Y666" s="64" t="str">
        <f t="shared" si="124"/>
        <v/>
      </c>
      <c r="Z666" s="64" t="str">
        <f t="shared" si="125"/>
        <v/>
      </c>
      <c r="AA666" s="64" t="str">
        <f t="shared" si="128"/>
        <v>DIFERENCIAS PERMANENTES_(+) Gastos incurridos para generar ingresos exentos y gastos atribuidos a ingresos no objeto de Impuesto a la Renta</v>
      </c>
    </row>
    <row r="667" spans="1:425">
      <c r="A667" s="53"/>
      <c r="B667" s="53"/>
      <c r="C667" s="53"/>
      <c r="D667" s="268" t="s">
        <v>1158</v>
      </c>
      <c r="E667" s="268"/>
      <c r="F667" s="268"/>
      <c r="G667" s="267"/>
      <c r="H667" s="267"/>
      <c r="I667" s="267"/>
      <c r="J667" s="267"/>
      <c r="K667" s="267"/>
      <c r="L667" s="267"/>
      <c r="M667" s="267"/>
      <c r="N667" s="9" t="s">
        <v>1159</v>
      </c>
      <c r="O667" s="55" t="e">
        <f>VLOOKUP(N667,Casilleros!$A$4:$Q$830,17,FALSE)</f>
        <v>#REF!</v>
      </c>
      <c r="P667" s="67" t="e">
        <f>+P666-P665</f>
        <v>#REF!</v>
      </c>
      <c r="S667" s="67" t="str">
        <f t="shared" si="127"/>
        <v>809</v>
      </c>
      <c r="T667" s="64" t="str">
        <f t="shared" si="121"/>
        <v>CONCILIACIÓN TRIBUTARIA</v>
      </c>
      <c r="U667" s="64" t="str">
        <f t="shared" si="122"/>
        <v>_</v>
      </c>
      <c r="V667" s="64" t="str">
        <f t="shared" si="116"/>
        <v>DIFERENCIAS PERMANENTES</v>
      </c>
      <c r="W667" s="64" t="str">
        <f t="shared" si="117"/>
        <v>(+) Participación trabajadores atribuible a ingresos exentos y no objeto de impuesto a la renta -Fórmula {(804*15%) +  [ (805-808)*15% ]}</v>
      </c>
      <c r="X667" s="64" t="str">
        <f t="shared" si="123"/>
        <v/>
      </c>
      <c r="Y667" s="64" t="str">
        <f t="shared" si="124"/>
        <v/>
      </c>
      <c r="Z667" s="64" t="str">
        <f t="shared" si="125"/>
        <v/>
      </c>
      <c r="AA667" s="64" t="str">
        <f t="shared" si="128"/>
        <v>DIFERENCIAS PERMANENTES_(+) Participación trabajadores atribuible a ingresos exentos y no objeto de impuesto a la renta -Fórmula {(804*15%) +  [ (805-808)*15% ]}</v>
      </c>
    </row>
    <row r="668" spans="1:425" s="85" customFormat="1">
      <c r="A668" s="70"/>
      <c r="B668" s="70"/>
      <c r="C668" s="70"/>
      <c r="D668" s="266" t="s">
        <v>30</v>
      </c>
      <c r="E668" s="266"/>
      <c r="F668" s="266"/>
      <c r="G668" s="266"/>
      <c r="H668" s="266"/>
      <c r="I668" s="266"/>
      <c r="J668" s="266"/>
      <c r="K668" s="266"/>
      <c r="L668" s="266"/>
      <c r="M668" s="266"/>
      <c r="N668" s="9" t="s">
        <v>1160</v>
      </c>
      <c r="O668" s="55" t="e">
        <f>-VLOOKUP(N668,Casilleros!$A$4:$Q$830,17,FALSE)</f>
        <v>#REF!</v>
      </c>
      <c r="P668" s="67"/>
      <c r="Q668" s="67"/>
      <c r="R668" s="67"/>
      <c r="S668" s="67" t="str">
        <f t="shared" si="127"/>
        <v>810</v>
      </c>
      <c r="T668" s="64" t="str">
        <f t="shared" si="121"/>
        <v>CONCILIACIÓN TRIBUTARIA</v>
      </c>
      <c r="U668" s="64" t="str">
        <f t="shared" si="122"/>
        <v>_</v>
      </c>
      <c r="V668" s="64" t="str">
        <f t="shared" ref="V668:V731" si="129">IF(U667&lt;&gt;U668,"",(IF(C668&lt;&gt;"",C668,V667)))</f>
        <v>DIFERENCIAS PERMANENTES</v>
      </c>
      <c r="W668" s="64" t="str">
        <f t="shared" ref="W668:W731" si="130">IF(V667&lt;&gt;V668,"",(IF(D668&lt;&gt;"",D668,W667)))</f>
        <v>(-) Deducciones adicionales</v>
      </c>
      <c r="X668" s="64" t="str">
        <f t="shared" si="123"/>
        <v/>
      </c>
      <c r="Y668" s="64" t="str">
        <f t="shared" si="124"/>
        <v/>
      </c>
      <c r="Z668" s="64" t="str">
        <f t="shared" si="125"/>
        <v/>
      </c>
      <c r="AA668" s="64" t="str">
        <f t="shared" si="128"/>
        <v>DIFERENCIAS PERMANENTES_(-) Deducciones adicionales</v>
      </c>
      <c r="AB668" s="64"/>
      <c r="AC668" s="64"/>
      <c r="AD668" s="64"/>
      <c r="AE668" s="64"/>
      <c r="AF668" s="64"/>
      <c r="AG668" s="64"/>
      <c r="AH668" s="64"/>
      <c r="AI668" s="64"/>
      <c r="AJ668" s="64"/>
      <c r="AK668" s="64"/>
      <c r="AL668" s="64"/>
      <c r="AM668" s="64"/>
      <c r="AN668" s="64"/>
      <c r="AO668" s="64"/>
      <c r="AP668" s="64"/>
      <c r="AQ668" s="64"/>
      <c r="AR668" s="64"/>
      <c r="AS668" s="64"/>
      <c r="AT668" s="64"/>
      <c r="AU668" s="64"/>
      <c r="AV668" s="64"/>
      <c r="AW668" s="64"/>
      <c r="AX668" s="64"/>
      <c r="AY668" s="64"/>
      <c r="AZ668" s="64"/>
      <c r="BA668" s="64"/>
      <c r="BB668" s="64"/>
      <c r="BC668" s="64"/>
      <c r="BD668" s="64"/>
      <c r="BE668" s="64"/>
      <c r="BF668" s="64"/>
      <c r="BG668" s="64"/>
      <c r="BH668" s="64"/>
      <c r="BI668" s="64"/>
      <c r="BJ668" s="64"/>
      <c r="BK668" s="64"/>
      <c r="BL668" s="64"/>
      <c r="BM668" s="64"/>
      <c r="BN668" s="64"/>
      <c r="BO668" s="64"/>
      <c r="BP668" s="64"/>
      <c r="BQ668" s="64"/>
      <c r="BR668" s="64"/>
      <c r="BS668" s="64"/>
      <c r="BT668" s="64"/>
      <c r="BU668" s="64"/>
      <c r="BV668" s="64"/>
      <c r="BW668" s="64"/>
      <c r="BX668" s="64"/>
      <c r="BY668" s="64"/>
      <c r="BZ668" s="64"/>
      <c r="CA668" s="64"/>
      <c r="CB668" s="64"/>
      <c r="CC668" s="64"/>
      <c r="CD668" s="64"/>
      <c r="CE668" s="64"/>
      <c r="CF668" s="64"/>
      <c r="CG668" s="64"/>
      <c r="CH668" s="64"/>
      <c r="CI668" s="64"/>
      <c r="CJ668" s="64"/>
      <c r="CK668" s="64"/>
      <c r="CL668" s="64"/>
      <c r="CM668" s="64"/>
      <c r="CN668" s="64"/>
      <c r="CO668" s="64"/>
      <c r="CP668" s="64"/>
      <c r="CQ668" s="64"/>
      <c r="CR668" s="64"/>
      <c r="CS668" s="64"/>
      <c r="CT668" s="64"/>
      <c r="CU668" s="64"/>
      <c r="CV668" s="64"/>
      <c r="CW668" s="64"/>
      <c r="CX668" s="64"/>
      <c r="CY668" s="64"/>
      <c r="CZ668" s="64"/>
      <c r="DA668" s="64"/>
      <c r="DB668" s="64"/>
      <c r="DC668" s="64"/>
      <c r="DD668" s="64"/>
      <c r="DE668" s="64"/>
      <c r="DF668" s="64"/>
      <c r="DG668" s="64"/>
      <c r="DH668" s="64"/>
      <c r="DI668" s="64"/>
      <c r="DJ668" s="64"/>
      <c r="DK668" s="64"/>
      <c r="DL668" s="64"/>
      <c r="DM668" s="64"/>
      <c r="DN668" s="64"/>
      <c r="DO668" s="64"/>
      <c r="DP668" s="64"/>
      <c r="DQ668" s="64"/>
      <c r="DR668" s="64"/>
      <c r="DS668" s="64"/>
      <c r="DT668" s="64"/>
      <c r="DU668" s="64"/>
      <c r="DV668" s="64"/>
      <c r="DW668" s="64"/>
      <c r="DX668" s="64"/>
      <c r="DY668" s="64"/>
      <c r="DZ668" s="64"/>
      <c r="EA668" s="64"/>
      <c r="EB668" s="64"/>
      <c r="EC668" s="64"/>
      <c r="ED668" s="64"/>
      <c r="EE668" s="64"/>
      <c r="EF668" s="64"/>
      <c r="EG668" s="64"/>
      <c r="EH668" s="64"/>
      <c r="EI668" s="64"/>
      <c r="EJ668" s="64"/>
      <c r="EK668" s="64"/>
      <c r="EL668" s="64"/>
      <c r="EM668" s="64"/>
      <c r="EN668" s="64"/>
      <c r="EO668" s="64"/>
      <c r="EP668" s="64"/>
      <c r="EQ668" s="64"/>
      <c r="ER668" s="64"/>
      <c r="ES668" s="64"/>
      <c r="ET668" s="64"/>
      <c r="EU668" s="64"/>
      <c r="EV668" s="64"/>
      <c r="EW668" s="64"/>
      <c r="EX668" s="64"/>
      <c r="EY668" s="64"/>
      <c r="EZ668" s="64"/>
      <c r="FA668" s="64"/>
      <c r="FB668" s="64"/>
      <c r="FC668" s="64"/>
      <c r="FD668" s="64"/>
      <c r="FE668" s="64"/>
      <c r="FF668" s="64"/>
      <c r="FG668" s="64"/>
      <c r="FH668" s="64"/>
      <c r="FI668" s="64"/>
      <c r="FJ668" s="64"/>
      <c r="FK668" s="64"/>
      <c r="FL668" s="64"/>
      <c r="FM668" s="64"/>
      <c r="FN668" s="64"/>
      <c r="FO668" s="64"/>
      <c r="FP668" s="64"/>
      <c r="FQ668" s="64"/>
      <c r="FR668" s="64"/>
      <c r="FS668" s="64"/>
      <c r="FT668" s="64"/>
      <c r="FU668" s="64"/>
      <c r="FV668" s="64"/>
      <c r="FW668" s="64"/>
      <c r="FX668" s="64"/>
      <c r="FY668" s="64"/>
      <c r="FZ668" s="64"/>
      <c r="GA668" s="64"/>
      <c r="GB668" s="64"/>
      <c r="GC668" s="64"/>
      <c r="GD668" s="64"/>
      <c r="GE668" s="64"/>
      <c r="GF668" s="64"/>
      <c r="GG668" s="64"/>
      <c r="GH668" s="64"/>
      <c r="GI668" s="64"/>
      <c r="GJ668" s="64"/>
      <c r="GK668" s="64"/>
      <c r="GL668" s="64"/>
      <c r="GM668" s="64"/>
      <c r="GN668" s="64"/>
      <c r="GO668" s="64"/>
      <c r="GP668" s="64"/>
      <c r="GQ668" s="64"/>
      <c r="GR668" s="64"/>
      <c r="GS668" s="64"/>
      <c r="GT668" s="64"/>
      <c r="GU668" s="64"/>
      <c r="GV668" s="64"/>
      <c r="GW668" s="64"/>
      <c r="GX668" s="64"/>
      <c r="GY668" s="64"/>
      <c r="GZ668" s="64"/>
      <c r="HA668" s="64"/>
      <c r="HB668" s="64"/>
      <c r="HC668" s="64"/>
      <c r="HD668" s="64"/>
      <c r="HE668" s="64"/>
      <c r="HF668" s="64"/>
      <c r="HG668" s="64"/>
      <c r="HH668" s="64"/>
      <c r="HI668" s="64"/>
      <c r="HJ668" s="64"/>
      <c r="HK668" s="64"/>
      <c r="HL668" s="64"/>
      <c r="HM668" s="64"/>
      <c r="HN668" s="64"/>
      <c r="HO668" s="64"/>
      <c r="HP668" s="64"/>
      <c r="HQ668" s="64"/>
      <c r="HR668" s="64"/>
      <c r="HS668" s="64"/>
      <c r="HT668" s="64"/>
      <c r="HU668" s="64"/>
      <c r="HV668" s="64"/>
      <c r="HW668" s="64"/>
      <c r="HX668" s="64"/>
      <c r="HY668" s="64"/>
      <c r="HZ668" s="64"/>
      <c r="IA668" s="64"/>
      <c r="IB668" s="64"/>
      <c r="IC668" s="64"/>
      <c r="ID668" s="64"/>
      <c r="IE668" s="64"/>
      <c r="IF668" s="64"/>
      <c r="IG668" s="64"/>
      <c r="IH668" s="64"/>
      <c r="II668" s="64"/>
      <c r="IJ668" s="64"/>
      <c r="IK668" s="64"/>
      <c r="IL668" s="64"/>
      <c r="IM668" s="64"/>
      <c r="IN668" s="64"/>
      <c r="IO668" s="64"/>
      <c r="IP668" s="64"/>
      <c r="IQ668" s="64"/>
      <c r="IR668" s="64"/>
      <c r="IS668" s="64"/>
      <c r="IT668" s="64"/>
      <c r="IU668" s="64"/>
      <c r="IV668" s="64"/>
      <c r="IW668" s="64"/>
      <c r="IX668" s="64"/>
      <c r="IY668" s="64"/>
      <c r="IZ668" s="64"/>
      <c r="JA668" s="64"/>
      <c r="JB668" s="64"/>
      <c r="JC668" s="64"/>
      <c r="JD668" s="64"/>
      <c r="JE668" s="64"/>
      <c r="JF668" s="64"/>
      <c r="JG668" s="64"/>
      <c r="JH668" s="64"/>
      <c r="JI668" s="64"/>
      <c r="JJ668" s="64"/>
      <c r="JK668" s="64"/>
      <c r="JL668" s="64"/>
      <c r="JM668" s="64"/>
      <c r="JN668" s="64"/>
      <c r="JO668" s="64"/>
      <c r="JP668" s="64"/>
      <c r="JQ668" s="64"/>
      <c r="JR668" s="64"/>
      <c r="JS668" s="64"/>
      <c r="JT668" s="64"/>
      <c r="JU668" s="64"/>
      <c r="JV668" s="64"/>
      <c r="JW668" s="64"/>
      <c r="JX668" s="64"/>
      <c r="JY668" s="64"/>
      <c r="JZ668" s="64"/>
      <c r="KA668" s="64"/>
      <c r="KB668" s="64"/>
      <c r="KC668" s="64"/>
      <c r="KD668" s="64"/>
      <c r="KE668" s="64"/>
      <c r="KF668" s="64"/>
      <c r="KG668" s="64"/>
      <c r="KH668" s="64"/>
      <c r="KI668" s="64"/>
      <c r="KJ668" s="64"/>
      <c r="KK668" s="64"/>
      <c r="KL668" s="64"/>
      <c r="KM668" s="64"/>
      <c r="KN668" s="64"/>
      <c r="KO668" s="64"/>
      <c r="KP668" s="64"/>
      <c r="KQ668" s="64"/>
      <c r="KR668" s="64"/>
      <c r="KS668" s="64"/>
      <c r="KT668" s="64"/>
      <c r="KU668" s="64"/>
      <c r="KV668" s="64"/>
      <c r="KW668" s="64"/>
      <c r="KX668" s="64"/>
      <c r="KY668" s="64"/>
      <c r="KZ668" s="64"/>
      <c r="LA668" s="64"/>
      <c r="LB668" s="64"/>
      <c r="LC668" s="64"/>
      <c r="LD668" s="64"/>
      <c r="LE668" s="64"/>
      <c r="LF668" s="64"/>
      <c r="LG668" s="64"/>
      <c r="LH668" s="64"/>
      <c r="LI668" s="64"/>
      <c r="LJ668" s="64"/>
      <c r="LK668" s="64"/>
      <c r="LL668" s="64"/>
      <c r="LM668" s="64"/>
      <c r="LN668" s="64"/>
      <c r="LO668" s="64"/>
      <c r="LP668" s="64"/>
      <c r="LQ668" s="64"/>
      <c r="LR668" s="64"/>
      <c r="LS668" s="64"/>
      <c r="LT668" s="64"/>
      <c r="LU668" s="64"/>
      <c r="LV668" s="64"/>
      <c r="LW668" s="64"/>
      <c r="LX668" s="64"/>
      <c r="LY668" s="64"/>
      <c r="LZ668" s="64"/>
      <c r="MA668" s="64"/>
      <c r="MB668" s="64"/>
      <c r="MC668" s="64"/>
      <c r="MD668" s="64"/>
      <c r="ME668" s="64"/>
      <c r="MF668" s="64"/>
      <c r="MG668" s="64"/>
      <c r="MH668" s="64"/>
      <c r="MI668" s="64"/>
      <c r="MJ668" s="64"/>
      <c r="MK668" s="64"/>
      <c r="ML668" s="64"/>
      <c r="MM668" s="64"/>
      <c r="MN668" s="64"/>
      <c r="MO668" s="64"/>
      <c r="MP668" s="64"/>
      <c r="MQ668" s="64"/>
      <c r="MR668" s="64"/>
      <c r="MS668" s="64"/>
      <c r="MT668" s="64"/>
      <c r="MU668" s="64"/>
      <c r="MV668" s="64"/>
      <c r="MW668" s="64"/>
      <c r="MX668" s="64"/>
      <c r="MY668" s="64"/>
      <c r="MZ668" s="64"/>
      <c r="NA668" s="64"/>
      <c r="NB668" s="64"/>
      <c r="NC668" s="64"/>
      <c r="ND668" s="64"/>
      <c r="NE668" s="64"/>
      <c r="NF668" s="64"/>
      <c r="NG668" s="64"/>
      <c r="NH668" s="64"/>
      <c r="NI668" s="64"/>
      <c r="NJ668" s="64"/>
      <c r="NK668" s="64"/>
      <c r="NL668" s="64"/>
      <c r="NM668" s="64"/>
      <c r="NN668" s="64"/>
      <c r="NO668" s="64"/>
      <c r="NP668" s="64"/>
      <c r="NQ668" s="64"/>
      <c r="NR668" s="64"/>
      <c r="NS668" s="64"/>
      <c r="NT668" s="64"/>
      <c r="NU668" s="64"/>
      <c r="NV668" s="64"/>
      <c r="NW668" s="64"/>
      <c r="NX668" s="64"/>
      <c r="NY668" s="64"/>
      <c r="NZ668" s="64"/>
      <c r="OA668" s="64"/>
      <c r="OB668" s="64"/>
      <c r="OC668" s="64"/>
      <c r="OD668" s="64"/>
      <c r="OE668" s="64"/>
      <c r="OF668" s="64"/>
      <c r="OG668" s="64"/>
      <c r="OH668" s="64"/>
      <c r="OI668" s="64"/>
      <c r="OJ668" s="64"/>
      <c r="OK668" s="64"/>
      <c r="OL668" s="64"/>
      <c r="OM668" s="64"/>
      <c r="ON668" s="64"/>
      <c r="OO668" s="64"/>
      <c r="OP668" s="64"/>
      <c r="OQ668" s="64"/>
      <c r="OR668" s="64"/>
      <c r="OS668" s="64"/>
      <c r="OT668" s="64"/>
      <c r="OU668" s="64"/>
      <c r="OV668" s="64"/>
      <c r="OW668" s="64"/>
      <c r="OX668" s="64"/>
      <c r="OY668" s="64"/>
      <c r="OZ668" s="64"/>
      <c r="PA668" s="64"/>
      <c r="PB668" s="64"/>
      <c r="PC668" s="64"/>
      <c r="PD668" s="64"/>
      <c r="PE668" s="64"/>
      <c r="PF668" s="64"/>
      <c r="PG668" s="64"/>
      <c r="PH668" s="64"/>
      <c r="PI668" s="64"/>
    </row>
    <row r="669" spans="1:425">
      <c r="A669" s="53"/>
      <c r="B669" s="53"/>
      <c r="C669" s="53"/>
      <c r="D669" s="242" t="s">
        <v>1161</v>
      </c>
      <c r="E669" s="242"/>
      <c r="F669" s="242"/>
      <c r="G669" s="242"/>
      <c r="H669" s="242"/>
      <c r="I669" s="242"/>
      <c r="J669" s="242"/>
      <c r="K669" s="242"/>
      <c r="L669" s="242"/>
      <c r="M669" s="242"/>
      <c r="N669" s="9" t="s">
        <v>1162</v>
      </c>
      <c r="O669" s="55" t="e">
        <f>VLOOKUP(N669,Casilleros!$A$4:$Q$830,17,FALSE)</f>
        <v>#REF!</v>
      </c>
      <c r="S669" s="67" t="str">
        <f t="shared" si="127"/>
        <v>811</v>
      </c>
      <c r="T669" s="64" t="str">
        <f t="shared" si="121"/>
        <v>CONCILIACIÓN TRIBUTARIA</v>
      </c>
      <c r="U669" s="64" t="str">
        <f t="shared" si="122"/>
        <v>_</v>
      </c>
      <c r="V669" s="64" t="str">
        <f t="shared" si="129"/>
        <v>DIFERENCIAS PERMANENTES</v>
      </c>
      <c r="W669" s="64" t="str">
        <f t="shared" si="130"/>
        <v xml:space="preserve">(+) Ajuste por precios de transferencia </v>
      </c>
      <c r="X669" s="64" t="str">
        <f t="shared" si="123"/>
        <v/>
      </c>
      <c r="Y669" s="64" t="str">
        <f t="shared" si="124"/>
        <v/>
      </c>
      <c r="Z669" s="64" t="str">
        <f t="shared" si="125"/>
        <v/>
      </c>
      <c r="AA669" s="64" t="str">
        <f t="shared" si="128"/>
        <v xml:space="preserve">DIFERENCIAS PERMANENTES_(+) Ajuste por precios de transferencia </v>
      </c>
    </row>
    <row r="670" spans="1:425">
      <c r="A670" s="53"/>
      <c r="B670" s="53"/>
      <c r="C670" s="53"/>
      <c r="D670" s="269" t="s">
        <v>1163</v>
      </c>
      <c r="E670" s="269"/>
      <c r="F670" s="269"/>
      <c r="G670" s="269"/>
      <c r="H670" s="269"/>
      <c r="I670" s="269"/>
      <c r="J670" s="269"/>
      <c r="K670" s="269"/>
      <c r="L670" s="269"/>
      <c r="M670" s="269"/>
      <c r="N670" s="9" t="s">
        <v>1164</v>
      </c>
      <c r="O670" s="201" t="e">
        <f>VLOOKUP(N670,Casilleros!$A$4:$Q$830,17,FALSE)</f>
        <v>#REF!</v>
      </c>
      <c r="S670" s="67" t="str">
        <f t="shared" si="127"/>
        <v>812</v>
      </c>
      <c r="T670" s="64" t="str">
        <f t="shared" si="121"/>
        <v>CONCILIACIÓN TRIBUTARIA</v>
      </c>
      <c r="U670" s="64" t="str">
        <f t="shared" si="122"/>
        <v>_</v>
      </c>
      <c r="V670" s="64" t="str">
        <f t="shared" si="129"/>
        <v>DIFERENCIAS PERMANENTES</v>
      </c>
      <c r="W670" s="64" t="str">
        <f t="shared" si="130"/>
        <v>(-) Ingresos sujetos a Impuesto a la Renta Unico</v>
      </c>
      <c r="X670" s="64" t="str">
        <f t="shared" si="123"/>
        <v/>
      </c>
      <c r="Y670" s="64" t="str">
        <f t="shared" si="124"/>
        <v/>
      </c>
      <c r="Z670" s="64" t="str">
        <f t="shared" si="125"/>
        <v/>
      </c>
      <c r="AA670" s="64" t="str">
        <f t="shared" si="128"/>
        <v>DIFERENCIAS PERMANENTES_(-) Ingresos sujetos a Impuesto a la Renta Unico</v>
      </c>
    </row>
    <row r="671" spans="1:425">
      <c r="A671" s="53"/>
      <c r="B671" s="53"/>
      <c r="C671" s="53"/>
      <c r="D671" s="269" t="s">
        <v>1165</v>
      </c>
      <c r="E671" s="269"/>
      <c r="F671" s="269"/>
      <c r="G671" s="269"/>
      <c r="H671" s="269"/>
      <c r="I671" s="269"/>
      <c r="J671" s="269"/>
      <c r="K671" s="269"/>
      <c r="L671" s="269"/>
      <c r="M671" s="269"/>
      <c r="N671" s="9" t="s">
        <v>1166</v>
      </c>
      <c r="O671" s="201" t="e">
        <f>VLOOKUP(N671,Casilleros!$A$4:$Q$830,17,FALSE)</f>
        <v>#REF!</v>
      </c>
      <c r="S671" s="67" t="str">
        <f t="shared" si="127"/>
        <v>813</v>
      </c>
      <c r="T671" s="64" t="str">
        <f t="shared" si="121"/>
        <v>CONCILIACIÓN TRIBUTARIA</v>
      </c>
      <c r="U671" s="64" t="str">
        <f t="shared" si="122"/>
        <v>_</v>
      </c>
      <c r="V671" s="64" t="str">
        <f t="shared" si="129"/>
        <v>DIFERENCIAS PERMANENTES</v>
      </c>
      <c r="W671" s="64" t="str">
        <f t="shared" si="130"/>
        <v>(+) Costos y gastos deducibles incurridos para generar ingresos sujetos a impuesto a la renta único</v>
      </c>
      <c r="X671" s="64" t="str">
        <f t="shared" si="123"/>
        <v/>
      </c>
      <c r="Y671" s="64" t="str">
        <f t="shared" si="124"/>
        <v/>
      </c>
      <c r="Z671" s="64" t="str">
        <f t="shared" si="125"/>
        <v/>
      </c>
      <c r="AA671" s="64" t="str">
        <f t="shared" si="128"/>
        <v>DIFERENCIAS PERMANENTES_(+) Costos y gastos deducibles incurridos para generar ingresos sujetos a impuesto a la renta único</v>
      </c>
    </row>
    <row r="672" spans="1:425">
      <c r="A672" s="53"/>
      <c r="B672" s="53"/>
      <c r="C672" s="236" t="s">
        <v>1167</v>
      </c>
      <c r="D672" s="236"/>
      <c r="E672" s="236"/>
      <c r="F672" s="236"/>
      <c r="G672" s="236"/>
      <c r="H672" s="236"/>
      <c r="I672" s="236"/>
      <c r="J672" s="236"/>
      <c r="K672" s="236"/>
      <c r="L672" s="246" t="s">
        <v>1137</v>
      </c>
      <c r="M672" s="246"/>
      <c r="N672" s="246" t="s">
        <v>1138</v>
      </c>
      <c r="O672" s="246"/>
      <c r="S672" s="67" t="str">
        <f t="shared" si="127"/>
        <v>Reversión</v>
      </c>
      <c r="T672" s="64" t="str">
        <f t="shared" si="121"/>
        <v>CONCILIACIÓN TRIBUTARIA</v>
      </c>
      <c r="U672" s="64" t="str">
        <f t="shared" si="122"/>
        <v>_</v>
      </c>
      <c r="V672" s="64" t="str">
        <f t="shared" si="129"/>
        <v>GENERACIÓN / REVERSIÓN DE DIFERENCIAS TEMPORARIAS (IMPUESTOS DIFERIDOS)</v>
      </c>
      <c r="W672" s="64" t="str">
        <f t="shared" si="130"/>
        <v/>
      </c>
      <c r="X672" s="64" t="str">
        <f t="shared" si="123"/>
        <v/>
      </c>
      <c r="Y672" s="64" t="str">
        <f t="shared" si="124"/>
        <v/>
      </c>
      <c r="Z672" s="64" t="str">
        <f t="shared" si="125"/>
        <v/>
      </c>
      <c r="AA672" s="64" t="str">
        <f t="shared" ref="AA672:AA684" si="131">IF(X672&lt;&gt;"",CONCATENATE(W672,"_",X672,"_",Y672,"_",Z672,"_Generación"),CONCATENATE(V672, "_",W672,"_Generación"))</f>
        <v>GENERACIÓN / REVERSIÓN DE DIFERENCIAS TEMPORARIAS (IMPUESTOS DIFERIDOS)__Generación</v>
      </c>
    </row>
    <row r="673" spans="1:425">
      <c r="A673" s="53"/>
      <c r="B673" s="53"/>
      <c r="C673" s="53"/>
      <c r="D673" s="242" t="s">
        <v>1168</v>
      </c>
      <c r="E673" s="242"/>
      <c r="F673" s="242"/>
      <c r="G673" s="242"/>
      <c r="H673" s="242"/>
      <c r="I673" s="242"/>
      <c r="J673" s="242"/>
      <c r="K673" s="242"/>
      <c r="L673" s="9" t="s">
        <v>1169</v>
      </c>
      <c r="M673" s="55" t="e">
        <f>VLOOKUP(L673,Casilleros!$A$4:$Q$830,17,FALSE)</f>
        <v>#REF!</v>
      </c>
      <c r="N673" s="9" t="s">
        <v>1170</v>
      </c>
      <c r="O673" s="55" t="e">
        <f>VLOOKUP(N673,Casilleros!$A$4:$Q$830,17,FALSE)</f>
        <v>#REF!</v>
      </c>
      <c r="S673" s="67" t="str">
        <f>L673</f>
        <v>814</v>
      </c>
      <c r="T673" s="64" t="str">
        <f t="shared" si="121"/>
        <v>CONCILIACIÓN TRIBUTARIA</v>
      </c>
      <c r="U673" s="64" t="str">
        <f t="shared" si="122"/>
        <v>_</v>
      </c>
      <c r="V673" s="64" t="str">
        <f t="shared" si="129"/>
        <v>GENERACIÓN / REVERSIÓN DE DIFERENCIAS TEMPORARIAS (IMPUESTOS DIFERIDOS)</v>
      </c>
      <c r="W673" s="64" t="str">
        <f t="shared" si="130"/>
        <v>Por valor neto realizable de inventarios</v>
      </c>
      <c r="X673" s="64" t="str">
        <f t="shared" si="123"/>
        <v/>
      </c>
      <c r="Y673" s="64" t="str">
        <f t="shared" si="124"/>
        <v/>
      </c>
      <c r="Z673" s="64" t="str">
        <f t="shared" si="125"/>
        <v/>
      </c>
      <c r="AA673" s="64" t="str">
        <f t="shared" si="131"/>
        <v>GENERACIÓN / REVERSIÓN DE DIFERENCIAS TEMPORARIAS (IMPUESTOS DIFERIDOS)_Por valor neto realizable de inventarios_Generación</v>
      </c>
      <c r="AC673" s="76" t="s">
        <v>1170</v>
      </c>
      <c r="AD673" s="76" t="s">
        <v>28</v>
      </c>
      <c r="AE673" s="76" t="s">
        <v>1369</v>
      </c>
      <c r="AF673" s="76" t="s">
        <v>1167</v>
      </c>
      <c r="AG673" s="76" t="s">
        <v>1168</v>
      </c>
      <c r="AH673" s="76" t="s">
        <v>444</v>
      </c>
      <c r="AI673" s="76" t="s">
        <v>444</v>
      </c>
      <c r="AJ673" s="76" t="s">
        <v>444</v>
      </c>
      <c r="AK673" s="76" t="s">
        <v>1472</v>
      </c>
      <c r="AL673" s="76"/>
      <c r="AM673" s="76"/>
      <c r="AN673" s="76"/>
      <c r="AO673" s="76"/>
    </row>
    <row r="674" spans="1:425">
      <c r="A674" s="53"/>
      <c r="B674" s="53"/>
      <c r="C674" s="53"/>
      <c r="D674" s="242" t="s">
        <v>1171</v>
      </c>
      <c r="E674" s="242"/>
      <c r="F674" s="242"/>
      <c r="G674" s="242"/>
      <c r="H674" s="242" t="s">
        <v>444</v>
      </c>
      <c r="I674" s="242"/>
      <c r="J674" s="242"/>
      <c r="K674" s="242"/>
      <c r="L674" s="9" t="s">
        <v>1172</v>
      </c>
      <c r="M674" s="55" t="e">
        <f>VLOOKUP(L674,Casilleros!$A$4:$Q$830,17,FALSE)</f>
        <v>#REF!</v>
      </c>
      <c r="N674" s="9" t="s">
        <v>1173</v>
      </c>
      <c r="O674" s="55" t="e">
        <f>VLOOKUP(N674,Casilleros!$A$4:$Q$830,17,FALSE)</f>
        <v>#REF!</v>
      </c>
      <c r="S674" s="67" t="str">
        <f t="shared" ref="S674:S686" si="132">L674</f>
        <v>816</v>
      </c>
      <c r="T674" s="64" t="str">
        <f t="shared" si="121"/>
        <v>CONCILIACIÓN TRIBUTARIA</v>
      </c>
      <c r="U674" s="64" t="str">
        <f t="shared" si="122"/>
        <v>_</v>
      </c>
      <c r="V674" s="64" t="str">
        <f t="shared" si="129"/>
        <v>GENERACIÓN / REVERSIÓN DE DIFERENCIAS TEMPORARIAS (IMPUESTOS DIFERIDOS)</v>
      </c>
      <c r="W674" s="64" t="str">
        <f t="shared" si="130"/>
        <v xml:space="preserve">Por provisiones para desahucio pensiones jubilares patronales </v>
      </c>
      <c r="X674" s="64" t="str">
        <f t="shared" si="123"/>
        <v/>
      </c>
      <c r="Y674" s="64" t="str">
        <f t="shared" si="124"/>
        <v/>
      </c>
      <c r="Z674" s="64" t="str">
        <f t="shared" si="125"/>
        <v/>
      </c>
      <c r="AA674" s="64" t="str">
        <f t="shared" si="131"/>
        <v>GENERACIÓN / REVERSIÓN DE DIFERENCIAS TEMPORARIAS (IMPUESTOS DIFERIDOS)_Por provisiones para desahucio pensiones jubilares patronales _Generación</v>
      </c>
      <c r="AC674" s="76" t="s">
        <v>1173</v>
      </c>
      <c r="AD674" s="76" t="s">
        <v>28</v>
      </c>
      <c r="AE674" s="76" t="s">
        <v>1369</v>
      </c>
      <c r="AF674" s="76" t="s">
        <v>1167</v>
      </c>
      <c r="AG674" s="76" t="s">
        <v>1171</v>
      </c>
      <c r="AH674" s="76" t="s">
        <v>444</v>
      </c>
      <c r="AI674" s="76" t="s">
        <v>444</v>
      </c>
      <c r="AJ674" s="76" t="s">
        <v>444</v>
      </c>
      <c r="AK674" s="76" t="s">
        <v>1473</v>
      </c>
      <c r="AL674" s="76"/>
      <c r="AM674" s="76"/>
      <c r="AN674" s="76"/>
      <c r="AO674" s="76"/>
    </row>
    <row r="675" spans="1:425">
      <c r="A675" s="53"/>
      <c r="B675" s="53"/>
      <c r="C675" s="53"/>
      <c r="D675" s="242" t="s">
        <v>1174</v>
      </c>
      <c r="E675" s="242"/>
      <c r="F675" s="242"/>
      <c r="G675" s="242"/>
      <c r="H675" s="242" t="s">
        <v>444</v>
      </c>
      <c r="I675" s="242"/>
      <c r="J675" s="242"/>
      <c r="K675" s="242"/>
      <c r="L675" s="9" t="s">
        <v>1175</v>
      </c>
      <c r="M675" s="55" t="e">
        <f>VLOOKUP(L675,Casilleros!$A$4:$Q$830,17,FALSE)</f>
        <v>#REF!</v>
      </c>
      <c r="N675" s="9" t="s">
        <v>1176</v>
      </c>
      <c r="O675" s="55" t="e">
        <f>VLOOKUP(N675,Casilleros!$A$4:$Q$830,17,FALSE)</f>
        <v>#REF!</v>
      </c>
      <c r="S675" s="67" t="str">
        <f t="shared" si="132"/>
        <v>818</v>
      </c>
      <c r="T675" s="64" t="str">
        <f t="shared" si="121"/>
        <v>CONCILIACIÓN TRIBUTARIA</v>
      </c>
      <c r="U675" s="64" t="str">
        <f t="shared" si="122"/>
        <v>_</v>
      </c>
      <c r="V675" s="64" t="str">
        <f t="shared" si="129"/>
        <v>GENERACIÓN / REVERSIÓN DE DIFERENCIAS TEMPORARIAS (IMPUESTOS DIFERIDOS)</v>
      </c>
      <c r="W675" s="64" t="str">
        <f t="shared" si="130"/>
        <v>Por costos estimados de desmantelamiento</v>
      </c>
      <c r="X675" s="64" t="str">
        <f t="shared" si="123"/>
        <v/>
      </c>
      <c r="Y675" s="64" t="str">
        <f t="shared" si="124"/>
        <v/>
      </c>
      <c r="Z675" s="64" t="str">
        <f t="shared" si="125"/>
        <v/>
      </c>
      <c r="AA675" s="64" t="str">
        <f t="shared" si="131"/>
        <v>GENERACIÓN / REVERSIÓN DE DIFERENCIAS TEMPORARIAS (IMPUESTOS DIFERIDOS)_Por costos estimados de desmantelamiento_Generación</v>
      </c>
      <c r="AC675" s="76" t="s">
        <v>1176</v>
      </c>
      <c r="AD675" s="76" t="s">
        <v>28</v>
      </c>
      <c r="AE675" s="76" t="s">
        <v>1369</v>
      </c>
      <c r="AF675" s="76" t="s">
        <v>1167</v>
      </c>
      <c r="AG675" s="76" t="s">
        <v>1174</v>
      </c>
      <c r="AH675" s="76" t="s">
        <v>444</v>
      </c>
      <c r="AI675" s="76" t="s">
        <v>444</v>
      </c>
      <c r="AJ675" s="76" t="s">
        <v>444</v>
      </c>
      <c r="AK675" s="76" t="s">
        <v>1474</v>
      </c>
      <c r="AL675" s="76"/>
      <c r="AM675" s="76"/>
      <c r="AN675" s="76"/>
      <c r="AO675" s="76"/>
    </row>
    <row r="676" spans="1:425">
      <c r="A676" s="53"/>
      <c r="B676" s="53"/>
      <c r="C676" s="53"/>
      <c r="D676" s="242" t="s">
        <v>1177</v>
      </c>
      <c r="E676" s="242"/>
      <c r="F676" s="242"/>
      <c r="G676" s="242"/>
      <c r="H676" s="242" t="s">
        <v>444</v>
      </c>
      <c r="I676" s="242"/>
      <c r="J676" s="242"/>
      <c r="K676" s="242"/>
      <c r="L676" s="9" t="s">
        <v>1178</v>
      </c>
      <c r="M676" s="55" t="e">
        <f>VLOOKUP(L676,Casilleros!$A$4:$Q$830,17,FALSE)</f>
        <v>#REF!</v>
      </c>
      <c r="N676" s="9" t="s">
        <v>1179</v>
      </c>
      <c r="O676" s="55" t="e">
        <f>VLOOKUP(N676,Casilleros!$A$4:$Q$830,17,FALSE)</f>
        <v>#REF!</v>
      </c>
      <c r="S676" s="67" t="str">
        <f t="shared" si="132"/>
        <v>820</v>
      </c>
      <c r="T676" s="64" t="str">
        <f t="shared" si="121"/>
        <v>CONCILIACIÓN TRIBUTARIA</v>
      </c>
      <c r="U676" s="64" t="str">
        <f t="shared" si="122"/>
        <v>_</v>
      </c>
      <c r="V676" s="64" t="str">
        <f t="shared" si="129"/>
        <v>GENERACIÓN / REVERSIÓN DE DIFERENCIAS TEMPORARIAS (IMPUESTOS DIFERIDOS)</v>
      </c>
      <c r="W676" s="64" t="str">
        <f t="shared" si="130"/>
        <v>Por deterioros del valor de propiedades, planta y equipo</v>
      </c>
      <c r="X676" s="64" t="str">
        <f t="shared" si="123"/>
        <v/>
      </c>
      <c r="Y676" s="64" t="str">
        <f t="shared" si="124"/>
        <v/>
      </c>
      <c r="Z676" s="64" t="str">
        <f t="shared" si="125"/>
        <v/>
      </c>
      <c r="AA676" s="64" t="str">
        <f t="shared" si="131"/>
        <v>GENERACIÓN / REVERSIÓN DE DIFERENCIAS TEMPORARIAS (IMPUESTOS DIFERIDOS)_Por deterioros del valor de propiedades, planta y equipo_Generación</v>
      </c>
      <c r="AC676" s="76" t="s">
        <v>1179</v>
      </c>
      <c r="AD676" s="76" t="s">
        <v>28</v>
      </c>
      <c r="AE676" s="76" t="s">
        <v>1369</v>
      </c>
      <c r="AF676" s="76" t="s">
        <v>1167</v>
      </c>
      <c r="AG676" s="76" t="s">
        <v>1177</v>
      </c>
      <c r="AH676" s="76" t="s">
        <v>444</v>
      </c>
      <c r="AI676" s="76" t="s">
        <v>444</v>
      </c>
      <c r="AJ676" s="76" t="s">
        <v>444</v>
      </c>
      <c r="AK676" s="76" t="s">
        <v>1475</v>
      </c>
      <c r="AL676" s="76"/>
      <c r="AM676" s="76"/>
      <c r="AN676" s="76"/>
      <c r="AO676" s="76"/>
    </row>
    <row r="677" spans="1:425">
      <c r="A677" s="53"/>
      <c r="B677" s="53"/>
      <c r="C677" s="53"/>
      <c r="D677" s="242" t="s">
        <v>1180</v>
      </c>
      <c r="E677" s="242"/>
      <c r="F677" s="242"/>
      <c r="G677" s="242"/>
      <c r="H677" s="242" t="s">
        <v>444</v>
      </c>
      <c r="I677" s="242"/>
      <c r="J677" s="242"/>
      <c r="K677" s="242"/>
      <c r="L677" s="9" t="s">
        <v>1181</v>
      </c>
      <c r="M677" s="55" t="e">
        <f>VLOOKUP(L677,Casilleros!$A$4:$Q$830,17,FALSE)</f>
        <v>#REF!</v>
      </c>
      <c r="N677" s="9" t="s">
        <v>1182</v>
      </c>
      <c r="O677" s="55" t="e">
        <f>VLOOKUP(N677,Casilleros!$A$4:$Q$830,17,FALSE)</f>
        <v>#REF!</v>
      </c>
      <c r="S677" s="67" t="str">
        <f t="shared" si="132"/>
        <v>822</v>
      </c>
      <c r="T677" s="64" t="str">
        <f t="shared" si="121"/>
        <v>CONCILIACIÓN TRIBUTARIA</v>
      </c>
      <c r="U677" s="64" t="str">
        <f t="shared" si="122"/>
        <v>_</v>
      </c>
      <c r="V677" s="64" t="str">
        <f t="shared" si="129"/>
        <v>GENERACIÓN / REVERSIÓN DE DIFERENCIAS TEMPORARIAS (IMPUESTOS DIFERIDOS)</v>
      </c>
      <c r="W677" s="64" t="str">
        <f t="shared" si="130"/>
        <v>Por provisiones (diferentes de cuentas incobrables, desmantelamiento, desahucio y jubilación patronal)</v>
      </c>
      <c r="X677" s="64" t="str">
        <f t="shared" si="123"/>
        <v/>
      </c>
      <c r="Y677" s="64" t="str">
        <f t="shared" si="124"/>
        <v/>
      </c>
      <c r="Z677" s="64" t="str">
        <f t="shared" si="125"/>
        <v/>
      </c>
      <c r="AA677" s="64" t="str">
        <f t="shared" si="131"/>
        <v>GENERACIÓN / REVERSIÓN DE DIFERENCIAS TEMPORARIAS (IMPUESTOS DIFERIDOS)_Por provisiones (diferentes de cuentas incobrables, desmantelamiento, desahucio y jubilación patronal)_Generación</v>
      </c>
      <c r="AC677" s="76" t="s">
        <v>1182</v>
      </c>
      <c r="AD677" s="76" t="s">
        <v>28</v>
      </c>
      <c r="AE677" s="76" t="s">
        <v>1369</v>
      </c>
      <c r="AF677" s="76" t="s">
        <v>1167</v>
      </c>
      <c r="AG677" s="76" t="s">
        <v>1180</v>
      </c>
      <c r="AH677" s="76" t="s">
        <v>444</v>
      </c>
      <c r="AI677" s="76" t="s">
        <v>444</v>
      </c>
      <c r="AJ677" s="76" t="s">
        <v>444</v>
      </c>
      <c r="AK677" s="76" t="s">
        <v>1476</v>
      </c>
      <c r="AL677" s="76"/>
      <c r="AM677" s="76"/>
      <c r="AN677" s="76"/>
      <c r="AO677" s="76"/>
    </row>
    <row r="678" spans="1:425">
      <c r="A678" s="53"/>
      <c r="B678" s="53"/>
      <c r="C678" s="53"/>
      <c r="D678" s="242" t="s">
        <v>1183</v>
      </c>
      <c r="E678" s="242"/>
      <c r="F678" s="242"/>
      <c r="G678" s="242"/>
      <c r="H678" s="242" t="s">
        <v>444</v>
      </c>
      <c r="I678" s="242"/>
      <c r="J678" s="242"/>
      <c r="K678" s="242"/>
      <c r="L678" s="9" t="s">
        <v>1184</v>
      </c>
      <c r="M678" s="55" t="e">
        <f>VLOOKUP(L678,Casilleros!$A$4:$Q$830,17,FALSE)</f>
        <v>#REF!</v>
      </c>
      <c r="N678" s="9" t="s">
        <v>1185</v>
      </c>
      <c r="O678" s="55" t="e">
        <f>VLOOKUP(N678,Casilleros!$A$4:$Q$830,17,FALSE)</f>
        <v>#REF!</v>
      </c>
      <c r="S678" s="67" t="str">
        <f t="shared" si="132"/>
        <v>824</v>
      </c>
      <c r="T678" s="64" t="str">
        <f t="shared" si="121"/>
        <v>CONCILIACIÓN TRIBUTARIA</v>
      </c>
      <c r="U678" s="64" t="str">
        <f t="shared" si="122"/>
        <v>_</v>
      </c>
      <c r="V678" s="64" t="str">
        <f t="shared" si="129"/>
        <v>GENERACIÓN / REVERSIÓN DE DIFERENCIAS TEMPORARIAS (IMPUESTOS DIFERIDOS)</v>
      </c>
      <c r="W678" s="64" t="str">
        <f t="shared" si="130"/>
        <v>Por contratos de construcción</v>
      </c>
      <c r="X678" s="64" t="str">
        <f t="shared" si="123"/>
        <v/>
      </c>
      <c r="Y678" s="64" t="str">
        <f t="shared" si="124"/>
        <v/>
      </c>
      <c r="Z678" s="64" t="str">
        <f t="shared" si="125"/>
        <v/>
      </c>
      <c r="AA678" s="64" t="str">
        <f t="shared" si="131"/>
        <v>GENERACIÓN / REVERSIÓN DE DIFERENCIAS TEMPORARIAS (IMPUESTOS DIFERIDOS)_Por contratos de construcción_Generación</v>
      </c>
      <c r="AC678" s="76" t="s">
        <v>1185</v>
      </c>
      <c r="AD678" s="76" t="s">
        <v>28</v>
      </c>
      <c r="AE678" s="76" t="s">
        <v>1369</v>
      </c>
      <c r="AF678" s="76" t="s">
        <v>1167</v>
      </c>
      <c r="AG678" s="76" t="s">
        <v>1183</v>
      </c>
      <c r="AH678" s="76" t="s">
        <v>444</v>
      </c>
      <c r="AI678" s="76" t="s">
        <v>444</v>
      </c>
      <c r="AJ678" s="76" t="s">
        <v>444</v>
      </c>
      <c r="AK678" s="76" t="s">
        <v>1477</v>
      </c>
      <c r="AL678" s="76"/>
      <c r="AM678" s="76"/>
      <c r="AN678" s="76"/>
      <c r="AO678" s="76"/>
    </row>
    <row r="679" spans="1:425" s="85" customFormat="1">
      <c r="A679" s="70"/>
      <c r="B679" s="70"/>
      <c r="C679" s="70"/>
      <c r="D679" s="265" t="s">
        <v>1186</v>
      </c>
      <c r="E679" s="265"/>
      <c r="F679" s="265"/>
      <c r="G679" s="265"/>
      <c r="H679" s="265" t="s">
        <v>444</v>
      </c>
      <c r="I679" s="265"/>
      <c r="J679" s="265"/>
      <c r="K679" s="265"/>
      <c r="L679" s="9" t="s">
        <v>1187</v>
      </c>
      <c r="M679" s="55" t="e">
        <f>VLOOKUP(L679,Casilleros!$A$4:$Q$830,17,FALSE)</f>
        <v>#REF!</v>
      </c>
      <c r="N679" s="9" t="s">
        <v>1188</v>
      </c>
      <c r="O679" s="55" t="e">
        <f>VLOOKUP(N679,Casilleros!$A$4:$Q$830,17,FALSE)</f>
        <v>#REF!</v>
      </c>
      <c r="P679" s="67"/>
      <c r="Q679" s="67"/>
      <c r="R679" s="67"/>
      <c r="S679" s="67" t="str">
        <f t="shared" si="132"/>
        <v>826</v>
      </c>
      <c r="T679" s="64" t="str">
        <f t="shared" si="121"/>
        <v>CONCILIACIÓN TRIBUTARIA</v>
      </c>
      <c r="U679" s="64" t="str">
        <f t="shared" si="122"/>
        <v>_</v>
      </c>
      <c r="V679" s="64" t="str">
        <f t="shared" si="129"/>
        <v>GENERACIÓN / REVERSIÓN DE DIFERENCIAS TEMPORARIAS (IMPUESTOS DIFERIDOS)</v>
      </c>
      <c r="W679" s="64" t="str">
        <f t="shared" si="130"/>
        <v>Por mediciones de activos no corrientes mantenidos para la venta</v>
      </c>
      <c r="X679" s="64" t="str">
        <f t="shared" si="123"/>
        <v/>
      </c>
      <c r="Y679" s="64" t="str">
        <f t="shared" si="124"/>
        <v/>
      </c>
      <c r="Z679" s="64" t="str">
        <f t="shared" si="125"/>
        <v/>
      </c>
      <c r="AA679" s="64" t="str">
        <f t="shared" si="131"/>
        <v>GENERACIÓN / REVERSIÓN DE DIFERENCIAS TEMPORARIAS (IMPUESTOS DIFERIDOS)_Por mediciones de activos no corrientes mantenidos para la venta_Generación</v>
      </c>
      <c r="AB679" s="64"/>
      <c r="AC679" s="76" t="s">
        <v>1188</v>
      </c>
      <c r="AD679" s="76" t="s">
        <v>28</v>
      </c>
      <c r="AE679" s="76" t="s">
        <v>1369</v>
      </c>
      <c r="AF679" s="76" t="s">
        <v>1167</v>
      </c>
      <c r="AG679" s="76" t="s">
        <v>1186</v>
      </c>
      <c r="AH679" s="76" t="s">
        <v>444</v>
      </c>
      <c r="AI679" s="76" t="s">
        <v>444</v>
      </c>
      <c r="AJ679" s="76" t="s">
        <v>444</v>
      </c>
      <c r="AK679" s="76" t="s">
        <v>1478</v>
      </c>
      <c r="AL679" s="76"/>
      <c r="AM679" s="76"/>
      <c r="AN679" s="76"/>
      <c r="AO679" s="76"/>
      <c r="AP679" s="64"/>
      <c r="AQ679" s="64"/>
      <c r="AR679" s="64"/>
      <c r="AS679" s="64"/>
      <c r="AT679" s="64"/>
      <c r="AU679" s="64"/>
      <c r="AV679" s="64"/>
      <c r="AW679" s="64"/>
      <c r="AX679" s="64"/>
      <c r="AY679" s="64"/>
      <c r="AZ679" s="64"/>
      <c r="BA679" s="64"/>
      <c r="BB679" s="64"/>
      <c r="BC679" s="64"/>
      <c r="BD679" s="64"/>
      <c r="BE679" s="64"/>
      <c r="BF679" s="64"/>
      <c r="BG679" s="64"/>
      <c r="BH679" s="64"/>
      <c r="BI679" s="64"/>
      <c r="BJ679" s="64"/>
      <c r="BK679" s="64"/>
      <c r="BL679" s="64"/>
      <c r="BM679" s="64"/>
      <c r="BN679" s="64"/>
      <c r="BO679" s="64"/>
      <c r="BP679" s="64"/>
      <c r="BQ679" s="64"/>
      <c r="BR679" s="64"/>
      <c r="BS679" s="64"/>
      <c r="BT679" s="64"/>
      <c r="BU679" s="64"/>
      <c r="BV679" s="64"/>
      <c r="BW679" s="64"/>
      <c r="BX679" s="64"/>
      <c r="BY679" s="64"/>
      <c r="BZ679" s="64"/>
      <c r="CA679" s="64"/>
      <c r="CB679" s="64"/>
      <c r="CC679" s="64"/>
      <c r="CD679" s="64"/>
      <c r="CE679" s="64"/>
      <c r="CF679" s="64"/>
      <c r="CG679" s="64"/>
      <c r="CH679" s="64"/>
      <c r="CI679" s="64"/>
      <c r="CJ679" s="64"/>
      <c r="CK679" s="64"/>
      <c r="CL679" s="64"/>
      <c r="CM679" s="64"/>
      <c r="CN679" s="64"/>
      <c r="CO679" s="64"/>
      <c r="CP679" s="64"/>
      <c r="CQ679" s="64"/>
      <c r="CR679" s="64"/>
      <c r="CS679" s="64"/>
      <c r="CT679" s="64"/>
      <c r="CU679" s="64"/>
      <c r="CV679" s="64"/>
      <c r="CW679" s="64"/>
      <c r="CX679" s="64"/>
      <c r="CY679" s="64"/>
      <c r="CZ679" s="64"/>
      <c r="DA679" s="64"/>
      <c r="DB679" s="64"/>
      <c r="DC679" s="64"/>
      <c r="DD679" s="64"/>
      <c r="DE679" s="64"/>
      <c r="DF679" s="64"/>
      <c r="DG679" s="64"/>
      <c r="DH679" s="64"/>
      <c r="DI679" s="64"/>
      <c r="DJ679" s="64"/>
      <c r="DK679" s="64"/>
      <c r="DL679" s="64"/>
      <c r="DM679" s="64"/>
      <c r="DN679" s="64"/>
      <c r="DO679" s="64"/>
      <c r="DP679" s="64"/>
      <c r="DQ679" s="64"/>
      <c r="DR679" s="64"/>
      <c r="DS679" s="64"/>
      <c r="DT679" s="64"/>
      <c r="DU679" s="64"/>
      <c r="DV679" s="64"/>
      <c r="DW679" s="64"/>
      <c r="DX679" s="64"/>
      <c r="DY679" s="64"/>
      <c r="DZ679" s="64"/>
      <c r="EA679" s="64"/>
      <c r="EB679" s="64"/>
      <c r="EC679" s="64"/>
      <c r="ED679" s="64"/>
      <c r="EE679" s="64"/>
      <c r="EF679" s="64"/>
      <c r="EG679" s="64"/>
      <c r="EH679" s="64"/>
      <c r="EI679" s="64"/>
      <c r="EJ679" s="64"/>
      <c r="EK679" s="64"/>
      <c r="EL679" s="64"/>
      <c r="EM679" s="64"/>
      <c r="EN679" s="64"/>
      <c r="EO679" s="64"/>
      <c r="EP679" s="64"/>
      <c r="EQ679" s="64"/>
      <c r="ER679" s="64"/>
      <c r="ES679" s="64"/>
      <c r="ET679" s="64"/>
      <c r="EU679" s="64"/>
      <c r="EV679" s="64"/>
      <c r="EW679" s="64"/>
      <c r="EX679" s="64"/>
      <c r="EY679" s="64"/>
      <c r="EZ679" s="64"/>
      <c r="FA679" s="64"/>
      <c r="FB679" s="64"/>
      <c r="FC679" s="64"/>
      <c r="FD679" s="64"/>
      <c r="FE679" s="64"/>
      <c r="FF679" s="64"/>
      <c r="FG679" s="64"/>
      <c r="FH679" s="64"/>
      <c r="FI679" s="64"/>
      <c r="FJ679" s="64"/>
      <c r="FK679" s="64"/>
      <c r="FL679" s="64"/>
      <c r="FM679" s="64"/>
      <c r="FN679" s="64"/>
      <c r="FO679" s="64"/>
      <c r="FP679" s="64"/>
      <c r="FQ679" s="64"/>
      <c r="FR679" s="64"/>
      <c r="FS679" s="64"/>
      <c r="FT679" s="64"/>
      <c r="FU679" s="64"/>
      <c r="FV679" s="64"/>
      <c r="FW679" s="64"/>
      <c r="FX679" s="64"/>
      <c r="FY679" s="64"/>
      <c r="FZ679" s="64"/>
      <c r="GA679" s="64"/>
      <c r="GB679" s="64"/>
      <c r="GC679" s="64"/>
      <c r="GD679" s="64"/>
      <c r="GE679" s="64"/>
      <c r="GF679" s="64"/>
      <c r="GG679" s="64"/>
      <c r="GH679" s="64"/>
      <c r="GI679" s="64"/>
      <c r="GJ679" s="64"/>
      <c r="GK679" s="64"/>
      <c r="GL679" s="64"/>
      <c r="GM679" s="64"/>
      <c r="GN679" s="64"/>
      <c r="GO679" s="64"/>
      <c r="GP679" s="64"/>
      <c r="GQ679" s="64"/>
      <c r="GR679" s="64"/>
      <c r="GS679" s="64"/>
      <c r="GT679" s="64"/>
      <c r="GU679" s="64"/>
      <c r="GV679" s="64"/>
      <c r="GW679" s="64"/>
      <c r="GX679" s="64"/>
      <c r="GY679" s="64"/>
      <c r="GZ679" s="64"/>
      <c r="HA679" s="64"/>
      <c r="HB679" s="64"/>
      <c r="HC679" s="64"/>
      <c r="HD679" s="64"/>
      <c r="HE679" s="64"/>
      <c r="HF679" s="64"/>
      <c r="HG679" s="64"/>
      <c r="HH679" s="64"/>
      <c r="HI679" s="64"/>
      <c r="HJ679" s="64"/>
      <c r="HK679" s="64"/>
      <c r="HL679" s="64"/>
      <c r="HM679" s="64"/>
      <c r="HN679" s="64"/>
      <c r="HO679" s="64"/>
      <c r="HP679" s="64"/>
      <c r="HQ679" s="64"/>
      <c r="HR679" s="64"/>
      <c r="HS679" s="64"/>
      <c r="HT679" s="64"/>
      <c r="HU679" s="64"/>
      <c r="HV679" s="64"/>
      <c r="HW679" s="64"/>
      <c r="HX679" s="64"/>
      <c r="HY679" s="64"/>
      <c r="HZ679" s="64"/>
      <c r="IA679" s="64"/>
      <c r="IB679" s="64"/>
      <c r="IC679" s="64"/>
      <c r="ID679" s="64"/>
      <c r="IE679" s="64"/>
      <c r="IF679" s="64"/>
      <c r="IG679" s="64"/>
      <c r="IH679" s="64"/>
      <c r="II679" s="64"/>
      <c r="IJ679" s="64"/>
      <c r="IK679" s="64"/>
      <c r="IL679" s="64"/>
      <c r="IM679" s="64"/>
      <c r="IN679" s="64"/>
      <c r="IO679" s="64"/>
      <c r="IP679" s="64"/>
      <c r="IQ679" s="64"/>
      <c r="IR679" s="64"/>
      <c r="IS679" s="64"/>
      <c r="IT679" s="64"/>
      <c r="IU679" s="64"/>
      <c r="IV679" s="64"/>
      <c r="IW679" s="64"/>
      <c r="IX679" s="64"/>
      <c r="IY679" s="64"/>
      <c r="IZ679" s="64"/>
      <c r="JA679" s="64"/>
      <c r="JB679" s="64"/>
      <c r="JC679" s="64"/>
      <c r="JD679" s="64"/>
      <c r="JE679" s="64"/>
      <c r="JF679" s="64"/>
      <c r="JG679" s="64"/>
      <c r="JH679" s="64"/>
      <c r="JI679" s="64"/>
      <c r="JJ679" s="64"/>
      <c r="JK679" s="64"/>
      <c r="JL679" s="64"/>
      <c r="JM679" s="64"/>
      <c r="JN679" s="64"/>
      <c r="JO679" s="64"/>
      <c r="JP679" s="64"/>
      <c r="JQ679" s="64"/>
      <c r="JR679" s="64"/>
      <c r="JS679" s="64"/>
      <c r="JT679" s="64"/>
      <c r="JU679" s="64"/>
      <c r="JV679" s="64"/>
      <c r="JW679" s="64"/>
      <c r="JX679" s="64"/>
      <c r="JY679" s="64"/>
      <c r="JZ679" s="64"/>
      <c r="KA679" s="64"/>
      <c r="KB679" s="64"/>
      <c r="KC679" s="64"/>
      <c r="KD679" s="64"/>
      <c r="KE679" s="64"/>
      <c r="KF679" s="64"/>
      <c r="KG679" s="64"/>
      <c r="KH679" s="64"/>
      <c r="KI679" s="64"/>
      <c r="KJ679" s="64"/>
      <c r="KK679" s="64"/>
      <c r="KL679" s="64"/>
      <c r="KM679" s="64"/>
      <c r="KN679" s="64"/>
      <c r="KO679" s="64"/>
      <c r="KP679" s="64"/>
      <c r="KQ679" s="64"/>
      <c r="KR679" s="64"/>
      <c r="KS679" s="64"/>
      <c r="KT679" s="64"/>
      <c r="KU679" s="64"/>
      <c r="KV679" s="64"/>
      <c r="KW679" s="64"/>
      <c r="KX679" s="64"/>
      <c r="KY679" s="64"/>
      <c r="KZ679" s="64"/>
      <c r="LA679" s="64"/>
      <c r="LB679" s="64"/>
      <c r="LC679" s="64"/>
      <c r="LD679" s="64"/>
      <c r="LE679" s="64"/>
      <c r="LF679" s="64"/>
      <c r="LG679" s="64"/>
      <c r="LH679" s="64"/>
      <c r="LI679" s="64"/>
      <c r="LJ679" s="64"/>
      <c r="LK679" s="64"/>
      <c r="LL679" s="64"/>
      <c r="LM679" s="64"/>
      <c r="LN679" s="64"/>
      <c r="LO679" s="64"/>
      <c r="LP679" s="64"/>
      <c r="LQ679" s="64"/>
      <c r="LR679" s="64"/>
      <c r="LS679" s="64"/>
      <c r="LT679" s="64"/>
      <c r="LU679" s="64"/>
      <c r="LV679" s="64"/>
      <c r="LW679" s="64"/>
      <c r="LX679" s="64"/>
      <c r="LY679" s="64"/>
      <c r="LZ679" s="64"/>
      <c r="MA679" s="64"/>
      <c r="MB679" s="64"/>
      <c r="MC679" s="64"/>
      <c r="MD679" s="64"/>
      <c r="ME679" s="64"/>
      <c r="MF679" s="64"/>
      <c r="MG679" s="64"/>
      <c r="MH679" s="64"/>
      <c r="MI679" s="64"/>
      <c r="MJ679" s="64"/>
      <c r="MK679" s="64"/>
      <c r="ML679" s="64"/>
      <c r="MM679" s="64"/>
      <c r="MN679" s="64"/>
      <c r="MO679" s="64"/>
      <c r="MP679" s="64"/>
      <c r="MQ679" s="64"/>
      <c r="MR679" s="64"/>
      <c r="MS679" s="64"/>
      <c r="MT679" s="64"/>
      <c r="MU679" s="64"/>
      <c r="MV679" s="64"/>
      <c r="MW679" s="64"/>
      <c r="MX679" s="64"/>
      <c r="MY679" s="64"/>
      <c r="MZ679" s="64"/>
      <c r="NA679" s="64"/>
      <c r="NB679" s="64"/>
      <c r="NC679" s="64"/>
      <c r="ND679" s="64"/>
      <c r="NE679" s="64"/>
      <c r="NF679" s="64"/>
      <c r="NG679" s="64"/>
      <c r="NH679" s="64"/>
      <c r="NI679" s="64"/>
      <c r="NJ679" s="64"/>
      <c r="NK679" s="64"/>
      <c r="NL679" s="64"/>
      <c r="NM679" s="64"/>
      <c r="NN679" s="64"/>
      <c r="NO679" s="64"/>
      <c r="NP679" s="64"/>
      <c r="NQ679" s="64"/>
      <c r="NR679" s="64"/>
      <c r="NS679" s="64"/>
      <c r="NT679" s="64"/>
      <c r="NU679" s="64"/>
      <c r="NV679" s="64"/>
      <c r="NW679" s="64"/>
      <c r="NX679" s="64"/>
      <c r="NY679" s="64"/>
      <c r="NZ679" s="64"/>
      <c r="OA679" s="64"/>
      <c r="OB679" s="64"/>
      <c r="OC679" s="64"/>
      <c r="OD679" s="64"/>
      <c r="OE679" s="64"/>
      <c r="OF679" s="64"/>
      <c r="OG679" s="64"/>
      <c r="OH679" s="64"/>
      <c r="OI679" s="64"/>
      <c r="OJ679" s="64"/>
      <c r="OK679" s="64"/>
      <c r="OL679" s="64"/>
      <c r="OM679" s="64"/>
      <c r="ON679" s="64"/>
      <c r="OO679" s="64"/>
      <c r="OP679" s="64"/>
      <c r="OQ679" s="64"/>
      <c r="OR679" s="64"/>
      <c r="OS679" s="64"/>
      <c r="OT679" s="64"/>
      <c r="OU679" s="64"/>
      <c r="OV679" s="64"/>
      <c r="OW679" s="64"/>
      <c r="OX679" s="64"/>
      <c r="OY679" s="64"/>
      <c r="OZ679" s="64"/>
      <c r="PA679" s="64"/>
      <c r="PB679" s="64"/>
      <c r="PC679" s="64"/>
      <c r="PD679" s="64"/>
      <c r="PE679" s="64"/>
      <c r="PF679" s="64"/>
      <c r="PG679" s="64"/>
      <c r="PH679" s="64"/>
      <c r="PI679" s="64"/>
    </row>
    <row r="680" spans="1:425">
      <c r="A680" s="53"/>
      <c r="B680" s="53"/>
      <c r="C680" s="53"/>
      <c r="D680" s="247" t="s">
        <v>1189</v>
      </c>
      <c r="E680" s="247"/>
      <c r="F680" s="247"/>
      <c r="G680" s="247"/>
      <c r="H680" s="247"/>
      <c r="I680" s="247"/>
      <c r="J680" s="247"/>
      <c r="K680" s="247"/>
      <c r="L680" s="246" t="s">
        <v>1137</v>
      </c>
      <c r="M680" s="246"/>
      <c r="N680" s="246" t="s">
        <v>1138</v>
      </c>
      <c r="O680" s="246"/>
      <c r="S680" s="67" t="str">
        <f t="shared" si="132"/>
        <v>Generación</v>
      </c>
      <c r="T680" s="64" t="str">
        <f t="shared" si="121"/>
        <v>CONCILIACIÓN TRIBUTARIA</v>
      </c>
      <c r="U680" s="64" t="str">
        <f t="shared" si="122"/>
        <v>_</v>
      </c>
      <c r="V680" s="64" t="str">
        <f t="shared" si="129"/>
        <v>GENERACIÓN / REVERSIÓN DE DIFERENCIAS TEMPORARIAS (IMPUESTOS DIFERIDOS)</v>
      </c>
      <c r="W680" s="64" t="str">
        <f t="shared" si="130"/>
        <v>POR MEDICIONES DE ACTIVOS BIOLÓGICOS AL VALOR RAZONABLE MENOS COSTO DE VENTA</v>
      </c>
      <c r="X680" s="64" t="str">
        <f t="shared" si="123"/>
        <v/>
      </c>
      <c r="Y680" s="64" t="str">
        <f t="shared" si="124"/>
        <v/>
      </c>
      <c r="Z680" s="64" t="str">
        <f t="shared" si="125"/>
        <v/>
      </c>
      <c r="AA680" s="64" t="str">
        <f t="shared" si="131"/>
        <v>GENERACIÓN / REVERSIÓN DE DIFERENCIAS TEMPORARIAS (IMPUESTOS DIFERIDOS)_POR MEDICIONES DE ACTIVOS BIOLÓGICOS AL VALOR RAZONABLE MENOS COSTO DE VENTA_Generación</v>
      </c>
      <c r="AC680" s="76" t="s">
        <v>1137</v>
      </c>
      <c r="AD680" s="76" t="s">
        <v>28</v>
      </c>
      <c r="AE680" s="76" t="s">
        <v>1369</v>
      </c>
      <c r="AF680" s="76" t="s">
        <v>1167</v>
      </c>
      <c r="AG680" s="76" t="s">
        <v>1189</v>
      </c>
      <c r="AH680" s="76" t="s">
        <v>444</v>
      </c>
      <c r="AI680" s="76" t="s">
        <v>444</v>
      </c>
      <c r="AJ680" s="76" t="s">
        <v>444</v>
      </c>
      <c r="AK680" s="76" t="s">
        <v>1479</v>
      </c>
      <c r="AL680" s="76"/>
      <c r="AM680" s="76"/>
      <c r="AN680" s="76"/>
      <c r="AO680" s="76"/>
    </row>
    <row r="681" spans="1:425">
      <c r="A681" s="53"/>
      <c r="B681" s="53"/>
      <c r="C681" s="53"/>
      <c r="D681" s="53"/>
      <c r="E681" s="242" t="s">
        <v>1190</v>
      </c>
      <c r="F681" s="242"/>
      <c r="G681" s="242"/>
      <c r="H681" s="242"/>
      <c r="I681" s="242"/>
      <c r="J681" s="242"/>
      <c r="K681" s="242"/>
      <c r="L681" s="9" t="s">
        <v>1191</v>
      </c>
      <c r="M681" s="55" t="e">
        <f>VLOOKUP(L681,Casilleros!$A$4:$Q$830,17,FALSE)</f>
        <v>#REF!</v>
      </c>
      <c r="N681" s="9" t="s">
        <v>1192</v>
      </c>
      <c r="O681" s="55" t="e">
        <f>VLOOKUP(N681,Casilleros!$A$4:$Q$830,17,FALSE)</f>
        <v>#REF!</v>
      </c>
      <c r="S681" s="67" t="str">
        <f t="shared" si="132"/>
        <v>828</v>
      </c>
      <c r="T681" s="64" t="str">
        <f t="shared" si="121"/>
        <v>CONCILIACIÓN TRIBUTARIA</v>
      </c>
      <c r="U681" s="64" t="str">
        <f t="shared" si="122"/>
        <v>_</v>
      </c>
      <c r="V681" s="64" t="str">
        <f t="shared" si="129"/>
        <v>GENERACIÓN / REVERSIÓN DE DIFERENCIAS TEMPORARIAS (IMPUESTOS DIFERIDOS)</v>
      </c>
      <c r="W681" s="64" t="str">
        <f t="shared" si="130"/>
        <v>POR MEDICIONES DE ACTIVOS BIOLÓGICOS AL VALOR RAZONABLE MENOS COSTO DE VENTA</v>
      </c>
      <c r="X681" s="64" t="str">
        <f t="shared" si="123"/>
        <v xml:space="preserve">Ingresos </v>
      </c>
      <c r="Y681" s="64" t="str">
        <f t="shared" si="124"/>
        <v/>
      </c>
      <c r="Z681" s="64" t="str">
        <f t="shared" si="125"/>
        <v/>
      </c>
      <c r="AA681" s="64" t="str">
        <f t="shared" si="131"/>
        <v>POR MEDICIONES DE ACTIVOS BIOLÓGICOS AL VALOR RAZONABLE MENOS COSTO DE VENTA_Ingresos ___Generación</v>
      </c>
      <c r="AC681" s="76" t="s">
        <v>1192</v>
      </c>
      <c r="AD681" s="76" t="s">
        <v>28</v>
      </c>
      <c r="AE681" s="76" t="s">
        <v>1369</v>
      </c>
      <c r="AF681" s="76" t="s">
        <v>1167</v>
      </c>
      <c r="AG681" s="76" t="s">
        <v>1189</v>
      </c>
      <c r="AH681" s="76" t="s">
        <v>1190</v>
      </c>
      <c r="AI681" s="76" t="s">
        <v>444</v>
      </c>
      <c r="AJ681" s="76" t="s">
        <v>444</v>
      </c>
      <c r="AK681" s="76" t="s">
        <v>1480</v>
      </c>
      <c r="AL681" s="76"/>
      <c r="AM681" s="76"/>
      <c r="AN681" s="76"/>
      <c r="AO681" s="76"/>
    </row>
    <row r="682" spans="1:425">
      <c r="A682" s="53"/>
      <c r="B682" s="53"/>
      <c r="C682" s="53"/>
      <c r="D682" s="53"/>
      <c r="E682" s="242" t="s">
        <v>1193</v>
      </c>
      <c r="F682" s="242"/>
      <c r="G682" s="242"/>
      <c r="H682" s="242"/>
      <c r="I682" s="242"/>
      <c r="J682" s="242"/>
      <c r="K682" s="242"/>
      <c r="L682" s="9" t="s">
        <v>1194</v>
      </c>
      <c r="M682" s="55" t="e">
        <f>VLOOKUP(L682,Casilleros!$A$4:$Q$830,17,FALSE)</f>
        <v>#REF!</v>
      </c>
      <c r="N682" s="9" t="s">
        <v>1195</v>
      </c>
      <c r="O682" s="55" t="e">
        <f>VLOOKUP(N682,Casilleros!$A$4:$Q$830,17,FALSE)</f>
        <v>#REF!</v>
      </c>
      <c r="S682" s="67" t="str">
        <f t="shared" si="132"/>
        <v>830</v>
      </c>
      <c r="T682" s="64" t="str">
        <f t="shared" si="121"/>
        <v>CONCILIACIÓN TRIBUTARIA</v>
      </c>
      <c r="U682" s="64" t="str">
        <f t="shared" si="122"/>
        <v>_</v>
      </c>
      <c r="V682" s="64" t="str">
        <f t="shared" si="129"/>
        <v>GENERACIÓN / REVERSIÓN DE DIFERENCIAS TEMPORARIAS (IMPUESTOS DIFERIDOS)</v>
      </c>
      <c r="W682" s="64" t="str">
        <f t="shared" si="130"/>
        <v>POR MEDICIONES DE ACTIVOS BIOLÓGICOS AL VALOR RAZONABLE MENOS COSTO DE VENTA</v>
      </c>
      <c r="X682" s="64" t="str">
        <f t="shared" si="123"/>
        <v xml:space="preserve">Pérdidas, costos y gastos </v>
      </c>
      <c r="Y682" s="64" t="str">
        <f t="shared" si="124"/>
        <v/>
      </c>
      <c r="Z682" s="64" t="str">
        <f t="shared" si="125"/>
        <v/>
      </c>
      <c r="AA682" s="64" t="str">
        <f t="shared" si="131"/>
        <v>POR MEDICIONES DE ACTIVOS BIOLÓGICOS AL VALOR RAZONABLE MENOS COSTO DE VENTA_Pérdidas, costos y gastos ___Generación</v>
      </c>
      <c r="AC682" s="76" t="s">
        <v>1195</v>
      </c>
      <c r="AD682" s="76" t="s">
        <v>28</v>
      </c>
      <c r="AE682" s="76" t="s">
        <v>1369</v>
      </c>
      <c r="AF682" s="76" t="s">
        <v>1167</v>
      </c>
      <c r="AG682" s="76" t="s">
        <v>1189</v>
      </c>
      <c r="AH682" s="76" t="s">
        <v>1193</v>
      </c>
      <c r="AI682" s="76" t="s">
        <v>444</v>
      </c>
      <c r="AJ682" s="76" t="s">
        <v>444</v>
      </c>
      <c r="AK682" s="76" t="s">
        <v>1481</v>
      </c>
      <c r="AL682" s="76"/>
      <c r="AM682" s="76"/>
      <c r="AN682" s="76"/>
      <c r="AO682" s="76"/>
    </row>
    <row r="683" spans="1:425">
      <c r="A683" s="53"/>
      <c r="B683" s="53"/>
      <c r="C683" s="53"/>
      <c r="D683" s="242" t="s">
        <v>1196</v>
      </c>
      <c r="E683" s="242"/>
      <c r="F683" s="242"/>
      <c r="G683" s="242"/>
      <c r="H683" s="242"/>
      <c r="I683" s="242"/>
      <c r="J683" s="242"/>
      <c r="K683" s="242"/>
      <c r="L683" s="254" t="s">
        <v>741</v>
      </c>
      <c r="M683" s="254"/>
      <c r="N683" s="9" t="s">
        <v>1197</v>
      </c>
      <c r="O683" s="87" t="e">
        <f>-#REF!</f>
        <v>#REF!</v>
      </c>
      <c r="S683" s="67" t="str">
        <f t="shared" si="132"/>
        <v>.</v>
      </c>
      <c r="T683" s="64" t="str">
        <f t="shared" si="121"/>
        <v>CONCILIACIÓN TRIBUTARIA</v>
      </c>
      <c r="U683" s="64" t="str">
        <f t="shared" si="122"/>
        <v>_</v>
      </c>
      <c r="V683" s="64" t="str">
        <f t="shared" si="129"/>
        <v>GENERACIÓN / REVERSIÓN DE DIFERENCIAS TEMPORARIAS (IMPUESTOS DIFERIDOS)</v>
      </c>
      <c r="W683" s="64" t="str">
        <f t="shared" si="130"/>
        <v xml:space="preserve">Amortización pérdidas tributarias de años anteriores </v>
      </c>
      <c r="X683" s="64" t="str">
        <f t="shared" si="123"/>
        <v/>
      </c>
      <c r="Y683" s="64" t="str">
        <f t="shared" si="124"/>
        <v/>
      </c>
      <c r="Z683" s="64" t="str">
        <f t="shared" si="125"/>
        <v/>
      </c>
      <c r="AA683" s="64" t="str">
        <f t="shared" si="131"/>
        <v>GENERACIÓN / REVERSIÓN DE DIFERENCIAS TEMPORARIAS (IMPUESTOS DIFERIDOS)_Amortización pérdidas tributarias de años anteriores _Generación</v>
      </c>
      <c r="AC683" s="76" t="s">
        <v>1197</v>
      </c>
      <c r="AD683" s="76" t="s">
        <v>28</v>
      </c>
      <c r="AE683" s="76" t="s">
        <v>1369</v>
      </c>
      <c r="AF683" s="76" t="s">
        <v>1167</v>
      </c>
      <c r="AG683" s="76" t="s">
        <v>1196</v>
      </c>
      <c r="AH683" s="76" t="s">
        <v>444</v>
      </c>
      <c r="AI683" s="76" t="s">
        <v>444</v>
      </c>
      <c r="AJ683" s="76" t="s">
        <v>444</v>
      </c>
      <c r="AK683" s="76" t="s">
        <v>1482</v>
      </c>
      <c r="AL683" s="76"/>
      <c r="AM683" s="76"/>
      <c r="AN683" s="76"/>
      <c r="AO683" s="76"/>
    </row>
    <row r="684" spans="1:425">
      <c r="A684" s="53"/>
      <c r="B684" s="53"/>
      <c r="C684" s="53"/>
      <c r="D684" s="242" t="s">
        <v>1198</v>
      </c>
      <c r="E684" s="242"/>
      <c r="F684" s="242"/>
      <c r="G684" s="242"/>
      <c r="H684" s="242" t="s">
        <v>444</v>
      </c>
      <c r="I684" s="242"/>
      <c r="J684" s="242"/>
      <c r="K684" s="242"/>
      <c r="L684" s="9" t="s">
        <v>1199</v>
      </c>
      <c r="M684" s="55" t="e">
        <f>VLOOKUP(L684,Casilleros!$A$4:$Q$830,17,FALSE)</f>
        <v>#REF!</v>
      </c>
      <c r="N684" s="9" t="s">
        <v>1200</v>
      </c>
      <c r="O684" s="55" t="e">
        <f>VLOOKUP(N684,Casilleros!$A$4:$Q$830,17,FALSE)</f>
        <v>#REF!</v>
      </c>
      <c r="S684" s="67" t="str">
        <f t="shared" si="132"/>
        <v>834</v>
      </c>
      <c r="T684" s="64" t="str">
        <f t="shared" si="121"/>
        <v>CONCILIACIÓN TRIBUTARIA</v>
      </c>
      <c r="U684" s="64" t="str">
        <f t="shared" si="122"/>
        <v>_</v>
      </c>
      <c r="V684" s="64" t="str">
        <f t="shared" si="129"/>
        <v>GENERACIÓN / REVERSIÓN DE DIFERENCIAS TEMPORARIAS (IMPUESTOS DIFERIDOS)</v>
      </c>
      <c r="W684" s="64" t="str">
        <f t="shared" si="130"/>
        <v>Por otras diferencias temporarias</v>
      </c>
      <c r="X684" s="64" t="str">
        <f t="shared" si="123"/>
        <v/>
      </c>
      <c r="Y684" s="64" t="str">
        <f t="shared" si="124"/>
        <v/>
      </c>
      <c r="Z684" s="64" t="str">
        <f t="shared" si="125"/>
        <v/>
      </c>
      <c r="AA684" s="64" t="str">
        <f t="shared" si="131"/>
        <v>GENERACIÓN / REVERSIÓN DE DIFERENCIAS TEMPORARIAS (IMPUESTOS DIFERIDOS)_Por otras diferencias temporarias_Generación</v>
      </c>
      <c r="AC684" s="76" t="s">
        <v>1200</v>
      </c>
      <c r="AD684" s="76" t="s">
        <v>28</v>
      </c>
      <c r="AE684" s="76" t="s">
        <v>1369</v>
      </c>
      <c r="AF684" s="76" t="s">
        <v>1167</v>
      </c>
      <c r="AG684" s="76" t="s">
        <v>1198</v>
      </c>
      <c r="AH684" s="76" t="s">
        <v>444</v>
      </c>
      <c r="AI684" s="76" t="s">
        <v>444</v>
      </c>
      <c r="AJ684" s="76" t="s">
        <v>444</v>
      </c>
      <c r="AK684" s="76" t="s">
        <v>1483</v>
      </c>
      <c r="AL684" s="76"/>
      <c r="AM684" s="76"/>
      <c r="AN684" s="76"/>
      <c r="AO684" s="76"/>
    </row>
    <row r="685" spans="1:425" s="85" customFormat="1">
      <c r="A685" s="70"/>
      <c r="B685" s="265" t="s">
        <v>1201</v>
      </c>
      <c r="C685" s="265"/>
      <c r="D685" s="265"/>
      <c r="E685" s="265"/>
      <c r="F685" s="265"/>
      <c r="G685" s="265"/>
      <c r="H685" s="265"/>
      <c r="I685" s="265"/>
      <c r="J685" s="265"/>
      <c r="K685" s="265"/>
      <c r="L685" s="265"/>
      <c r="M685" s="265"/>
      <c r="N685" s="9" t="s">
        <v>1202</v>
      </c>
      <c r="O685" s="74" t="e">
        <f>IF((-SUM(O654:O655)+SUM(O661:O684)+SUM(M673:M684))&gt;0, -SUM(O654:O655)+SUM(O661:O684)+SUM(M673:M684),0)</f>
        <v>#REF!</v>
      </c>
      <c r="P685" s="67" t="e">
        <f>+#REF!</f>
        <v>#REF!</v>
      </c>
      <c r="Q685" s="67"/>
      <c r="R685" s="67"/>
      <c r="S685" s="67">
        <f t="shared" si="132"/>
        <v>0</v>
      </c>
      <c r="T685" s="64" t="str">
        <f t="shared" si="121"/>
        <v>CONCILIACIÓN TRIBUTARIA</v>
      </c>
      <c r="U685" s="64" t="str">
        <f t="shared" si="122"/>
        <v>Utilidad gravable</v>
      </c>
      <c r="V685" s="64" t="str">
        <f t="shared" si="129"/>
        <v/>
      </c>
      <c r="W685" s="64" t="str">
        <f t="shared" si="130"/>
        <v/>
      </c>
      <c r="X685" s="64" t="str">
        <f t="shared" si="123"/>
        <v/>
      </c>
      <c r="Y685" s="64" t="str">
        <f t="shared" si="124"/>
        <v/>
      </c>
      <c r="Z685" s="64" t="str">
        <f t="shared" si="125"/>
        <v/>
      </c>
      <c r="AA685" s="64" t="str">
        <f t="shared" ref="AA685:AA693" si="133">IF(X685&lt;&gt;"",CONCATENATE(W685,"_",X685,"_",Y685,"_",Z685,""),CONCATENATE(V685, "_",W685,""))</f>
        <v>_</v>
      </c>
      <c r="AB685" s="64"/>
      <c r="AC685" s="76" t="s">
        <v>1202</v>
      </c>
      <c r="AD685" s="76" t="s">
        <v>28</v>
      </c>
      <c r="AE685" s="76" t="s">
        <v>1201</v>
      </c>
      <c r="AF685" s="76" t="s">
        <v>444</v>
      </c>
      <c r="AG685" s="76" t="s">
        <v>444</v>
      </c>
      <c r="AH685" s="76" t="s">
        <v>444</v>
      </c>
      <c r="AI685" s="76" t="s">
        <v>444</v>
      </c>
      <c r="AJ685" s="76" t="s">
        <v>444</v>
      </c>
      <c r="AK685" s="76" t="s">
        <v>1461</v>
      </c>
      <c r="AL685" s="76"/>
      <c r="AM685" s="76"/>
      <c r="AN685" s="76"/>
      <c r="AO685" s="76"/>
      <c r="AP685" s="64"/>
      <c r="AQ685" s="64"/>
      <c r="AR685" s="64"/>
      <c r="AS685" s="64"/>
      <c r="AT685" s="64"/>
      <c r="AU685" s="64"/>
      <c r="AV685" s="64"/>
      <c r="AW685" s="64"/>
      <c r="AX685" s="64"/>
      <c r="AY685" s="64"/>
      <c r="AZ685" s="64"/>
      <c r="BA685" s="64"/>
      <c r="BB685" s="64"/>
      <c r="BC685" s="64"/>
      <c r="BD685" s="64"/>
      <c r="BE685" s="64"/>
      <c r="BF685" s="64"/>
      <c r="BG685" s="64"/>
      <c r="BH685" s="64"/>
      <c r="BI685" s="64"/>
      <c r="BJ685" s="64"/>
      <c r="BK685" s="64"/>
      <c r="BL685" s="64"/>
      <c r="BM685" s="64"/>
      <c r="BN685" s="64"/>
      <c r="BO685" s="64"/>
      <c r="BP685" s="64"/>
      <c r="BQ685" s="64"/>
      <c r="BR685" s="64"/>
      <c r="BS685" s="64"/>
      <c r="BT685" s="64"/>
      <c r="BU685" s="64"/>
      <c r="BV685" s="64"/>
      <c r="BW685" s="64"/>
      <c r="BX685" s="64"/>
      <c r="BY685" s="64"/>
      <c r="BZ685" s="64"/>
      <c r="CA685" s="64"/>
      <c r="CB685" s="64"/>
      <c r="CC685" s="64"/>
      <c r="CD685" s="64"/>
      <c r="CE685" s="64"/>
      <c r="CF685" s="64"/>
      <c r="CG685" s="64"/>
      <c r="CH685" s="64"/>
      <c r="CI685" s="64"/>
      <c r="CJ685" s="64"/>
      <c r="CK685" s="64"/>
      <c r="CL685" s="64"/>
      <c r="CM685" s="64"/>
      <c r="CN685" s="64"/>
      <c r="CO685" s="64"/>
      <c r="CP685" s="64"/>
      <c r="CQ685" s="64"/>
      <c r="CR685" s="64"/>
      <c r="CS685" s="64"/>
      <c r="CT685" s="64"/>
      <c r="CU685" s="64"/>
      <c r="CV685" s="64"/>
      <c r="CW685" s="64"/>
      <c r="CX685" s="64"/>
      <c r="CY685" s="64"/>
      <c r="CZ685" s="64"/>
      <c r="DA685" s="64"/>
      <c r="DB685" s="64"/>
      <c r="DC685" s="64"/>
      <c r="DD685" s="64"/>
      <c r="DE685" s="64"/>
      <c r="DF685" s="64"/>
      <c r="DG685" s="64"/>
      <c r="DH685" s="64"/>
      <c r="DI685" s="64"/>
      <c r="DJ685" s="64"/>
      <c r="DK685" s="64"/>
      <c r="DL685" s="64"/>
      <c r="DM685" s="64"/>
      <c r="DN685" s="64"/>
      <c r="DO685" s="64"/>
      <c r="DP685" s="64"/>
      <c r="DQ685" s="64"/>
      <c r="DR685" s="64"/>
      <c r="DS685" s="64"/>
      <c r="DT685" s="64"/>
      <c r="DU685" s="64"/>
      <c r="DV685" s="64"/>
      <c r="DW685" s="64"/>
      <c r="DX685" s="64"/>
      <c r="DY685" s="64"/>
      <c r="DZ685" s="64"/>
      <c r="EA685" s="64"/>
      <c r="EB685" s="64"/>
      <c r="EC685" s="64"/>
      <c r="ED685" s="64"/>
      <c r="EE685" s="64"/>
      <c r="EF685" s="64"/>
      <c r="EG685" s="64"/>
      <c r="EH685" s="64"/>
      <c r="EI685" s="64"/>
      <c r="EJ685" s="64"/>
      <c r="EK685" s="64"/>
      <c r="EL685" s="64"/>
      <c r="EM685" s="64"/>
      <c r="EN685" s="64"/>
      <c r="EO685" s="64"/>
      <c r="EP685" s="64"/>
      <c r="EQ685" s="64"/>
      <c r="ER685" s="64"/>
      <c r="ES685" s="64"/>
      <c r="ET685" s="64"/>
      <c r="EU685" s="64"/>
      <c r="EV685" s="64"/>
      <c r="EW685" s="64"/>
      <c r="EX685" s="64"/>
      <c r="EY685" s="64"/>
      <c r="EZ685" s="64"/>
      <c r="FA685" s="64"/>
      <c r="FB685" s="64"/>
      <c r="FC685" s="64"/>
      <c r="FD685" s="64"/>
      <c r="FE685" s="64"/>
      <c r="FF685" s="64"/>
      <c r="FG685" s="64"/>
      <c r="FH685" s="64"/>
      <c r="FI685" s="64"/>
      <c r="FJ685" s="64"/>
      <c r="FK685" s="64"/>
      <c r="FL685" s="64"/>
      <c r="FM685" s="64"/>
      <c r="FN685" s="64"/>
      <c r="FO685" s="64"/>
      <c r="FP685" s="64"/>
      <c r="FQ685" s="64"/>
      <c r="FR685" s="64"/>
      <c r="FS685" s="64"/>
      <c r="FT685" s="64"/>
      <c r="FU685" s="64"/>
      <c r="FV685" s="64"/>
      <c r="FW685" s="64"/>
      <c r="FX685" s="64"/>
      <c r="FY685" s="64"/>
      <c r="FZ685" s="64"/>
      <c r="GA685" s="64"/>
      <c r="GB685" s="64"/>
      <c r="GC685" s="64"/>
      <c r="GD685" s="64"/>
      <c r="GE685" s="64"/>
      <c r="GF685" s="64"/>
      <c r="GG685" s="64"/>
      <c r="GH685" s="64"/>
      <c r="GI685" s="64"/>
      <c r="GJ685" s="64"/>
      <c r="GK685" s="64"/>
      <c r="GL685" s="64"/>
      <c r="GM685" s="64"/>
      <c r="GN685" s="64"/>
      <c r="GO685" s="64"/>
      <c r="GP685" s="64"/>
      <c r="GQ685" s="64"/>
      <c r="GR685" s="64"/>
      <c r="GS685" s="64"/>
      <c r="GT685" s="64"/>
      <c r="GU685" s="64"/>
      <c r="GV685" s="64"/>
      <c r="GW685" s="64"/>
      <c r="GX685" s="64"/>
      <c r="GY685" s="64"/>
      <c r="GZ685" s="64"/>
      <c r="HA685" s="64"/>
      <c r="HB685" s="64"/>
      <c r="HC685" s="64"/>
      <c r="HD685" s="64"/>
      <c r="HE685" s="64"/>
      <c r="HF685" s="64"/>
      <c r="HG685" s="64"/>
      <c r="HH685" s="64"/>
      <c r="HI685" s="64"/>
      <c r="HJ685" s="64"/>
      <c r="HK685" s="64"/>
      <c r="HL685" s="64"/>
      <c r="HM685" s="64"/>
      <c r="HN685" s="64"/>
      <c r="HO685" s="64"/>
      <c r="HP685" s="64"/>
      <c r="HQ685" s="64"/>
      <c r="HR685" s="64"/>
      <c r="HS685" s="64"/>
      <c r="HT685" s="64"/>
      <c r="HU685" s="64"/>
      <c r="HV685" s="64"/>
      <c r="HW685" s="64"/>
      <c r="HX685" s="64"/>
      <c r="HY685" s="64"/>
      <c r="HZ685" s="64"/>
      <c r="IA685" s="64"/>
      <c r="IB685" s="64"/>
      <c r="IC685" s="64"/>
      <c r="ID685" s="64"/>
      <c r="IE685" s="64"/>
      <c r="IF685" s="64"/>
      <c r="IG685" s="64"/>
      <c r="IH685" s="64"/>
      <c r="II685" s="64"/>
      <c r="IJ685" s="64"/>
      <c r="IK685" s="64"/>
      <c r="IL685" s="64"/>
      <c r="IM685" s="64"/>
      <c r="IN685" s="64"/>
      <c r="IO685" s="64"/>
      <c r="IP685" s="64"/>
      <c r="IQ685" s="64"/>
      <c r="IR685" s="64"/>
      <c r="IS685" s="64"/>
      <c r="IT685" s="64"/>
      <c r="IU685" s="64"/>
      <c r="IV685" s="64"/>
      <c r="IW685" s="64"/>
      <c r="IX685" s="64"/>
      <c r="IY685" s="64"/>
      <c r="IZ685" s="64"/>
      <c r="JA685" s="64"/>
      <c r="JB685" s="64"/>
      <c r="JC685" s="64"/>
      <c r="JD685" s="64"/>
      <c r="JE685" s="64"/>
      <c r="JF685" s="64"/>
      <c r="JG685" s="64"/>
      <c r="JH685" s="64"/>
      <c r="JI685" s="64"/>
      <c r="JJ685" s="64"/>
      <c r="JK685" s="64"/>
      <c r="JL685" s="64"/>
      <c r="JM685" s="64"/>
      <c r="JN685" s="64"/>
      <c r="JO685" s="64"/>
      <c r="JP685" s="64"/>
      <c r="JQ685" s="64"/>
      <c r="JR685" s="64"/>
      <c r="JS685" s="64"/>
      <c r="JT685" s="64"/>
      <c r="JU685" s="64"/>
      <c r="JV685" s="64"/>
      <c r="JW685" s="64"/>
      <c r="JX685" s="64"/>
      <c r="JY685" s="64"/>
      <c r="JZ685" s="64"/>
      <c r="KA685" s="64"/>
      <c r="KB685" s="64"/>
      <c r="KC685" s="64"/>
      <c r="KD685" s="64"/>
      <c r="KE685" s="64"/>
      <c r="KF685" s="64"/>
      <c r="KG685" s="64"/>
      <c r="KH685" s="64"/>
      <c r="KI685" s="64"/>
      <c r="KJ685" s="64"/>
      <c r="KK685" s="64"/>
      <c r="KL685" s="64"/>
      <c r="KM685" s="64"/>
      <c r="KN685" s="64"/>
      <c r="KO685" s="64"/>
      <c r="KP685" s="64"/>
      <c r="KQ685" s="64"/>
      <c r="KR685" s="64"/>
      <c r="KS685" s="64"/>
      <c r="KT685" s="64"/>
      <c r="KU685" s="64"/>
      <c r="KV685" s="64"/>
      <c r="KW685" s="64"/>
      <c r="KX685" s="64"/>
      <c r="KY685" s="64"/>
      <c r="KZ685" s="64"/>
      <c r="LA685" s="64"/>
      <c r="LB685" s="64"/>
      <c r="LC685" s="64"/>
      <c r="LD685" s="64"/>
      <c r="LE685" s="64"/>
      <c r="LF685" s="64"/>
      <c r="LG685" s="64"/>
      <c r="LH685" s="64"/>
      <c r="LI685" s="64"/>
      <c r="LJ685" s="64"/>
      <c r="LK685" s="64"/>
      <c r="LL685" s="64"/>
      <c r="LM685" s="64"/>
      <c r="LN685" s="64"/>
      <c r="LO685" s="64"/>
      <c r="LP685" s="64"/>
      <c r="LQ685" s="64"/>
      <c r="LR685" s="64"/>
      <c r="LS685" s="64"/>
      <c r="LT685" s="64"/>
      <c r="LU685" s="64"/>
      <c r="LV685" s="64"/>
      <c r="LW685" s="64"/>
      <c r="LX685" s="64"/>
      <c r="LY685" s="64"/>
      <c r="LZ685" s="64"/>
      <c r="MA685" s="64"/>
      <c r="MB685" s="64"/>
      <c r="MC685" s="64"/>
      <c r="MD685" s="64"/>
      <c r="ME685" s="64"/>
      <c r="MF685" s="64"/>
      <c r="MG685" s="64"/>
      <c r="MH685" s="64"/>
      <c r="MI685" s="64"/>
      <c r="MJ685" s="64"/>
      <c r="MK685" s="64"/>
      <c r="ML685" s="64"/>
      <c r="MM685" s="64"/>
      <c r="MN685" s="64"/>
      <c r="MO685" s="64"/>
      <c r="MP685" s="64"/>
      <c r="MQ685" s="64"/>
      <c r="MR685" s="64"/>
      <c r="MS685" s="64"/>
      <c r="MT685" s="64"/>
      <c r="MU685" s="64"/>
      <c r="MV685" s="64"/>
      <c r="MW685" s="64"/>
      <c r="MX685" s="64"/>
      <c r="MY685" s="64"/>
      <c r="MZ685" s="64"/>
      <c r="NA685" s="64"/>
      <c r="NB685" s="64"/>
      <c r="NC685" s="64"/>
      <c r="ND685" s="64"/>
      <c r="NE685" s="64"/>
      <c r="NF685" s="64"/>
      <c r="NG685" s="64"/>
      <c r="NH685" s="64"/>
      <c r="NI685" s="64"/>
      <c r="NJ685" s="64"/>
      <c r="NK685" s="64"/>
      <c r="NL685" s="64"/>
      <c r="NM685" s="64"/>
      <c r="NN685" s="64"/>
      <c r="NO685" s="64"/>
      <c r="NP685" s="64"/>
      <c r="NQ685" s="64"/>
      <c r="NR685" s="64"/>
      <c r="NS685" s="64"/>
      <c r="NT685" s="64"/>
      <c r="NU685" s="64"/>
      <c r="NV685" s="64"/>
      <c r="NW685" s="64"/>
      <c r="NX685" s="64"/>
      <c r="NY685" s="64"/>
      <c r="NZ685" s="64"/>
      <c r="OA685" s="64"/>
      <c r="OB685" s="64"/>
      <c r="OC685" s="64"/>
      <c r="OD685" s="64"/>
      <c r="OE685" s="64"/>
      <c r="OF685" s="64"/>
      <c r="OG685" s="64"/>
      <c r="OH685" s="64"/>
      <c r="OI685" s="64"/>
      <c r="OJ685" s="64"/>
      <c r="OK685" s="64"/>
      <c r="OL685" s="64"/>
      <c r="OM685" s="64"/>
      <c r="ON685" s="64"/>
      <c r="OO685" s="64"/>
      <c r="OP685" s="64"/>
      <c r="OQ685" s="64"/>
      <c r="OR685" s="64"/>
      <c r="OS685" s="64"/>
      <c r="OT685" s="64"/>
      <c r="OU685" s="64"/>
      <c r="OV685" s="64"/>
      <c r="OW685" s="64"/>
      <c r="OX685" s="64"/>
      <c r="OY685" s="64"/>
      <c r="OZ685" s="64"/>
      <c r="PA685" s="64"/>
      <c r="PB685" s="64"/>
      <c r="PC685" s="64"/>
      <c r="PD685" s="64"/>
      <c r="PE685" s="64"/>
      <c r="PF685" s="64"/>
      <c r="PG685" s="64"/>
      <c r="PH685" s="64"/>
      <c r="PI685" s="64"/>
    </row>
    <row r="686" spans="1:425" s="85" customFormat="1">
      <c r="A686" s="70"/>
      <c r="B686" s="265" t="s">
        <v>1203</v>
      </c>
      <c r="C686" s="265"/>
      <c r="D686" s="265"/>
      <c r="E686" s="265"/>
      <c r="F686" s="265"/>
      <c r="G686" s="265"/>
      <c r="H686" s="265"/>
      <c r="I686" s="265"/>
      <c r="J686" s="265"/>
      <c r="K686" s="265"/>
      <c r="L686" s="265"/>
      <c r="M686" s="265"/>
      <c r="N686" s="9" t="s">
        <v>1204</v>
      </c>
      <c r="O686" s="74" t="e">
        <f>IF((-SUM(O654:O655)+SUM(O661:O684)+SUM(M673:M684))&lt;0, -SUM(O654:O655)+SUM(O661:O684)+SUM(M673:M684),0)</f>
        <v>#REF!</v>
      </c>
      <c r="P686" s="67" t="e">
        <f>+O685-P685</f>
        <v>#REF!</v>
      </c>
      <c r="Q686" s="67"/>
      <c r="R686" s="67"/>
      <c r="S686" s="67">
        <f t="shared" si="132"/>
        <v>0</v>
      </c>
      <c r="T686" s="64" t="str">
        <f t="shared" si="121"/>
        <v>CONCILIACIÓN TRIBUTARIA</v>
      </c>
      <c r="U686" s="64" t="str">
        <f t="shared" si="122"/>
        <v>Pérdida sujeta a amortización en períodos siguientes</v>
      </c>
      <c r="V686" s="64" t="str">
        <f t="shared" si="129"/>
        <v/>
      </c>
      <c r="W686" s="64" t="str">
        <f t="shared" si="130"/>
        <v/>
      </c>
      <c r="X686" s="64" t="str">
        <f t="shared" si="123"/>
        <v/>
      </c>
      <c r="Y686" s="64" t="str">
        <f t="shared" si="124"/>
        <v/>
      </c>
      <c r="Z686" s="64" t="str">
        <f t="shared" si="125"/>
        <v/>
      </c>
      <c r="AA686" s="64" t="str">
        <f t="shared" si="133"/>
        <v>_</v>
      </c>
      <c r="AB686" s="64"/>
      <c r="AC686" s="76" t="s">
        <v>1204</v>
      </c>
      <c r="AD686" s="76" t="s">
        <v>28</v>
      </c>
      <c r="AE686" s="76" t="s">
        <v>1203</v>
      </c>
      <c r="AF686" s="76" t="s">
        <v>444</v>
      </c>
      <c r="AG686" s="76" t="s">
        <v>444</v>
      </c>
      <c r="AH686" s="76" t="s">
        <v>444</v>
      </c>
      <c r="AI686" s="76" t="s">
        <v>444</v>
      </c>
      <c r="AJ686" s="76" t="s">
        <v>444</v>
      </c>
      <c r="AK686" s="76" t="s">
        <v>1461</v>
      </c>
      <c r="AL686" s="76"/>
      <c r="AM686" s="76"/>
      <c r="AN686" s="76"/>
      <c r="AO686" s="76"/>
      <c r="AP686" s="64"/>
      <c r="AQ686" s="64"/>
      <c r="AR686" s="64"/>
      <c r="AS686" s="64"/>
      <c r="AT686" s="64"/>
      <c r="AU686" s="64"/>
      <c r="AV686" s="64"/>
      <c r="AW686" s="64"/>
      <c r="AX686" s="64"/>
      <c r="AY686" s="64"/>
      <c r="AZ686" s="64"/>
      <c r="BA686" s="64"/>
      <c r="BB686" s="64"/>
      <c r="BC686" s="64"/>
      <c r="BD686" s="64"/>
      <c r="BE686" s="64"/>
      <c r="BF686" s="64"/>
      <c r="BG686" s="64"/>
      <c r="BH686" s="64"/>
      <c r="BI686" s="64"/>
      <c r="BJ686" s="64"/>
      <c r="BK686" s="64"/>
      <c r="BL686" s="64"/>
      <c r="BM686" s="64"/>
      <c r="BN686" s="64"/>
      <c r="BO686" s="64"/>
      <c r="BP686" s="64"/>
      <c r="BQ686" s="64"/>
      <c r="BR686" s="64"/>
      <c r="BS686" s="64"/>
      <c r="BT686" s="64"/>
      <c r="BU686" s="64"/>
      <c r="BV686" s="64"/>
      <c r="BW686" s="64"/>
      <c r="BX686" s="64"/>
      <c r="BY686" s="64"/>
      <c r="BZ686" s="64"/>
      <c r="CA686" s="64"/>
      <c r="CB686" s="64"/>
      <c r="CC686" s="64"/>
      <c r="CD686" s="64"/>
      <c r="CE686" s="64"/>
      <c r="CF686" s="64"/>
      <c r="CG686" s="64"/>
      <c r="CH686" s="64"/>
      <c r="CI686" s="64"/>
      <c r="CJ686" s="64"/>
      <c r="CK686" s="64"/>
      <c r="CL686" s="64"/>
      <c r="CM686" s="64"/>
      <c r="CN686" s="64"/>
      <c r="CO686" s="64"/>
      <c r="CP686" s="64"/>
      <c r="CQ686" s="64"/>
      <c r="CR686" s="64"/>
      <c r="CS686" s="64"/>
      <c r="CT686" s="64"/>
      <c r="CU686" s="64"/>
      <c r="CV686" s="64"/>
      <c r="CW686" s="64"/>
      <c r="CX686" s="64"/>
      <c r="CY686" s="64"/>
      <c r="CZ686" s="64"/>
      <c r="DA686" s="64"/>
      <c r="DB686" s="64"/>
      <c r="DC686" s="64"/>
      <c r="DD686" s="64"/>
      <c r="DE686" s="64"/>
      <c r="DF686" s="64"/>
      <c r="DG686" s="64"/>
      <c r="DH686" s="64"/>
      <c r="DI686" s="64"/>
      <c r="DJ686" s="64"/>
      <c r="DK686" s="64"/>
      <c r="DL686" s="64"/>
      <c r="DM686" s="64"/>
      <c r="DN686" s="64"/>
      <c r="DO686" s="64"/>
      <c r="DP686" s="64"/>
      <c r="DQ686" s="64"/>
      <c r="DR686" s="64"/>
      <c r="DS686" s="64"/>
      <c r="DT686" s="64"/>
      <c r="DU686" s="64"/>
      <c r="DV686" s="64"/>
      <c r="DW686" s="64"/>
      <c r="DX686" s="64"/>
      <c r="DY686" s="64"/>
      <c r="DZ686" s="64"/>
      <c r="EA686" s="64"/>
      <c r="EB686" s="64"/>
      <c r="EC686" s="64"/>
      <c r="ED686" s="64"/>
      <c r="EE686" s="64"/>
      <c r="EF686" s="64"/>
      <c r="EG686" s="64"/>
      <c r="EH686" s="64"/>
      <c r="EI686" s="64"/>
      <c r="EJ686" s="64"/>
      <c r="EK686" s="64"/>
      <c r="EL686" s="64"/>
      <c r="EM686" s="64"/>
      <c r="EN686" s="64"/>
      <c r="EO686" s="64"/>
      <c r="EP686" s="64"/>
      <c r="EQ686" s="64"/>
      <c r="ER686" s="64"/>
      <c r="ES686" s="64"/>
      <c r="ET686" s="64"/>
      <c r="EU686" s="64"/>
      <c r="EV686" s="64"/>
      <c r="EW686" s="64"/>
      <c r="EX686" s="64"/>
      <c r="EY686" s="64"/>
      <c r="EZ686" s="64"/>
      <c r="FA686" s="64"/>
      <c r="FB686" s="64"/>
      <c r="FC686" s="64"/>
      <c r="FD686" s="64"/>
      <c r="FE686" s="64"/>
      <c r="FF686" s="64"/>
      <c r="FG686" s="64"/>
      <c r="FH686" s="64"/>
      <c r="FI686" s="64"/>
      <c r="FJ686" s="64"/>
      <c r="FK686" s="64"/>
      <c r="FL686" s="64"/>
      <c r="FM686" s="64"/>
      <c r="FN686" s="64"/>
      <c r="FO686" s="64"/>
      <c r="FP686" s="64"/>
      <c r="FQ686" s="64"/>
      <c r="FR686" s="64"/>
      <c r="FS686" s="64"/>
      <c r="FT686" s="64"/>
      <c r="FU686" s="64"/>
      <c r="FV686" s="64"/>
      <c r="FW686" s="64"/>
      <c r="FX686" s="64"/>
      <c r="FY686" s="64"/>
      <c r="FZ686" s="64"/>
      <c r="GA686" s="64"/>
      <c r="GB686" s="64"/>
      <c r="GC686" s="64"/>
      <c r="GD686" s="64"/>
      <c r="GE686" s="64"/>
      <c r="GF686" s="64"/>
      <c r="GG686" s="64"/>
      <c r="GH686" s="64"/>
      <c r="GI686" s="64"/>
      <c r="GJ686" s="64"/>
      <c r="GK686" s="64"/>
      <c r="GL686" s="64"/>
      <c r="GM686" s="64"/>
      <c r="GN686" s="64"/>
      <c r="GO686" s="64"/>
      <c r="GP686" s="64"/>
      <c r="GQ686" s="64"/>
      <c r="GR686" s="64"/>
      <c r="GS686" s="64"/>
      <c r="GT686" s="64"/>
      <c r="GU686" s="64"/>
      <c r="GV686" s="64"/>
      <c r="GW686" s="64"/>
      <c r="GX686" s="64"/>
      <c r="GY686" s="64"/>
      <c r="GZ686" s="64"/>
      <c r="HA686" s="64"/>
      <c r="HB686" s="64"/>
      <c r="HC686" s="64"/>
      <c r="HD686" s="64"/>
      <c r="HE686" s="64"/>
      <c r="HF686" s="64"/>
      <c r="HG686" s="64"/>
      <c r="HH686" s="64"/>
      <c r="HI686" s="64"/>
      <c r="HJ686" s="64"/>
      <c r="HK686" s="64"/>
      <c r="HL686" s="64"/>
      <c r="HM686" s="64"/>
      <c r="HN686" s="64"/>
      <c r="HO686" s="64"/>
      <c r="HP686" s="64"/>
      <c r="HQ686" s="64"/>
      <c r="HR686" s="64"/>
      <c r="HS686" s="64"/>
      <c r="HT686" s="64"/>
      <c r="HU686" s="64"/>
      <c r="HV686" s="64"/>
      <c r="HW686" s="64"/>
      <c r="HX686" s="64"/>
      <c r="HY686" s="64"/>
      <c r="HZ686" s="64"/>
      <c r="IA686" s="64"/>
      <c r="IB686" s="64"/>
      <c r="IC686" s="64"/>
      <c r="ID686" s="64"/>
      <c r="IE686" s="64"/>
      <c r="IF686" s="64"/>
      <c r="IG686" s="64"/>
      <c r="IH686" s="64"/>
      <c r="II686" s="64"/>
      <c r="IJ686" s="64"/>
      <c r="IK686" s="64"/>
      <c r="IL686" s="64"/>
      <c r="IM686" s="64"/>
      <c r="IN686" s="64"/>
      <c r="IO686" s="64"/>
      <c r="IP686" s="64"/>
      <c r="IQ686" s="64"/>
      <c r="IR686" s="64"/>
      <c r="IS686" s="64"/>
      <c r="IT686" s="64"/>
      <c r="IU686" s="64"/>
      <c r="IV686" s="64"/>
      <c r="IW686" s="64"/>
      <c r="IX686" s="64"/>
      <c r="IY686" s="64"/>
      <c r="IZ686" s="64"/>
      <c r="JA686" s="64"/>
      <c r="JB686" s="64"/>
      <c r="JC686" s="64"/>
      <c r="JD686" s="64"/>
      <c r="JE686" s="64"/>
      <c r="JF686" s="64"/>
      <c r="JG686" s="64"/>
      <c r="JH686" s="64"/>
      <c r="JI686" s="64"/>
      <c r="JJ686" s="64"/>
      <c r="JK686" s="64"/>
      <c r="JL686" s="64"/>
      <c r="JM686" s="64"/>
      <c r="JN686" s="64"/>
      <c r="JO686" s="64"/>
      <c r="JP686" s="64"/>
      <c r="JQ686" s="64"/>
      <c r="JR686" s="64"/>
      <c r="JS686" s="64"/>
      <c r="JT686" s="64"/>
      <c r="JU686" s="64"/>
      <c r="JV686" s="64"/>
      <c r="JW686" s="64"/>
      <c r="JX686" s="64"/>
      <c r="JY686" s="64"/>
      <c r="JZ686" s="64"/>
      <c r="KA686" s="64"/>
      <c r="KB686" s="64"/>
      <c r="KC686" s="64"/>
      <c r="KD686" s="64"/>
      <c r="KE686" s="64"/>
      <c r="KF686" s="64"/>
      <c r="KG686" s="64"/>
      <c r="KH686" s="64"/>
      <c r="KI686" s="64"/>
      <c r="KJ686" s="64"/>
      <c r="KK686" s="64"/>
      <c r="KL686" s="64"/>
      <c r="KM686" s="64"/>
      <c r="KN686" s="64"/>
      <c r="KO686" s="64"/>
      <c r="KP686" s="64"/>
      <c r="KQ686" s="64"/>
      <c r="KR686" s="64"/>
      <c r="KS686" s="64"/>
      <c r="KT686" s="64"/>
      <c r="KU686" s="64"/>
      <c r="KV686" s="64"/>
      <c r="KW686" s="64"/>
      <c r="KX686" s="64"/>
      <c r="KY686" s="64"/>
      <c r="KZ686" s="64"/>
      <c r="LA686" s="64"/>
      <c r="LB686" s="64"/>
      <c r="LC686" s="64"/>
      <c r="LD686" s="64"/>
      <c r="LE686" s="64"/>
      <c r="LF686" s="64"/>
      <c r="LG686" s="64"/>
      <c r="LH686" s="64"/>
      <c r="LI686" s="64"/>
      <c r="LJ686" s="64"/>
      <c r="LK686" s="64"/>
      <c r="LL686" s="64"/>
      <c r="LM686" s="64"/>
      <c r="LN686" s="64"/>
      <c r="LO686" s="64"/>
      <c r="LP686" s="64"/>
      <c r="LQ686" s="64"/>
      <c r="LR686" s="64"/>
      <c r="LS686" s="64"/>
      <c r="LT686" s="64"/>
      <c r="LU686" s="64"/>
      <c r="LV686" s="64"/>
      <c r="LW686" s="64"/>
      <c r="LX686" s="64"/>
      <c r="LY686" s="64"/>
      <c r="LZ686" s="64"/>
      <c r="MA686" s="64"/>
      <c r="MB686" s="64"/>
      <c r="MC686" s="64"/>
      <c r="MD686" s="64"/>
      <c r="ME686" s="64"/>
      <c r="MF686" s="64"/>
      <c r="MG686" s="64"/>
      <c r="MH686" s="64"/>
      <c r="MI686" s="64"/>
      <c r="MJ686" s="64"/>
      <c r="MK686" s="64"/>
      <c r="ML686" s="64"/>
      <c r="MM686" s="64"/>
      <c r="MN686" s="64"/>
      <c r="MO686" s="64"/>
      <c r="MP686" s="64"/>
      <c r="MQ686" s="64"/>
      <c r="MR686" s="64"/>
      <c r="MS686" s="64"/>
      <c r="MT686" s="64"/>
      <c r="MU686" s="64"/>
      <c r="MV686" s="64"/>
      <c r="MW686" s="64"/>
      <c r="MX686" s="64"/>
      <c r="MY686" s="64"/>
      <c r="MZ686" s="64"/>
      <c r="NA686" s="64"/>
      <c r="NB686" s="64"/>
      <c r="NC686" s="64"/>
      <c r="ND686" s="64"/>
      <c r="NE686" s="64"/>
      <c r="NF686" s="64"/>
      <c r="NG686" s="64"/>
      <c r="NH686" s="64"/>
      <c r="NI686" s="64"/>
      <c r="NJ686" s="64"/>
      <c r="NK686" s="64"/>
      <c r="NL686" s="64"/>
      <c r="NM686" s="64"/>
      <c r="NN686" s="64"/>
      <c r="NO686" s="64"/>
      <c r="NP686" s="64"/>
      <c r="NQ686" s="64"/>
      <c r="NR686" s="64"/>
      <c r="NS686" s="64"/>
      <c r="NT686" s="64"/>
      <c r="NU686" s="64"/>
      <c r="NV686" s="64"/>
      <c r="NW686" s="64"/>
      <c r="NX686" s="64"/>
      <c r="NY686" s="64"/>
      <c r="NZ686" s="64"/>
      <c r="OA686" s="64"/>
      <c r="OB686" s="64"/>
      <c r="OC686" s="64"/>
      <c r="OD686" s="64"/>
      <c r="OE686" s="64"/>
      <c r="OF686" s="64"/>
      <c r="OG686" s="64"/>
      <c r="OH686" s="64"/>
      <c r="OI686" s="64"/>
      <c r="OJ686" s="64"/>
      <c r="OK686" s="64"/>
      <c r="OL686" s="64"/>
      <c r="OM686" s="64"/>
      <c r="ON686" s="64"/>
      <c r="OO686" s="64"/>
      <c r="OP686" s="64"/>
      <c r="OQ686" s="64"/>
      <c r="OR686" s="64"/>
      <c r="OS686" s="64"/>
      <c r="OT686" s="64"/>
      <c r="OU686" s="64"/>
      <c r="OV686" s="64"/>
      <c r="OW686" s="64"/>
      <c r="OX686" s="64"/>
      <c r="OY686" s="64"/>
      <c r="OZ686" s="64"/>
      <c r="PA686" s="64"/>
      <c r="PB686" s="64"/>
      <c r="PC686" s="64"/>
      <c r="PD686" s="64"/>
      <c r="PE686" s="64"/>
      <c r="PF686" s="64"/>
      <c r="PG686" s="64"/>
      <c r="PH686" s="64"/>
      <c r="PI686" s="64"/>
    </row>
    <row r="687" spans="1:425">
      <c r="A687" s="53"/>
      <c r="B687" s="84" t="s">
        <v>1369</v>
      </c>
      <c r="C687" s="236" t="s">
        <v>1205</v>
      </c>
      <c r="D687" s="236"/>
      <c r="E687" s="236"/>
      <c r="F687" s="236"/>
      <c r="G687" s="236"/>
      <c r="H687" s="236"/>
      <c r="I687" s="236"/>
      <c r="J687" s="236"/>
      <c r="K687" s="236"/>
      <c r="L687" s="236"/>
      <c r="M687" s="236"/>
      <c r="N687" s="236"/>
      <c r="O687" s="236"/>
      <c r="T687" s="64" t="str">
        <f t="shared" si="121"/>
        <v>CONCILIACIÓN TRIBUTARIA</v>
      </c>
      <c r="U687" s="64" t="str">
        <f t="shared" si="122"/>
        <v>_</v>
      </c>
      <c r="V687" s="69" t="str">
        <f>C687</f>
        <v>INFORMACIÓN RELACIONADA CON EL DEBER DE INFORMAR LA COMPOSICIÒN SOCIETARIA A LA ADMINISTRACIÓN TRIBUTARIA (ANEXO DE ACCIONISTAS - APS)</v>
      </c>
      <c r="W687" s="64" t="str">
        <f t="shared" si="130"/>
        <v/>
      </c>
      <c r="X687" s="64" t="str">
        <f t="shared" si="123"/>
        <v/>
      </c>
      <c r="Y687" s="64" t="str">
        <f t="shared" si="124"/>
        <v/>
      </c>
      <c r="Z687" s="64" t="str">
        <f t="shared" si="125"/>
        <v/>
      </c>
      <c r="AA687" s="64" t="str">
        <f t="shared" si="133"/>
        <v>INFORMACIÓN RELACIONADA CON EL DEBER DE INFORMAR LA COMPOSICIÒN SOCIETARIA A LA ADMINISTRACIÓN TRIBUTARIA (ANEXO DE ACCIONISTAS - APS)_</v>
      </c>
    </row>
    <row r="688" spans="1:425">
      <c r="A688" s="53"/>
      <c r="B688" s="53"/>
      <c r="C688" s="53"/>
      <c r="D688" s="242" t="s">
        <v>1206</v>
      </c>
      <c r="E688" s="242"/>
      <c r="F688" s="242"/>
      <c r="G688" s="242"/>
      <c r="H688" s="242"/>
      <c r="I688" s="242"/>
      <c r="J688" s="242"/>
      <c r="K688" s="242"/>
      <c r="L688" s="242"/>
      <c r="M688" s="242"/>
      <c r="N688" s="9" t="s">
        <v>1207</v>
      </c>
      <c r="O688" s="106">
        <f>VLOOKUP(N688,Casilleros!$A$4:$Q$830,16,FALSE)</f>
        <v>0</v>
      </c>
      <c r="Q688" s="67" t="s">
        <v>17</v>
      </c>
      <c r="S688" s="61" t="str">
        <f>N688</f>
        <v>838</v>
      </c>
      <c r="T688" s="64" t="str">
        <f t="shared" si="121"/>
        <v>CONCILIACIÓN TRIBUTARIA</v>
      </c>
      <c r="U688" s="64" t="str">
        <f t="shared" si="122"/>
        <v>_</v>
      </c>
      <c r="V688" s="64" t="str">
        <f t="shared" si="129"/>
        <v>INFORMACIÓN RELACIONADA CON EL DEBER DE INFORMAR LA COMPOSICIÒN SOCIETARIA A LA ADMINISTRACIÓN TRIBUTARIA (ANEXO DE ACCIONISTAS - APS)</v>
      </c>
      <c r="W688" s="64" t="str">
        <f t="shared" si="130"/>
        <v>¿Cumple el deber de informar sobre la composición societaria dentro de los plazos establecidos?</v>
      </c>
      <c r="X688" s="64" t="str">
        <f t="shared" si="123"/>
        <v/>
      </c>
      <c r="Y688" s="64" t="str">
        <f t="shared" si="124"/>
        <v/>
      </c>
      <c r="Z688" s="64" t="str">
        <f t="shared" si="125"/>
        <v/>
      </c>
      <c r="AA688" s="64" t="str">
        <f t="shared" si="133"/>
        <v>INFORMACIÓN RELACIONADA CON EL DEBER DE INFORMAR LA COMPOSICIÒN SOCIETARIA A LA ADMINISTRACIÓN TRIBUTARIA (ANEXO DE ACCIONISTAS - APS)_¿Cumple el deber de informar sobre la composición societaria dentro de los plazos establecidos?</v>
      </c>
    </row>
    <row r="689" spans="1:425">
      <c r="A689" s="53"/>
      <c r="B689" s="53"/>
      <c r="C689" s="53"/>
      <c r="D689" s="242" t="s">
        <v>1208</v>
      </c>
      <c r="E689" s="242"/>
      <c r="F689" s="242"/>
      <c r="G689" s="242"/>
      <c r="H689" s="242"/>
      <c r="I689" s="242"/>
      <c r="J689" s="242"/>
      <c r="K689" s="242"/>
      <c r="L689" s="242"/>
      <c r="M689" s="242"/>
      <c r="N689" s="9" t="s">
        <v>1209</v>
      </c>
      <c r="O689" s="107">
        <f>VLOOKUP(N689,Casilleros!$A$4:$Q$830,16,FALSE)</f>
        <v>0</v>
      </c>
      <c r="S689" s="61" t="str">
        <f t="shared" ref="S689:S752" si="134">N689</f>
        <v>839</v>
      </c>
      <c r="T689" s="64" t="str">
        <f t="shared" si="121"/>
        <v>CONCILIACIÓN TRIBUTARIA</v>
      </c>
      <c r="U689" s="64" t="str">
        <f t="shared" si="122"/>
        <v>_</v>
      </c>
      <c r="V689" s="64" t="str">
        <f t="shared" si="129"/>
        <v>INFORMACIÓN RELACIONADA CON EL DEBER DE INFORMAR LA COMPOSICIÒN SOCIETARIA A LA ADMINISTRACIÓN TRIBUTARIA (ANEXO DE ACCIONISTAS - APS)</v>
      </c>
      <c r="W689" s="64" t="str">
        <f t="shared" si="130"/>
        <v>Porcentaje de la composición societaria no informada (dentro de los plazos establecidos)</v>
      </c>
      <c r="X689" s="64" t="str">
        <f t="shared" si="123"/>
        <v/>
      </c>
      <c r="Y689" s="64" t="str">
        <f t="shared" si="124"/>
        <v/>
      </c>
      <c r="Z689" s="64" t="str">
        <f t="shared" si="125"/>
        <v/>
      </c>
      <c r="AA689" s="64" t="str">
        <f t="shared" si="133"/>
        <v>INFORMACIÓN RELACIONADA CON EL DEBER DE INFORMAR LA COMPOSICIÒN SOCIETARIA A LA ADMINISTRACIÓN TRIBUTARIA (ANEXO DE ACCIONISTAS - APS)_Porcentaje de la composición societaria no informada (dentro de los plazos establecidos)</v>
      </c>
    </row>
    <row r="690" spans="1:425">
      <c r="A690" s="53"/>
      <c r="B690" s="53"/>
      <c r="C690" s="53"/>
      <c r="D690" s="242" t="s">
        <v>1210</v>
      </c>
      <c r="E690" s="242"/>
      <c r="F690" s="242"/>
      <c r="G690" s="242"/>
      <c r="H690" s="242"/>
      <c r="I690" s="242"/>
      <c r="J690" s="242"/>
      <c r="K690" s="242"/>
      <c r="L690" s="242"/>
      <c r="M690" s="242"/>
      <c r="N690" s="9" t="s">
        <v>1211</v>
      </c>
      <c r="O690" s="107">
        <f>VLOOKUP(N690,Casilleros!$A$4:$Q$830,16,FALSE)</f>
        <v>0</v>
      </c>
      <c r="S690" s="61" t="str">
        <f t="shared" si="134"/>
        <v>840</v>
      </c>
      <c r="T690" s="64" t="str">
        <f t="shared" si="121"/>
        <v>CONCILIACIÓN TRIBUTARIA</v>
      </c>
      <c r="U690" s="64" t="str">
        <f t="shared" si="122"/>
        <v>_</v>
      </c>
      <c r="V690" s="64" t="str">
        <f t="shared" si="129"/>
        <v>INFORMACIÓN RELACIONADA CON EL DEBER DE INFORMAR LA COMPOSICIÒN SOCIETARIA A LA ADMINISTRACIÓN TRIBUTARIA (ANEXO DE ACCIONISTAS - APS)</v>
      </c>
      <c r="W690" s="64" t="str">
        <f t="shared" si="130"/>
        <v>Porcentaje de la composición societaria correspondiente a paraísos fiscales al 31 de diciembre del ejercicio declarado que sí ha sido informada</v>
      </c>
      <c r="X690" s="64" t="str">
        <f t="shared" si="123"/>
        <v/>
      </c>
      <c r="Y690" s="64" t="str">
        <f t="shared" si="124"/>
        <v/>
      </c>
      <c r="Z690" s="64" t="str">
        <f t="shared" si="125"/>
        <v/>
      </c>
      <c r="AA690" s="64" t="str">
        <f t="shared" si="133"/>
        <v>INFORMACIÓN RELACIONADA CON EL DEBER DE INFORMAR LA COMPOSICIÒN SOCIETARIA A LA ADMINISTRACIÓN TRIBUTARIA (ANEXO DE ACCIONISTAS - APS)_Porcentaje de la composición societaria correspondiente a paraísos fiscales al 31 de diciembre del ejercicio declarado que sí ha sido informada</v>
      </c>
    </row>
    <row r="691" spans="1:425">
      <c r="A691" s="53"/>
      <c r="B691" s="53"/>
      <c r="C691" s="236" t="s">
        <v>1212</v>
      </c>
      <c r="D691" s="236"/>
      <c r="E691" s="236"/>
      <c r="F691" s="236"/>
      <c r="G691" s="236"/>
      <c r="H691" s="236"/>
      <c r="I691" s="236"/>
      <c r="J691" s="236"/>
      <c r="K691" s="236"/>
      <c r="L691" s="236"/>
      <c r="M691" s="236"/>
      <c r="N691" s="236"/>
      <c r="O691" s="236"/>
      <c r="S691" s="61">
        <f t="shared" si="134"/>
        <v>0</v>
      </c>
      <c r="T691" s="64" t="str">
        <f t="shared" si="121"/>
        <v>CONCILIACIÓN TRIBUTARIA</v>
      </c>
      <c r="U691" s="64" t="str">
        <f t="shared" si="122"/>
        <v>_</v>
      </c>
      <c r="V691" s="64" t="str">
        <f t="shared" si="129"/>
        <v>INFORMACIÓN RELACIONADA POR RESULTADOS OBTENIDOS DENTRO Y FUERA DE ZEDESs</v>
      </c>
      <c r="W691" s="64" t="str">
        <f t="shared" si="130"/>
        <v/>
      </c>
      <c r="X691" s="64" t="str">
        <f t="shared" si="123"/>
        <v/>
      </c>
      <c r="Y691" s="64" t="str">
        <f t="shared" si="124"/>
        <v/>
      </c>
      <c r="Z691" s="64" t="str">
        <f t="shared" si="125"/>
        <v/>
      </c>
      <c r="AA691" s="64" t="str">
        <f t="shared" si="133"/>
        <v>INFORMACIÓN RELACIONADA POR RESULTADOS OBTENIDOS DENTRO Y FUERA DE ZEDESs_</v>
      </c>
    </row>
    <row r="692" spans="1:425">
      <c r="A692" s="53"/>
      <c r="B692" s="53"/>
      <c r="C692" s="53"/>
      <c r="D692" s="235" t="s">
        <v>1213</v>
      </c>
      <c r="E692" s="235"/>
      <c r="F692" s="235"/>
      <c r="G692" s="235"/>
      <c r="H692" s="235"/>
      <c r="I692" s="235"/>
      <c r="J692" s="235"/>
      <c r="K692" s="235"/>
      <c r="L692" s="235"/>
      <c r="M692" s="235"/>
      <c r="N692" s="9" t="s">
        <v>1214</v>
      </c>
      <c r="O692" s="55"/>
      <c r="Q692" s="67" t="s">
        <v>16</v>
      </c>
      <c r="S692" s="61" t="str">
        <f t="shared" si="134"/>
        <v>841</v>
      </c>
      <c r="T692" s="64" t="str">
        <f t="shared" si="121"/>
        <v>CONCILIACIÓN TRIBUTARIA</v>
      </c>
      <c r="U692" s="64" t="str">
        <f t="shared" si="122"/>
        <v>_</v>
      </c>
      <c r="V692" s="64" t="str">
        <f t="shared" si="129"/>
        <v>INFORMACIÓN RELACIONADA POR RESULTADOS OBTENIDOS DENTRO Y FUERA DE ZEDESs</v>
      </c>
      <c r="W692" s="64" t="str">
        <f t="shared" si="130"/>
        <v xml:space="preserve"> ¿Contribuyente declarante es administrador u operador de ZEDE?</v>
      </c>
      <c r="X692" s="64" t="str">
        <f t="shared" si="123"/>
        <v/>
      </c>
      <c r="Y692" s="64" t="str">
        <f t="shared" si="124"/>
        <v/>
      </c>
      <c r="Z692" s="64" t="str">
        <f t="shared" si="125"/>
        <v/>
      </c>
      <c r="AA692" s="64" t="str">
        <f t="shared" si="133"/>
        <v>INFORMACIÓN RELACIONADA POR RESULTADOS OBTENIDOS DENTRO Y FUERA DE ZEDESs_ ¿Contribuyente declarante es administrador u operador de ZEDE?</v>
      </c>
    </row>
    <row r="693" spans="1:425">
      <c r="A693" s="53"/>
      <c r="B693" s="53"/>
      <c r="C693" s="53"/>
      <c r="D693" s="247" t="s">
        <v>1215</v>
      </c>
      <c r="E693" s="247"/>
      <c r="F693" s="247"/>
      <c r="G693" s="247"/>
      <c r="H693" s="247" t="s">
        <v>444</v>
      </c>
      <c r="I693" s="247"/>
      <c r="J693" s="247"/>
      <c r="K693" s="247"/>
      <c r="L693" s="248" t="s">
        <v>1216</v>
      </c>
      <c r="M693" s="248"/>
      <c r="N693" s="248" t="s">
        <v>1217</v>
      </c>
      <c r="O693" s="248"/>
      <c r="S693" s="61" t="str">
        <f t="shared" si="134"/>
        <v>Aplicable a territorio fuera de ZEDE</v>
      </c>
      <c r="T693" s="64" t="str">
        <f t="shared" si="121"/>
        <v>CONCILIACIÓN TRIBUTARIA</v>
      </c>
      <c r="U693" s="64" t="str">
        <f t="shared" si="122"/>
        <v>_</v>
      </c>
      <c r="V693" s="64" t="str">
        <f t="shared" si="129"/>
        <v>INFORMACIÓN RELACIONADA POR RESULTADOS OBTENIDOS DENTRO Y FUERA DE ZEDESs</v>
      </c>
      <c r="W693" s="64" t="str">
        <f t="shared" si="130"/>
        <v>INFORMACIÓN RELACIONADA POR RESULTADOS OBTENIDOS DENTRO Y FUERA DE ZEDES</v>
      </c>
      <c r="X693" s="64" t="str">
        <f t="shared" si="123"/>
        <v/>
      </c>
      <c r="Y693" s="64" t="str">
        <f t="shared" si="124"/>
        <v/>
      </c>
      <c r="Z693" s="64" t="str">
        <f t="shared" si="125"/>
        <v/>
      </c>
      <c r="AA693" s="64" t="str">
        <f t="shared" si="133"/>
        <v>INFORMACIÓN RELACIONADA POR RESULTADOS OBTENIDOS DENTRO Y FUERA DE ZEDESs_INFORMACIÓN RELACIONADA POR RESULTADOS OBTENIDOS DENTRO Y FUERA DE ZEDES</v>
      </c>
    </row>
    <row r="694" spans="1:425">
      <c r="A694" s="53"/>
      <c r="B694" s="53"/>
      <c r="C694" s="53"/>
      <c r="D694" s="53"/>
      <c r="E694" s="242" t="s">
        <v>1201</v>
      </c>
      <c r="F694" s="242"/>
      <c r="G694" s="242"/>
      <c r="H694" s="242"/>
      <c r="I694" s="242"/>
      <c r="J694" s="242"/>
      <c r="K694" s="242"/>
      <c r="L694" s="9" t="s">
        <v>1218</v>
      </c>
      <c r="M694" s="55"/>
      <c r="N694" s="9" t="s">
        <v>1219</v>
      </c>
      <c r="O694" s="74" t="e">
        <f>+O685-M694</f>
        <v>#REF!</v>
      </c>
      <c r="S694" s="67" t="str">
        <f>L694</f>
        <v>842</v>
      </c>
      <c r="T694" s="64" t="str">
        <f t="shared" si="121"/>
        <v>CONCILIACIÓN TRIBUTARIA</v>
      </c>
      <c r="U694" s="64" t="str">
        <f t="shared" si="122"/>
        <v>_</v>
      </c>
      <c r="V694" s="64" t="str">
        <f t="shared" si="129"/>
        <v>INFORMACIÓN RELACIONADA POR RESULTADOS OBTENIDOS DENTRO Y FUERA DE ZEDESs</v>
      </c>
      <c r="W694" s="64" t="str">
        <f t="shared" si="130"/>
        <v>INFORMACIÓN RELACIONADA POR RESULTADOS OBTENIDOS DENTRO Y FUERA DE ZEDES</v>
      </c>
      <c r="X694" s="64" t="str">
        <f t="shared" si="123"/>
        <v>Utilidad gravable</v>
      </c>
      <c r="Y694" s="64" t="str">
        <f t="shared" si="124"/>
        <v/>
      </c>
      <c r="Z694" s="64" t="str">
        <f t="shared" si="125"/>
        <v/>
      </c>
      <c r="AA694" s="69" t="str">
        <f>IF(X694&lt;&gt;"",CONCATENATE(W694,"_",X694,"_",Y694,"_",Z694,"_Aplicable a territorio ZEDE"),CONCATENATE(V694, "_",W694,"_Aplicable a territorio ZEDE"))</f>
        <v>INFORMACIÓN RELACIONADA POR RESULTADOS OBTENIDOS DENTRO Y FUERA DE ZEDES_Utilidad gravable___Aplicable a territorio ZEDE</v>
      </c>
      <c r="AC694" s="76" t="s">
        <v>1219</v>
      </c>
      <c r="AD694" s="76" t="s">
        <v>28</v>
      </c>
      <c r="AE694" s="76" t="s">
        <v>1369</v>
      </c>
      <c r="AF694" s="76" t="s">
        <v>1212</v>
      </c>
      <c r="AG694" s="76" t="s">
        <v>1215</v>
      </c>
      <c r="AH694" s="76" t="s">
        <v>1201</v>
      </c>
      <c r="AI694" s="76" t="s">
        <v>444</v>
      </c>
      <c r="AJ694" s="76" t="s">
        <v>444</v>
      </c>
      <c r="AK694" s="76" t="s">
        <v>1488</v>
      </c>
      <c r="AL694" s="76"/>
      <c r="AM694" s="76"/>
      <c r="AN694" s="76"/>
      <c r="AO694" s="76"/>
    </row>
    <row r="695" spans="1:425">
      <c r="A695" s="53"/>
      <c r="B695" s="53"/>
      <c r="C695" s="53"/>
      <c r="D695" s="53"/>
      <c r="E695" s="242" t="s">
        <v>1203</v>
      </c>
      <c r="F695" s="242"/>
      <c r="G695" s="242"/>
      <c r="H695" s="242"/>
      <c r="I695" s="242"/>
      <c r="J695" s="242"/>
      <c r="K695" s="242"/>
      <c r="L695" s="9" t="s">
        <v>1220</v>
      </c>
      <c r="M695" s="55"/>
      <c r="N695" s="9" t="s">
        <v>1221</v>
      </c>
      <c r="O695" s="74" t="e">
        <f>+O686-M695</f>
        <v>#REF!</v>
      </c>
      <c r="S695" s="67" t="str">
        <f>L695</f>
        <v>844</v>
      </c>
      <c r="T695" s="64" t="str">
        <f t="shared" si="121"/>
        <v>CONCILIACIÓN TRIBUTARIA</v>
      </c>
      <c r="U695" s="64" t="str">
        <f t="shared" si="122"/>
        <v>_</v>
      </c>
      <c r="V695" s="64" t="str">
        <f t="shared" si="129"/>
        <v>INFORMACIÓN RELACIONADA POR RESULTADOS OBTENIDOS DENTRO Y FUERA DE ZEDESs</v>
      </c>
      <c r="W695" s="64" t="str">
        <f t="shared" si="130"/>
        <v>INFORMACIÓN RELACIONADA POR RESULTADOS OBTENIDOS DENTRO Y FUERA DE ZEDES</v>
      </c>
      <c r="X695" s="64" t="str">
        <f t="shared" si="123"/>
        <v>Pérdida sujeta a amortización en períodos siguientes</v>
      </c>
      <c r="Y695" s="64" t="str">
        <f t="shared" si="124"/>
        <v/>
      </c>
      <c r="Z695" s="64" t="str">
        <f t="shared" si="125"/>
        <v/>
      </c>
      <c r="AA695" s="69" t="str">
        <f>IF(X695&lt;&gt;"",CONCATENATE(W695,"_",X695,"_",Y695,"_",Z695,"_Aplicable a territorio ZEDE"),CONCATENATE(V695, "_",W695,"_Aplicable a territorio ZEDE"))</f>
        <v>INFORMACIÓN RELACIONADA POR RESULTADOS OBTENIDOS DENTRO Y FUERA DE ZEDES_Pérdida sujeta a amortización en períodos siguientes___Aplicable a territorio ZEDE</v>
      </c>
      <c r="AC695" s="76" t="s">
        <v>1221</v>
      </c>
      <c r="AD695" s="76" t="s">
        <v>28</v>
      </c>
      <c r="AE695" s="76" t="s">
        <v>1369</v>
      </c>
      <c r="AF695" s="76" t="s">
        <v>1212</v>
      </c>
      <c r="AG695" s="76" t="s">
        <v>1215</v>
      </c>
      <c r="AH695" s="76" t="s">
        <v>1203</v>
      </c>
      <c r="AI695" s="76" t="s">
        <v>444</v>
      </c>
      <c r="AJ695" s="76" t="s">
        <v>444</v>
      </c>
      <c r="AK695" s="76" t="s">
        <v>1489</v>
      </c>
      <c r="AL695" s="76"/>
      <c r="AM695" s="76"/>
      <c r="AN695" s="76"/>
      <c r="AO695" s="76"/>
    </row>
    <row r="696" spans="1:425">
      <c r="A696" s="53"/>
      <c r="B696" s="53"/>
      <c r="C696" s="53"/>
      <c r="D696" s="242" t="s">
        <v>1222</v>
      </c>
      <c r="E696" s="242"/>
      <c r="F696" s="242"/>
      <c r="G696" s="242"/>
      <c r="H696" s="242" t="s">
        <v>444</v>
      </c>
      <c r="I696" s="242"/>
      <c r="J696" s="242"/>
      <c r="K696" s="242"/>
      <c r="L696" s="9" t="s">
        <v>1223</v>
      </c>
      <c r="M696" s="108" t="e">
        <f>+#REF!</f>
        <v>#REF!</v>
      </c>
      <c r="N696" s="9" t="s">
        <v>1224</v>
      </c>
      <c r="O696" s="87" t="e">
        <f>+#REF!</f>
        <v>#REF!</v>
      </c>
      <c r="S696" s="67" t="str">
        <f>L696</f>
        <v>846</v>
      </c>
      <c r="T696" s="64" t="str">
        <f t="shared" si="121"/>
        <v>CONCILIACIÓN TRIBUTARIA</v>
      </c>
      <c r="U696" s="64" t="str">
        <f t="shared" si="122"/>
        <v>_</v>
      </c>
      <c r="V696" s="64" t="str">
        <f t="shared" si="129"/>
        <v>INFORMACIÓN RELACIONADA POR RESULTADOS OBTENIDOS DENTRO Y FUERA DE ZEDESs</v>
      </c>
      <c r="W696" s="64" t="str">
        <f t="shared" si="130"/>
        <v>Utilidad a reinvertir y capitalizar (sujeta legalmente a reducción de la tarifa)</v>
      </c>
      <c r="X696" s="64" t="str">
        <f t="shared" si="123"/>
        <v/>
      </c>
      <c r="Y696" s="64" t="str">
        <f t="shared" si="124"/>
        <v/>
      </c>
      <c r="Z696" s="64" t="str">
        <f t="shared" si="125"/>
        <v/>
      </c>
      <c r="AA696" s="69" t="str">
        <f>IF(X696&lt;&gt;"",CONCATENATE(W696,"_",X696,"_",Y696,"_",Z696,"_Aplicable a territorio ZEDE"),CONCATENATE(V696, "_",W696,"_Aplicable a territorio ZEDE"))</f>
        <v>INFORMACIÓN RELACIONADA POR RESULTADOS OBTENIDOS DENTRO Y FUERA DE ZEDESs_Utilidad a reinvertir y capitalizar (sujeta legalmente a reducción de la tarifa)_Aplicable a territorio ZEDE</v>
      </c>
      <c r="AC696" s="76" t="s">
        <v>1224</v>
      </c>
      <c r="AD696" s="76" t="s">
        <v>28</v>
      </c>
      <c r="AE696" s="76" t="s">
        <v>1369</v>
      </c>
      <c r="AF696" s="76" t="s">
        <v>1212</v>
      </c>
      <c r="AG696" s="76" t="s">
        <v>1222</v>
      </c>
      <c r="AH696" s="76" t="s">
        <v>444</v>
      </c>
      <c r="AI696" s="76" t="s">
        <v>444</v>
      </c>
      <c r="AJ696" s="76" t="s">
        <v>444</v>
      </c>
      <c r="AK696" s="76" t="s">
        <v>1490</v>
      </c>
      <c r="AL696" s="76"/>
      <c r="AM696" s="76"/>
      <c r="AN696" s="76"/>
      <c r="AO696" s="76"/>
    </row>
    <row r="697" spans="1:425">
      <c r="A697" s="53"/>
      <c r="B697" s="53"/>
      <c r="C697" s="53"/>
      <c r="D697" s="242" t="s">
        <v>1225</v>
      </c>
      <c r="E697" s="242"/>
      <c r="F697" s="242"/>
      <c r="G697" s="242"/>
      <c r="H697" s="242" t="s">
        <v>444</v>
      </c>
      <c r="I697" s="242"/>
      <c r="J697" s="242"/>
      <c r="K697" s="242"/>
      <c r="L697" s="9" t="s">
        <v>1226</v>
      </c>
      <c r="M697" s="74" t="e">
        <f>+M694-M696</f>
        <v>#REF!</v>
      </c>
      <c r="N697" s="9" t="s">
        <v>1227</v>
      </c>
      <c r="O697" s="74" t="e">
        <f>+O694-O696</f>
        <v>#REF!</v>
      </c>
      <c r="S697" s="67" t="str">
        <f>L697</f>
        <v>848</v>
      </c>
      <c r="T697" s="64" t="str">
        <f t="shared" si="121"/>
        <v>CONCILIACIÓN TRIBUTARIA</v>
      </c>
      <c r="U697" s="64" t="str">
        <f t="shared" si="122"/>
        <v>_</v>
      </c>
      <c r="V697" s="64" t="str">
        <f t="shared" si="129"/>
        <v>INFORMACIÓN RELACIONADA POR RESULTADOS OBTENIDOS DENTRO Y FUERA DE ZEDESs</v>
      </c>
      <c r="W697" s="64" t="str">
        <f t="shared" si="130"/>
        <v xml:space="preserve">Saldo utilidad gravable </v>
      </c>
      <c r="X697" s="64" t="str">
        <f t="shared" si="123"/>
        <v/>
      </c>
      <c r="Y697" s="64" t="str">
        <f t="shared" si="124"/>
        <v/>
      </c>
      <c r="Z697" s="64" t="str">
        <f t="shared" si="125"/>
        <v/>
      </c>
      <c r="AA697" s="69" t="str">
        <f>IF(X697&lt;&gt;"",CONCATENATE(W697,"_",X697,"_",Y697,"_",Z697,"_Aplicable a territorio ZEDE"),CONCATENATE(V697, "_",W697,"_Aplicable a territorio ZEDE"))</f>
        <v>INFORMACIÓN RELACIONADA POR RESULTADOS OBTENIDOS DENTRO Y FUERA DE ZEDESs_Saldo utilidad gravable _Aplicable a territorio ZEDE</v>
      </c>
      <c r="AC697" s="76" t="s">
        <v>1227</v>
      </c>
      <c r="AD697" s="76" t="s">
        <v>28</v>
      </c>
      <c r="AE697" s="76" t="s">
        <v>1369</v>
      </c>
      <c r="AF697" s="76" t="s">
        <v>1212</v>
      </c>
      <c r="AG697" s="76" t="s">
        <v>1225</v>
      </c>
      <c r="AH697" s="76" t="s">
        <v>444</v>
      </c>
      <c r="AI697" s="76" t="s">
        <v>444</v>
      </c>
      <c r="AJ697" s="76" t="s">
        <v>444</v>
      </c>
      <c r="AK697" s="76" t="s">
        <v>1491</v>
      </c>
      <c r="AL697" s="76"/>
      <c r="AM697" s="76"/>
      <c r="AN697" s="76"/>
      <c r="AO697" s="76"/>
    </row>
    <row r="698" spans="1:425" s="85" customFormat="1">
      <c r="A698" s="70"/>
      <c r="B698" s="70"/>
      <c r="C698" s="273" t="s">
        <v>1228</v>
      </c>
      <c r="D698" s="274"/>
      <c r="E698" s="274"/>
      <c r="F698" s="274"/>
      <c r="G698" s="274"/>
      <c r="H698" s="274"/>
      <c r="I698" s="274"/>
      <c r="J698" s="274"/>
      <c r="K698" s="274"/>
      <c r="L698" s="274"/>
      <c r="M698" s="275"/>
      <c r="N698" s="9" t="s">
        <v>1229</v>
      </c>
      <c r="O698" s="106">
        <f>VLOOKUP(N698,Casilleros!$A$4:$Q$830,16,FALSE)</f>
        <v>0</v>
      </c>
      <c r="P698" s="67"/>
      <c r="Q698" s="67"/>
      <c r="R698" s="67"/>
      <c r="S698" s="61" t="str">
        <f t="shared" si="134"/>
        <v>033</v>
      </c>
      <c r="T698" s="64" t="str">
        <f t="shared" si="121"/>
        <v>CONCILIACIÓN TRIBUTARIA</v>
      </c>
      <c r="U698" s="64" t="str">
        <f t="shared" si="122"/>
        <v>_</v>
      </c>
      <c r="V698" s="64" t="str">
        <f t="shared" si="129"/>
        <v>Para el período fiscal seleccionado, ¿se constituye en una sociedad que cumple la condición para el beneficio de rebaja en la tarifa por reinversión de utilidades (detalle tipo)?</v>
      </c>
      <c r="W698" s="64" t="str">
        <f t="shared" si="130"/>
        <v/>
      </c>
      <c r="X698" s="64" t="str">
        <f t="shared" si="123"/>
        <v/>
      </c>
      <c r="Y698" s="64" t="str">
        <f t="shared" si="124"/>
        <v/>
      </c>
      <c r="Z698" s="64" t="str">
        <f t="shared" si="125"/>
        <v/>
      </c>
      <c r="AA698" s="64" t="str">
        <f t="shared" ref="AA698:AA730" si="135">IF(X698&lt;&gt;"",CONCATENATE(W698,"_",X698,"_",Y698,"_",Z698,""),CONCATENATE(V698, "_",W698,""))</f>
        <v>Para el período fiscal seleccionado, ¿se constituye en una sociedad que cumple la condición para el beneficio de rebaja en la tarifa por reinversión de utilidades (detalle tipo)?_</v>
      </c>
      <c r="AB698" s="64"/>
      <c r="AC698" s="64"/>
      <c r="AD698" s="64"/>
      <c r="AE698" s="64"/>
      <c r="AF698" s="64"/>
      <c r="AG698" s="64"/>
      <c r="AH698" s="64"/>
      <c r="AI698" s="64"/>
      <c r="AJ698" s="64"/>
      <c r="AK698" s="64"/>
      <c r="AL698" s="64"/>
      <c r="AM698" s="64"/>
      <c r="AN698" s="64"/>
      <c r="AO698" s="64"/>
      <c r="AP698" s="64"/>
      <c r="AQ698" s="64"/>
      <c r="AR698" s="64"/>
      <c r="AS698" s="64"/>
      <c r="AT698" s="64"/>
      <c r="AU698" s="64"/>
      <c r="AV698" s="64"/>
      <c r="AW698" s="64"/>
      <c r="AX698" s="64"/>
      <c r="AY698" s="64"/>
      <c r="AZ698" s="64"/>
      <c r="BA698" s="64"/>
      <c r="BB698" s="64"/>
      <c r="BC698" s="64"/>
      <c r="BD698" s="64"/>
      <c r="BE698" s="64"/>
      <c r="BF698" s="64"/>
      <c r="BG698" s="64"/>
      <c r="BH698" s="64"/>
      <c r="BI698" s="64"/>
      <c r="BJ698" s="64"/>
      <c r="BK698" s="64"/>
      <c r="BL698" s="64"/>
      <c r="BM698" s="64"/>
      <c r="BN698" s="64"/>
      <c r="BO698" s="64"/>
      <c r="BP698" s="64"/>
      <c r="BQ698" s="64"/>
      <c r="BR698" s="64"/>
      <c r="BS698" s="64"/>
      <c r="BT698" s="64"/>
      <c r="BU698" s="64"/>
      <c r="BV698" s="64"/>
      <c r="BW698" s="64"/>
      <c r="BX698" s="64"/>
      <c r="BY698" s="64"/>
      <c r="BZ698" s="64"/>
      <c r="CA698" s="64"/>
      <c r="CB698" s="64"/>
      <c r="CC698" s="64"/>
      <c r="CD698" s="64"/>
      <c r="CE698" s="64"/>
      <c r="CF698" s="64"/>
      <c r="CG698" s="64"/>
      <c r="CH698" s="64"/>
      <c r="CI698" s="64"/>
      <c r="CJ698" s="64"/>
      <c r="CK698" s="64"/>
      <c r="CL698" s="64"/>
      <c r="CM698" s="64"/>
      <c r="CN698" s="64"/>
      <c r="CO698" s="64"/>
      <c r="CP698" s="64"/>
      <c r="CQ698" s="64"/>
      <c r="CR698" s="64"/>
      <c r="CS698" s="64"/>
      <c r="CT698" s="64"/>
      <c r="CU698" s="64"/>
      <c r="CV698" s="64"/>
      <c r="CW698" s="64"/>
      <c r="CX698" s="64"/>
      <c r="CY698" s="64"/>
      <c r="CZ698" s="64"/>
      <c r="DA698" s="64"/>
      <c r="DB698" s="64"/>
      <c r="DC698" s="64"/>
      <c r="DD698" s="64"/>
      <c r="DE698" s="64"/>
      <c r="DF698" s="64"/>
      <c r="DG698" s="64"/>
      <c r="DH698" s="64"/>
      <c r="DI698" s="64"/>
      <c r="DJ698" s="64"/>
      <c r="DK698" s="64"/>
      <c r="DL698" s="64"/>
      <c r="DM698" s="64"/>
      <c r="DN698" s="64"/>
      <c r="DO698" s="64"/>
      <c r="DP698" s="64"/>
      <c r="DQ698" s="64"/>
      <c r="DR698" s="64"/>
      <c r="DS698" s="64"/>
      <c r="DT698" s="64"/>
      <c r="DU698" s="64"/>
      <c r="DV698" s="64"/>
      <c r="DW698" s="64"/>
      <c r="DX698" s="64"/>
      <c r="DY698" s="64"/>
      <c r="DZ698" s="64"/>
      <c r="EA698" s="64"/>
      <c r="EB698" s="64"/>
      <c r="EC698" s="64"/>
      <c r="ED698" s="64"/>
      <c r="EE698" s="64"/>
      <c r="EF698" s="64"/>
      <c r="EG698" s="64"/>
      <c r="EH698" s="64"/>
      <c r="EI698" s="64"/>
      <c r="EJ698" s="64"/>
      <c r="EK698" s="64"/>
      <c r="EL698" s="64"/>
      <c r="EM698" s="64"/>
      <c r="EN698" s="64"/>
      <c r="EO698" s="64"/>
      <c r="EP698" s="64"/>
      <c r="EQ698" s="64"/>
      <c r="ER698" s="64"/>
      <c r="ES698" s="64"/>
      <c r="ET698" s="64"/>
      <c r="EU698" s="64"/>
      <c r="EV698" s="64"/>
      <c r="EW698" s="64"/>
      <c r="EX698" s="64"/>
      <c r="EY698" s="64"/>
      <c r="EZ698" s="64"/>
      <c r="FA698" s="64"/>
      <c r="FB698" s="64"/>
      <c r="FC698" s="64"/>
      <c r="FD698" s="64"/>
      <c r="FE698" s="64"/>
      <c r="FF698" s="64"/>
      <c r="FG698" s="64"/>
      <c r="FH698" s="64"/>
      <c r="FI698" s="64"/>
      <c r="FJ698" s="64"/>
      <c r="FK698" s="64"/>
      <c r="FL698" s="64"/>
      <c r="FM698" s="64"/>
      <c r="FN698" s="64"/>
      <c r="FO698" s="64"/>
      <c r="FP698" s="64"/>
      <c r="FQ698" s="64"/>
      <c r="FR698" s="64"/>
      <c r="FS698" s="64"/>
      <c r="FT698" s="64"/>
      <c r="FU698" s="64"/>
      <c r="FV698" s="64"/>
      <c r="FW698" s="64"/>
      <c r="FX698" s="64"/>
      <c r="FY698" s="64"/>
      <c r="FZ698" s="64"/>
      <c r="GA698" s="64"/>
      <c r="GB698" s="64"/>
      <c r="GC698" s="64"/>
      <c r="GD698" s="64"/>
      <c r="GE698" s="64"/>
      <c r="GF698" s="64"/>
      <c r="GG698" s="64"/>
      <c r="GH698" s="64"/>
      <c r="GI698" s="64"/>
      <c r="GJ698" s="64"/>
      <c r="GK698" s="64"/>
      <c r="GL698" s="64"/>
      <c r="GM698" s="64"/>
      <c r="GN698" s="64"/>
      <c r="GO698" s="64"/>
      <c r="GP698" s="64"/>
      <c r="GQ698" s="64"/>
      <c r="GR698" s="64"/>
      <c r="GS698" s="64"/>
      <c r="GT698" s="64"/>
      <c r="GU698" s="64"/>
      <c r="GV698" s="64"/>
      <c r="GW698" s="64"/>
      <c r="GX698" s="64"/>
      <c r="GY698" s="64"/>
      <c r="GZ698" s="64"/>
      <c r="HA698" s="64"/>
      <c r="HB698" s="64"/>
      <c r="HC698" s="64"/>
      <c r="HD698" s="64"/>
      <c r="HE698" s="64"/>
      <c r="HF698" s="64"/>
      <c r="HG698" s="64"/>
      <c r="HH698" s="64"/>
      <c r="HI698" s="64"/>
      <c r="HJ698" s="64"/>
      <c r="HK698" s="64"/>
      <c r="HL698" s="64"/>
      <c r="HM698" s="64"/>
      <c r="HN698" s="64"/>
      <c r="HO698" s="64"/>
      <c r="HP698" s="64"/>
      <c r="HQ698" s="64"/>
      <c r="HR698" s="64"/>
      <c r="HS698" s="64"/>
      <c r="HT698" s="64"/>
      <c r="HU698" s="64"/>
      <c r="HV698" s="64"/>
      <c r="HW698" s="64"/>
      <c r="HX698" s="64"/>
      <c r="HY698" s="64"/>
      <c r="HZ698" s="64"/>
      <c r="IA698" s="64"/>
      <c r="IB698" s="64"/>
      <c r="IC698" s="64"/>
      <c r="ID698" s="64"/>
      <c r="IE698" s="64"/>
      <c r="IF698" s="64"/>
      <c r="IG698" s="64"/>
      <c r="IH698" s="64"/>
      <c r="II698" s="64"/>
      <c r="IJ698" s="64"/>
      <c r="IK698" s="64"/>
      <c r="IL698" s="64"/>
      <c r="IM698" s="64"/>
      <c r="IN698" s="64"/>
      <c r="IO698" s="64"/>
      <c r="IP698" s="64"/>
      <c r="IQ698" s="64"/>
      <c r="IR698" s="64"/>
      <c r="IS698" s="64"/>
      <c r="IT698" s="64"/>
      <c r="IU698" s="64"/>
      <c r="IV698" s="64"/>
      <c r="IW698" s="64"/>
      <c r="IX698" s="64"/>
      <c r="IY698" s="64"/>
      <c r="IZ698" s="64"/>
      <c r="JA698" s="64"/>
      <c r="JB698" s="64"/>
      <c r="JC698" s="64"/>
      <c r="JD698" s="64"/>
      <c r="JE698" s="64"/>
      <c r="JF698" s="64"/>
      <c r="JG698" s="64"/>
      <c r="JH698" s="64"/>
      <c r="JI698" s="64"/>
      <c r="JJ698" s="64"/>
      <c r="JK698" s="64"/>
      <c r="JL698" s="64"/>
      <c r="JM698" s="64"/>
      <c r="JN698" s="64"/>
      <c r="JO698" s="64"/>
      <c r="JP698" s="64"/>
      <c r="JQ698" s="64"/>
      <c r="JR698" s="64"/>
      <c r="JS698" s="64"/>
      <c r="JT698" s="64"/>
      <c r="JU698" s="64"/>
      <c r="JV698" s="64"/>
      <c r="JW698" s="64"/>
      <c r="JX698" s="64"/>
      <c r="JY698" s="64"/>
      <c r="JZ698" s="64"/>
      <c r="KA698" s="64"/>
      <c r="KB698" s="64"/>
      <c r="KC698" s="64"/>
      <c r="KD698" s="64"/>
      <c r="KE698" s="64"/>
      <c r="KF698" s="64"/>
      <c r="KG698" s="64"/>
      <c r="KH698" s="64"/>
      <c r="KI698" s="64"/>
      <c r="KJ698" s="64"/>
      <c r="KK698" s="64"/>
      <c r="KL698" s="64"/>
      <c r="KM698" s="64"/>
      <c r="KN698" s="64"/>
      <c r="KO698" s="64"/>
      <c r="KP698" s="64"/>
      <c r="KQ698" s="64"/>
      <c r="KR698" s="64"/>
      <c r="KS698" s="64"/>
      <c r="KT698" s="64"/>
      <c r="KU698" s="64"/>
      <c r="KV698" s="64"/>
      <c r="KW698" s="64"/>
      <c r="KX698" s="64"/>
      <c r="KY698" s="64"/>
      <c r="KZ698" s="64"/>
      <c r="LA698" s="64"/>
      <c r="LB698" s="64"/>
      <c r="LC698" s="64"/>
      <c r="LD698" s="64"/>
      <c r="LE698" s="64"/>
      <c r="LF698" s="64"/>
      <c r="LG698" s="64"/>
      <c r="LH698" s="64"/>
      <c r="LI698" s="64"/>
      <c r="LJ698" s="64"/>
      <c r="LK698" s="64"/>
      <c r="LL698" s="64"/>
      <c r="LM698" s="64"/>
      <c r="LN698" s="64"/>
      <c r="LO698" s="64"/>
      <c r="LP698" s="64"/>
      <c r="LQ698" s="64"/>
      <c r="LR698" s="64"/>
      <c r="LS698" s="64"/>
      <c r="LT698" s="64"/>
      <c r="LU698" s="64"/>
      <c r="LV698" s="64"/>
      <c r="LW698" s="64"/>
      <c r="LX698" s="64"/>
      <c r="LY698" s="64"/>
      <c r="LZ698" s="64"/>
      <c r="MA698" s="64"/>
      <c r="MB698" s="64"/>
      <c r="MC698" s="64"/>
      <c r="MD698" s="64"/>
      <c r="ME698" s="64"/>
      <c r="MF698" s="64"/>
      <c r="MG698" s="64"/>
      <c r="MH698" s="64"/>
      <c r="MI698" s="64"/>
      <c r="MJ698" s="64"/>
      <c r="MK698" s="64"/>
      <c r="ML698" s="64"/>
      <c r="MM698" s="64"/>
      <c r="MN698" s="64"/>
      <c r="MO698" s="64"/>
      <c r="MP698" s="64"/>
      <c r="MQ698" s="64"/>
      <c r="MR698" s="64"/>
      <c r="MS698" s="64"/>
      <c r="MT698" s="64"/>
      <c r="MU698" s="64"/>
      <c r="MV698" s="64"/>
      <c r="MW698" s="64"/>
      <c r="MX698" s="64"/>
      <c r="MY698" s="64"/>
      <c r="MZ698" s="64"/>
      <c r="NA698" s="64"/>
      <c r="NB698" s="64"/>
      <c r="NC698" s="64"/>
      <c r="ND698" s="64"/>
      <c r="NE698" s="64"/>
      <c r="NF698" s="64"/>
      <c r="NG698" s="64"/>
      <c r="NH698" s="64"/>
      <c r="NI698" s="64"/>
      <c r="NJ698" s="64"/>
      <c r="NK698" s="64"/>
      <c r="NL698" s="64"/>
      <c r="NM698" s="64"/>
      <c r="NN698" s="64"/>
      <c r="NO698" s="64"/>
      <c r="NP698" s="64"/>
      <c r="NQ698" s="64"/>
      <c r="NR698" s="64"/>
      <c r="NS698" s="64"/>
      <c r="NT698" s="64"/>
      <c r="NU698" s="64"/>
      <c r="NV698" s="64"/>
      <c r="NW698" s="64"/>
      <c r="NX698" s="64"/>
      <c r="NY698" s="64"/>
      <c r="NZ698" s="64"/>
      <c r="OA698" s="64"/>
      <c r="OB698" s="64"/>
      <c r="OC698" s="64"/>
      <c r="OD698" s="64"/>
      <c r="OE698" s="64"/>
      <c r="OF698" s="64"/>
      <c r="OG698" s="64"/>
      <c r="OH698" s="64"/>
      <c r="OI698" s="64"/>
      <c r="OJ698" s="64"/>
      <c r="OK698" s="64"/>
      <c r="OL698" s="64"/>
      <c r="OM698" s="64"/>
      <c r="ON698" s="64"/>
      <c r="OO698" s="64"/>
      <c r="OP698" s="64"/>
      <c r="OQ698" s="64"/>
      <c r="OR698" s="64"/>
      <c r="OS698" s="64"/>
      <c r="OT698" s="64"/>
      <c r="OU698" s="64"/>
      <c r="OV698" s="64"/>
      <c r="OW698" s="64"/>
      <c r="OX698" s="64"/>
      <c r="OY698" s="64"/>
      <c r="OZ698" s="64"/>
      <c r="PA698" s="64"/>
      <c r="PB698" s="64"/>
      <c r="PC698" s="64"/>
      <c r="PD698" s="64"/>
      <c r="PE698" s="64"/>
      <c r="PF698" s="64"/>
      <c r="PG698" s="64"/>
      <c r="PH698" s="64"/>
      <c r="PI698" s="64"/>
    </row>
    <row r="699" spans="1:425" s="85" customFormat="1">
      <c r="A699" s="70"/>
      <c r="B699" s="70"/>
      <c r="C699" s="276" t="s">
        <v>1230</v>
      </c>
      <c r="D699" s="277"/>
      <c r="E699" s="277"/>
      <c r="F699" s="277"/>
      <c r="G699" s="277"/>
      <c r="H699" s="277"/>
      <c r="I699" s="277"/>
      <c r="J699" s="277"/>
      <c r="K699" s="277"/>
      <c r="L699" s="277"/>
      <c r="M699" s="278"/>
      <c r="N699" s="9" t="s">
        <v>1231</v>
      </c>
      <c r="O699" s="106">
        <f>VLOOKUP(N699,Casilleros!$A$4:$Q$830,16,FALSE)</f>
        <v>0</v>
      </c>
      <c r="P699" s="67"/>
      <c r="Q699" s="67"/>
      <c r="R699" s="67"/>
      <c r="S699" s="61" t="str">
        <f t="shared" si="134"/>
        <v>034</v>
      </c>
      <c r="T699" s="64" t="str">
        <f t="shared" si="121"/>
        <v>CONCILIACIÓN TRIBUTARIA</v>
      </c>
      <c r="U699" s="64" t="str">
        <f t="shared" si="122"/>
        <v>_</v>
      </c>
      <c r="V699" s="64" t="str">
        <f t="shared" si="129"/>
        <v>Para el período fiscal seleccionado, ¿se constituye en una sociedad exportadora habitual (octavo artículo innumerado a continuación del art. 7 del RLRTI), que cumple las condiciones para el beneficio de rebaja en la tarifa de impuesto a la renta (segundo artículo innumerado a continuación del art. 37.1 de la LRTI)? Nota: El beneficio tributario no aplica para las actividades petroleras ni de recursos no renovables.</v>
      </c>
      <c r="W699" s="64" t="str">
        <f t="shared" si="130"/>
        <v/>
      </c>
      <c r="X699" s="64" t="str">
        <f t="shared" si="123"/>
        <v/>
      </c>
      <c r="Y699" s="64" t="str">
        <f t="shared" si="124"/>
        <v/>
      </c>
      <c r="Z699" s="64" t="str">
        <f t="shared" si="125"/>
        <v/>
      </c>
      <c r="AA699" s="64" t="str">
        <f t="shared" si="135"/>
        <v>Para el período fiscal seleccionado, ¿se constituye en una sociedad exportadora habitual (octavo artículo innumerado a continuación del art. 7 del RLRTI), que cumple las condiciones para el beneficio de rebaja en la tarifa de impuesto a la renta (segundo artículo innumerado a continuación del art. 37.1 de la LRTI)? Nota: El beneficio tributario no aplica para las actividades petroleras ni de recursos no renovables._</v>
      </c>
      <c r="AB699" s="64"/>
      <c r="AC699" s="64"/>
      <c r="AD699" s="64"/>
      <c r="AE699" s="64"/>
      <c r="AF699" s="64"/>
      <c r="AG699" s="64"/>
      <c r="AH699" s="64"/>
      <c r="AI699" s="64"/>
      <c r="AJ699" s="64"/>
      <c r="AK699" s="64"/>
      <c r="AL699" s="64"/>
      <c r="AM699" s="64"/>
      <c r="AN699" s="64"/>
      <c r="AO699" s="64"/>
      <c r="AP699" s="64"/>
      <c r="AQ699" s="64"/>
      <c r="AR699" s="64"/>
      <c r="AS699" s="64"/>
      <c r="AT699" s="64"/>
      <c r="AU699" s="64"/>
      <c r="AV699" s="64"/>
      <c r="AW699" s="64"/>
      <c r="AX699" s="64"/>
      <c r="AY699" s="64"/>
      <c r="AZ699" s="64"/>
      <c r="BA699" s="64"/>
      <c r="BB699" s="64"/>
      <c r="BC699" s="64"/>
      <c r="BD699" s="64"/>
      <c r="BE699" s="64"/>
      <c r="BF699" s="64"/>
      <c r="BG699" s="64"/>
      <c r="BH699" s="64"/>
      <c r="BI699" s="64"/>
      <c r="BJ699" s="64"/>
      <c r="BK699" s="64"/>
      <c r="BL699" s="64"/>
      <c r="BM699" s="64"/>
      <c r="BN699" s="64"/>
      <c r="BO699" s="64"/>
      <c r="BP699" s="64"/>
      <c r="BQ699" s="64"/>
      <c r="BR699" s="64"/>
      <c r="BS699" s="64"/>
      <c r="BT699" s="64"/>
      <c r="BU699" s="64"/>
      <c r="BV699" s="64"/>
      <c r="BW699" s="64"/>
      <c r="BX699" s="64"/>
      <c r="BY699" s="64"/>
      <c r="BZ699" s="64"/>
      <c r="CA699" s="64"/>
      <c r="CB699" s="64"/>
      <c r="CC699" s="64"/>
      <c r="CD699" s="64"/>
      <c r="CE699" s="64"/>
      <c r="CF699" s="64"/>
      <c r="CG699" s="64"/>
      <c r="CH699" s="64"/>
      <c r="CI699" s="64"/>
      <c r="CJ699" s="64"/>
      <c r="CK699" s="64"/>
      <c r="CL699" s="64"/>
      <c r="CM699" s="64"/>
      <c r="CN699" s="64"/>
      <c r="CO699" s="64"/>
      <c r="CP699" s="64"/>
      <c r="CQ699" s="64"/>
      <c r="CR699" s="64"/>
      <c r="CS699" s="64"/>
      <c r="CT699" s="64"/>
      <c r="CU699" s="64"/>
      <c r="CV699" s="64"/>
      <c r="CW699" s="64"/>
      <c r="CX699" s="64"/>
      <c r="CY699" s="64"/>
      <c r="CZ699" s="64"/>
      <c r="DA699" s="64"/>
      <c r="DB699" s="64"/>
      <c r="DC699" s="64"/>
      <c r="DD699" s="64"/>
      <c r="DE699" s="64"/>
      <c r="DF699" s="64"/>
      <c r="DG699" s="64"/>
      <c r="DH699" s="64"/>
      <c r="DI699" s="64"/>
      <c r="DJ699" s="64"/>
      <c r="DK699" s="64"/>
      <c r="DL699" s="64"/>
      <c r="DM699" s="64"/>
      <c r="DN699" s="64"/>
      <c r="DO699" s="64"/>
      <c r="DP699" s="64"/>
      <c r="DQ699" s="64"/>
      <c r="DR699" s="64"/>
      <c r="DS699" s="64"/>
      <c r="DT699" s="64"/>
      <c r="DU699" s="64"/>
      <c r="DV699" s="64"/>
      <c r="DW699" s="64"/>
      <c r="DX699" s="64"/>
      <c r="DY699" s="64"/>
      <c r="DZ699" s="64"/>
      <c r="EA699" s="64"/>
      <c r="EB699" s="64"/>
      <c r="EC699" s="64"/>
      <c r="ED699" s="64"/>
      <c r="EE699" s="64"/>
      <c r="EF699" s="64"/>
      <c r="EG699" s="64"/>
      <c r="EH699" s="64"/>
      <c r="EI699" s="64"/>
      <c r="EJ699" s="64"/>
      <c r="EK699" s="64"/>
      <c r="EL699" s="64"/>
      <c r="EM699" s="64"/>
      <c r="EN699" s="64"/>
      <c r="EO699" s="64"/>
      <c r="EP699" s="64"/>
      <c r="EQ699" s="64"/>
      <c r="ER699" s="64"/>
      <c r="ES699" s="64"/>
      <c r="ET699" s="64"/>
      <c r="EU699" s="64"/>
      <c r="EV699" s="64"/>
      <c r="EW699" s="64"/>
      <c r="EX699" s="64"/>
      <c r="EY699" s="64"/>
      <c r="EZ699" s="64"/>
      <c r="FA699" s="64"/>
      <c r="FB699" s="64"/>
      <c r="FC699" s="64"/>
      <c r="FD699" s="64"/>
      <c r="FE699" s="64"/>
      <c r="FF699" s="64"/>
      <c r="FG699" s="64"/>
      <c r="FH699" s="64"/>
      <c r="FI699" s="64"/>
      <c r="FJ699" s="64"/>
      <c r="FK699" s="64"/>
      <c r="FL699" s="64"/>
      <c r="FM699" s="64"/>
      <c r="FN699" s="64"/>
      <c r="FO699" s="64"/>
      <c r="FP699" s="64"/>
      <c r="FQ699" s="64"/>
      <c r="FR699" s="64"/>
      <c r="FS699" s="64"/>
      <c r="FT699" s="64"/>
      <c r="FU699" s="64"/>
      <c r="FV699" s="64"/>
      <c r="FW699" s="64"/>
      <c r="FX699" s="64"/>
      <c r="FY699" s="64"/>
      <c r="FZ699" s="64"/>
      <c r="GA699" s="64"/>
      <c r="GB699" s="64"/>
      <c r="GC699" s="64"/>
      <c r="GD699" s="64"/>
      <c r="GE699" s="64"/>
      <c r="GF699" s="64"/>
      <c r="GG699" s="64"/>
      <c r="GH699" s="64"/>
      <c r="GI699" s="64"/>
      <c r="GJ699" s="64"/>
      <c r="GK699" s="64"/>
      <c r="GL699" s="64"/>
      <c r="GM699" s="64"/>
      <c r="GN699" s="64"/>
      <c r="GO699" s="64"/>
      <c r="GP699" s="64"/>
      <c r="GQ699" s="64"/>
      <c r="GR699" s="64"/>
      <c r="GS699" s="64"/>
      <c r="GT699" s="64"/>
      <c r="GU699" s="64"/>
      <c r="GV699" s="64"/>
      <c r="GW699" s="64"/>
      <c r="GX699" s="64"/>
      <c r="GY699" s="64"/>
      <c r="GZ699" s="64"/>
      <c r="HA699" s="64"/>
      <c r="HB699" s="64"/>
      <c r="HC699" s="64"/>
      <c r="HD699" s="64"/>
      <c r="HE699" s="64"/>
      <c r="HF699" s="64"/>
      <c r="HG699" s="64"/>
      <c r="HH699" s="64"/>
      <c r="HI699" s="64"/>
      <c r="HJ699" s="64"/>
      <c r="HK699" s="64"/>
      <c r="HL699" s="64"/>
      <c r="HM699" s="64"/>
      <c r="HN699" s="64"/>
      <c r="HO699" s="64"/>
      <c r="HP699" s="64"/>
      <c r="HQ699" s="64"/>
      <c r="HR699" s="64"/>
      <c r="HS699" s="64"/>
      <c r="HT699" s="64"/>
      <c r="HU699" s="64"/>
      <c r="HV699" s="64"/>
      <c r="HW699" s="64"/>
      <c r="HX699" s="64"/>
      <c r="HY699" s="64"/>
      <c r="HZ699" s="64"/>
      <c r="IA699" s="64"/>
      <c r="IB699" s="64"/>
      <c r="IC699" s="64"/>
      <c r="ID699" s="64"/>
      <c r="IE699" s="64"/>
      <c r="IF699" s="64"/>
      <c r="IG699" s="64"/>
      <c r="IH699" s="64"/>
      <c r="II699" s="64"/>
      <c r="IJ699" s="64"/>
      <c r="IK699" s="64"/>
      <c r="IL699" s="64"/>
      <c r="IM699" s="64"/>
      <c r="IN699" s="64"/>
      <c r="IO699" s="64"/>
      <c r="IP699" s="64"/>
      <c r="IQ699" s="64"/>
      <c r="IR699" s="64"/>
      <c r="IS699" s="64"/>
      <c r="IT699" s="64"/>
      <c r="IU699" s="64"/>
      <c r="IV699" s="64"/>
      <c r="IW699" s="64"/>
      <c r="IX699" s="64"/>
      <c r="IY699" s="64"/>
      <c r="IZ699" s="64"/>
      <c r="JA699" s="64"/>
      <c r="JB699" s="64"/>
      <c r="JC699" s="64"/>
      <c r="JD699" s="64"/>
      <c r="JE699" s="64"/>
      <c r="JF699" s="64"/>
      <c r="JG699" s="64"/>
      <c r="JH699" s="64"/>
      <c r="JI699" s="64"/>
      <c r="JJ699" s="64"/>
      <c r="JK699" s="64"/>
      <c r="JL699" s="64"/>
      <c r="JM699" s="64"/>
      <c r="JN699" s="64"/>
      <c r="JO699" s="64"/>
      <c r="JP699" s="64"/>
      <c r="JQ699" s="64"/>
      <c r="JR699" s="64"/>
      <c r="JS699" s="64"/>
      <c r="JT699" s="64"/>
      <c r="JU699" s="64"/>
      <c r="JV699" s="64"/>
      <c r="JW699" s="64"/>
      <c r="JX699" s="64"/>
      <c r="JY699" s="64"/>
      <c r="JZ699" s="64"/>
      <c r="KA699" s="64"/>
      <c r="KB699" s="64"/>
      <c r="KC699" s="64"/>
      <c r="KD699" s="64"/>
      <c r="KE699" s="64"/>
      <c r="KF699" s="64"/>
      <c r="KG699" s="64"/>
      <c r="KH699" s="64"/>
      <c r="KI699" s="64"/>
      <c r="KJ699" s="64"/>
      <c r="KK699" s="64"/>
      <c r="KL699" s="64"/>
      <c r="KM699" s="64"/>
      <c r="KN699" s="64"/>
      <c r="KO699" s="64"/>
      <c r="KP699" s="64"/>
      <c r="KQ699" s="64"/>
      <c r="KR699" s="64"/>
      <c r="KS699" s="64"/>
      <c r="KT699" s="64"/>
      <c r="KU699" s="64"/>
      <c r="KV699" s="64"/>
      <c r="KW699" s="64"/>
      <c r="KX699" s="64"/>
      <c r="KY699" s="64"/>
      <c r="KZ699" s="64"/>
      <c r="LA699" s="64"/>
      <c r="LB699" s="64"/>
      <c r="LC699" s="64"/>
      <c r="LD699" s="64"/>
      <c r="LE699" s="64"/>
      <c r="LF699" s="64"/>
      <c r="LG699" s="64"/>
      <c r="LH699" s="64"/>
      <c r="LI699" s="64"/>
      <c r="LJ699" s="64"/>
      <c r="LK699" s="64"/>
      <c r="LL699" s="64"/>
      <c r="LM699" s="64"/>
      <c r="LN699" s="64"/>
      <c r="LO699" s="64"/>
      <c r="LP699" s="64"/>
      <c r="LQ699" s="64"/>
      <c r="LR699" s="64"/>
      <c r="LS699" s="64"/>
      <c r="LT699" s="64"/>
      <c r="LU699" s="64"/>
      <c r="LV699" s="64"/>
      <c r="LW699" s="64"/>
      <c r="LX699" s="64"/>
      <c r="LY699" s="64"/>
      <c r="LZ699" s="64"/>
      <c r="MA699" s="64"/>
      <c r="MB699" s="64"/>
      <c r="MC699" s="64"/>
      <c r="MD699" s="64"/>
      <c r="ME699" s="64"/>
      <c r="MF699" s="64"/>
      <c r="MG699" s="64"/>
      <c r="MH699" s="64"/>
      <c r="MI699" s="64"/>
      <c r="MJ699" s="64"/>
      <c r="MK699" s="64"/>
      <c r="ML699" s="64"/>
      <c r="MM699" s="64"/>
      <c r="MN699" s="64"/>
      <c r="MO699" s="64"/>
      <c r="MP699" s="64"/>
      <c r="MQ699" s="64"/>
      <c r="MR699" s="64"/>
      <c r="MS699" s="64"/>
      <c r="MT699" s="64"/>
      <c r="MU699" s="64"/>
      <c r="MV699" s="64"/>
      <c r="MW699" s="64"/>
      <c r="MX699" s="64"/>
      <c r="MY699" s="64"/>
      <c r="MZ699" s="64"/>
      <c r="NA699" s="64"/>
      <c r="NB699" s="64"/>
      <c r="NC699" s="64"/>
      <c r="ND699" s="64"/>
      <c r="NE699" s="64"/>
      <c r="NF699" s="64"/>
      <c r="NG699" s="64"/>
      <c r="NH699" s="64"/>
      <c r="NI699" s="64"/>
      <c r="NJ699" s="64"/>
      <c r="NK699" s="64"/>
      <c r="NL699" s="64"/>
      <c r="NM699" s="64"/>
      <c r="NN699" s="64"/>
      <c r="NO699" s="64"/>
      <c r="NP699" s="64"/>
      <c r="NQ699" s="64"/>
      <c r="NR699" s="64"/>
      <c r="NS699" s="64"/>
      <c r="NT699" s="64"/>
      <c r="NU699" s="64"/>
      <c r="NV699" s="64"/>
      <c r="NW699" s="64"/>
      <c r="NX699" s="64"/>
      <c r="NY699" s="64"/>
      <c r="NZ699" s="64"/>
      <c r="OA699" s="64"/>
      <c r="OB699" s="64"/>
      <c r="OC699" s="64"/>
      <c r="OD699" s="64"/>
      <c r="OE699" s="64"/>
      <c r="OF699" s="64"/>
      <c r="OG699" s="64"/>
      <c r="OH699" s="64"/>
      <c r="OI699" s="64"/>
      <c r="OJ699" s="64"/>
      <c r="OK699" s="64"/>
      <c r="OL699" s="64"/>
      <c r="OM699" s="64"/>
      <c r="ON699" s="64"/>
      <c r="OO699" s="64"/>
      <c r="OP699" s="64"/>
      <c r="OQ699" s="64"/>
      <c r="OR699" s="64"/>
      <c r="OS699" s="64"/>
      <c r="OT699" s="64"/>
      <c r="OU699" s="64"/>
      <c r="OV699" s="64"/>
      <c r="OW699" s="64"/>
      <c r="OX699" s="64"/>
      <c r="OY699" s="64"/>
      <c r="OZ699" s="64"/>
      <c r="PA699" s="64"/>
      <c r="PB699" s="64"/>
      <c r="PC699" s="64"/>
      <c r="PD699" s="64"/>
      <c r="PE699" s="64"/>
      <c r="PF699" s="64"/>
      <c r="PG699" s="64"/>
      <c r="PH699" s="64"/>
      <c r="PI699" s="64"/>
    </row>
    <row r="700" spans="1:425" s="90" customFormat="1">
      <c r="A700" s="89"/>
      <c r="B700" s="89"/>
      <c r="C700" s="273" t="s">
        <v>1232</v>
      </c>
      <c r="D700" s="274"/>
      <c r="E700" s="274"/>
      <c r="F700" s="274"/>
      <c r="G700" s="274"/>
      <c r="H700" s="274"/>
      <c r="I700" s="274"/>
      <c r="J700" s="274"/>
      <c r="K700" s="274"/>
      <c r="L700" s="274"/>
      <c r="M700" s="275"/>
      <c r="N700" s="9" t="s">
        <v>1233</v>
      </c>
      <c r="O700" s="106">
        <f>VLOOKUP(N700,Casilleros!$A$4:$Q$830,16,FALSE)</f>
        <v>0</v>
      </c>
      <c r="P700" s="67"/>
      <c r="Q700" s="67"/>
      <c r="R700" s="67"/>
      <c r="S700" s="61" t="str">
        <f t="shared" si="134"/>
        <v>046</v>
      </c>
      <c r="T700" s="64" t="str">
        <f t="shared" si="121"/>
        <v>CONCILIACIÓN TRIBUTARIA</v>
      </c>
      <c r="U700" s="64" t="str">
        <f t="shared" si="122"/>
        <v>_</v>
      </c>
      <c r="V700" s="64" t="str">
        <f t="shared" si="129"/>
        <v>¿Tiene derecho a la reducción de tarifa por reinversión de utilidades en proyectos deportivos, culturales, investigación científica responsable o desarrollo tecnológico acreditados por la SENESCYT?</v>
      </c>
      <c r="W700" s="64" t="str">
        <f t="shared" si="130"/>
        <v/>
      </c>
      <c r="X700" s="64" t="str">
        <f t="shared" si="123"/>
        <v/>
      </c>
      <c r="Y700" s="64" t="str">
        <f t="shared" si="124"/>
        <v/>
      </c>
      <c r="Z700" s="64" t="str">
        <f t="shared" si="125"/>
        <v/>
      </c>
      <c r="AA700" s="64" t="str">
        <f t="shared" si="135"/>
        <v>¿Tiene derecho a la reducción de tarifa por reinversión de utilidades en proyectos deportivos, culturales, investigación científica responsable o desarrollo tecnológico acreditados por la SENESCYT?_</v>
      </c>
      <c r="AB700" s="64"/>
      <c r="AC700" s="64"/>
      <c r="AD700" s="64"/>
      <c r="AE700" s="64"/>
      <c r="AF700" s="64"/>
      <c r="AG700" s="64"/>
      <c r="AH700" s="64"/>
      <c r="AI700" s="64"/>
      <c r="AJ700" s="64"/>
      <c r="AK700" s="64"/>
      <c r="AL700" s="64"/>
      <c r="AM700" s="64"/>
      <c r="AN700" s="64"/>
      <c r="AO700" s="64"/>
      <c r="AP700" s="64"/>
      <c r="AQ700" s="64"/>
      <c r="AR700" s="64"/>
      <c r="AS700" s="64"/>
      <c r="AT700" s="64"/>
      <c r="AU700" s="64"/>
      <c r="AV700" s="64"/>
      <c r="AW700" s="64"/>
      <c r="AX700" s="64"/>
      <c r="AY700" s="64"/>
      <c r="AZ700" s="64"/>
      <c r="BA700" s="64"/>
      <c r="BB700" s="64"/>
      <c r="BC700" s="64"/>
      <c r="BD700" s="64"/>
      <c r="BE700" s="64"/>
      <c r="BF700" s="64"/>
      <c r="BG700" s="64"/>
      <c r="BH700" s="64"/>
      <c r="BI700" s="64"/>
      <c r="BJ700" s="64"/>
      <c r="BK700" s="64"/>
      <c r="BL700" s="64"/>
      <c r="BM700" s="64"/>
      <c r="BN700" s="64"/>
      <c r="BO700" s="64"/>
      <c r="BP700" s="64"/>
      <c r="BQ700" s="64"/>
      <c r="BR700" s="64"/>
      <c r="BS700" s="64"/>
      <c r="BT700" s="64"/>
      <c r="BU700" s="64"/>
      <c r="BV700" s="64"/>
      <c r="BW700" s="64"/>
      <c r="BX700" s="64"/>
      <c r="BY700" s="64"/>
      <c r="BZ700" s="64"/>
      <c r="CA700" s="64"/>
      <c r="CB700" s="64"/>
      <c r="CC700" s="64"/>
      <c r="CD700" s="64"/>
      <c r="CE700" s="64"/>
      <c r="CF700" s="64"/>
      <c r="CG700" s="64"/>
      <c r="CH700" s="64"/>
      <c r="CI700" s="64"/>
      <c r="CJ700" s="64"/>
      <c r="CK700" s="64"/>
      <c r="CL700" s="64"/>
      <c r="CM700" s="64"/>
      <c r="CN700" s="64"/>
      <c r="CO700" s="64"/>
      <c r="CP700" s="64"/>
      <c r="CQ700" s="64"/>
      <c r="CR700" s="64"/>
      <c r="CS700" s="64"/>
      <c r="CT700" s="64"/>
      <c r="CU700" s="64"/>
      <c r="CV700" s="64"/>
      <c r="CW700" s="64"/>
      <c r="CX700" s="64"/>
      <c r="CY700" s="64"/>
      <c r="CZ700" s="64"/>
      <c r="DA700" s="64"/>
      <c r="DB700" s="64"/>
      <c r="DC700" s="64"/>
      <c r="DD700" s="64"/>
      <c r="DE700" s="64"/>
      <c r="DF700" s="64"/>
      <c r="DG700" s="64"/>
      <c r="DH700" s="64"/>
      <c r="DI700" s="64"/>
      <c r="DJ700" s="64"/>
      <c r="DK700" s="64"/>
      <c r="DL700" s="64"/>
      <c r="DM700" s="64"/>
      <c r="DN700" s="64"/>
      <c r="DO700" s="64"/>
      <c r="DP700" s="64"/>
      <c r="DQ700" s="64"/>
      <c r="DR700" s="64"/>
      <c r="DS700" s="64"/>
      <c r="DT700" s="64"/>
      <c r="DU700" s="64"/>
      <c r="DV700" s="64"/>
      <c r="DW700" s="64"/>
      <c r="DX700" s="64"/>
      <c r="DY700" s="64"/>
      <c r="DZ700" s="64"/>
      <c r="EA700" s="64"/>
      <c r="EB700" s="64"/>
      <c r="EC700" s="64"/>
      <c r="ED700" s="64"/>
      <c r="EE700" s="64"/>
      <c r="EF700" s="64"/>
      <c r="EG700" s="64"/>
      <c r="EH700" s="64"/>
      <c r="EI700" s="64"/>
      <c r="EJ700" s="64"/>
      <c r="EK700" s="64"/>
      <c r="EL700" s="64"/>
      <c r="EM700" s="64"/>
      <c r="EN700" s="64"/>
      <c r="EO700" s="64"/>
      <c r="EP700" s="64"/>
      <c r="EQ700" s="64"/>
      <c r="ER700" s="64"/>
      <c r="ES700" s="64"/>
      <c r="ET700" s="64"/>
      <c r="EU700" s="64"/>
      <c r="EV700" s="64"/>
      <c r="EW700" s="64"/>
      <c r="EX700" s="64"/>
      <c r="EY700" s="64"/>
      <c r="EZ700" s="64"/>
      <c r="FA700" s="64"/>
      <c r="FB700" s="64"/>
      <c r="FC700" s="64"/>
      <c r="FD700" s="64"/>
      <c r="FE700" s="64"/>
      <c r="FF700" s="64"/>
      <c r="FG700" s="64"/>
      <c r="FH700" s="64"/>
      <c r="FI700" s="64"/>
      <c r="FJ700" s="64"/>
      <c r="FK700" s="64"/>
      <c r="FL700" s="64"/>
      <c r="FM700" s="64"/>
      <c r="FN700" s="64"/>
      <c r="FO700" s="64"/>
      <c r="FP700" s="64"/>
      <c r="FQ700" s="64"/>
      <c r="FR700" s="64"/>
      <c r="FS700" s="64"/>
      <c r="FT700" s="64"/>
      <c r="FU700" s="64"/>
      <c r="FV700" s="64"/>
      <c r="FW700" s="64"/>
      <c r="FX700" s="64"/>
      <c r="FY700" s="64"/>
      <c r="FZ700" s="64"/>
      <c r="GA700" s="64"/>
      <c r="GB700" s="64"/>
      <c r="GC700" s="64"/>
      <c r="GD700" s="64"/>
      <c r="GE700" s="64"/>
      <c r="GF700" s="64"/>
      <c r="GG700" s="64"/>
      <c r="GH700" s="64"/>
      <c r="GI700" s="64"/>
      <c r="GJ700" s="64"/>
      <c r="GK700" s="64"/>
      <c r="GL700" s="64"/>
      <c r="GM700" s="64"/>
      <c r="GN700" s="64"/>
      <c r="GO700" s="64"/>
      <c r="GP700" s="64"/>
      <c r="GQ700" s="64"/>
      <c r="GR700" s="64"/>
      <c r="GS700" s="64"/>
      <c r="GT700" s="64"/>
      <c r="GU700" s="64"/>
      <c r="GV700" s="64"/>
      <c r="GW700" s="64"/>
      <c r="GX700" s="64"/>
      <c r="GY700" s="64"/>
      <c r="GZ700" s="64"/>
      <c r="HA700" s="64"/>
      <c r="HB700" s="64"/>
      <c r="HC700" s="64"/>
      <c r="HD700" s="64"/>
      <c r="HE700" s="64"/>
      <c r="HF700" s="64"/>
      <c r="HG700" s="64"/>
      <c r="HH700" s="64"/>
      <c r="HI700" s="64"/>
      <c r="HJ700" s="64"/>
      <c r="HK700" s="64"/>
      <c r="HL700" s="64"/>
      <c r="HM700" s="64"/>
      <c r="HN700" s="64"/>
      <c r="HO700" s="64"/>
      <c r="HP700" s="64"/>
      <c r="HQ700" s="64"/>
      <c r="HR700" s="64"/>
      <c r="HS700" s="64"/>
      <c r="HT700" s="64"/>
      <c r="HU700" s="64"/>
      <c r="HV700" s="64"/>
      <c r="HW700" s="64"/>
      <c r="HX700" s="64"/>
      <c r="HY700" s="64"/>
      <c r="HZ700" s="64"/>
      <c r="IA700" s="64"/>
      <c r="IB700" s="64"/>
      <c r="IC700" s="64"/>
      <c r="ID700" s="64"/>
      <c r="IE700" s="64"/>
      <c r="IF700" s="64"/>
      <c r="IG700" s="64"/>
      <c r="IH700" s="64"/>
      <c r="II700" s="64"/>
      <c r="IJ700" s="64"/>
      <c r="IK700" s="64"/>
      <c r="IL700" s="64"/>
      <c r="IM700" s="64"/>
      <c r="IN700" s="64"/>
      <c r="IO700" s="64"/>
      <c r="IP700" s="64"/>
      <c r="IQ700" s="64"/>
      <c r="IR700" s="64"/>
      <c r="IS700" s="64"/>
      <c r="IT700" s="64"/>
      <c r="IU700" s="64"/>
      <c r="IV700" s="64"/>
      <c r="IW700" s="64"/>
      <c r="IX700" s="64"/>
      <c r="IY700" s="64"/>
      <c r="IZ700" s="64"/>
      <c r="JA700" s="64"/>
      <c r="JB700" s="64"/>
      <c r="JC700" s="64"/>
      <c r="JD700" s="64"/>
      <c r="JE700" s="64"/>
      <c r="JF700" s="64"/>
      <c r="JG700" s="64"/>
      <c r="JH700" s="64"/>
      <c r="JI700" s="64"/>
      <c r="JJ700" s="64"/>
      <c r="JK700" s="64"/>
      <c r="JL700" s="64"/>
      <c r="JM700" s="64"/>
      <c r="JN700" s="64"/>
      <c r="JO700" s="64"/>
      <c r="JP700" s="64"/>
      <c r="JQ700" s="64"/>
      <c r="JR700" s="64"/>
      <c r="JS700" s="64"/>
      <c r="JT700" s="64"/>
      <c r="JU700" s="64"/>
      <c r="JV700" s="64"/>
      <c r="JW700" s="64"/>
      <c r="JX700" s="64"/>
      <c r="JY700" s="64"/>
      <c r="JZ700" s="64"/>
      <c r="KA700" s="64"/>
      <c r="KB700" s="64"/>
      <c r="KC700" s="64"/>
      <c r="KD700" s="64"/>
      <c r="KE700" s="64"/>
      <c r="KF700" s="64"/>
      <c r="KG700" s="64"/>
      <c r="KH700" s="64"/>
      <c r="KI700" s="64"/>
      <c r="KJ700" s="64"/>
      <c r="KK700" s="64"/>
      <c r="KL700" s="64"/>
      <c r="KM700" s="64"/>
      <c r="KN700" s="64"/>
      <c r="KO700" s="64"/>
      <c r="KP700" s="64"/>
      <c r="KQ700" s="64"/>
      <c r="KR700" s="64"/>
      <c r="KS700" s="64"/>
      <c r="KT700" s="64"/>
      <c r="KU700" s="64"/>
      <c r="KV700" s="64"/>
      <c r="KW700" s="64"/>
      <c r="KX700" s="64"/>
      <c r="KY700" s="64"/>
      <c r="KZ700" s="64"/>
      <c r="LA700" s="64"/>
      <c r="LB700" s="64"/>
      <c r="LC700" s="64"/>
      <c r="LD700" s="64"/>
      <c r="LE700" s="64"/>
      <c r="LF700" s="64"/>
      <c r="LG700" s="64"/>
      <c r="LH700" s="64"/>
      <c r="LI700" s="64"/>
      <c r="LJ700" s="64"/>
      <c r="LK700" s="64"/>
      <c r="LL700" s="64"/>
      <c r="LM700" s="64"/>
      <c r="LN700" s="64"/>
      <c r="LO700" s="64"/>
      <c r="LP700" s="64"/>
      <c r="LQ700" s="64"/>
      <c r="LR700" s="64"/>
      <c r="LS700" s="64"/>
      <c r="LT700" s="64"/>
      <c r="LU700" s="64"/>
      <c r="LV700" s="64"/>
      <c r="LW700" s="64"/>
      <c r="LX700" s="64"/>
      <c r="LY700" s="64"/>
      <c r="LZ700" s="64"/>
      <c r="MA700" s="64"/>
      <c r="MB700" s="64"/>
      <c r="MC700" s="64"/>
      <c r="MD700" s="64"/>
      <c r="ME700" s="64"/>
      <c r="MF700" s="64"/>
      <c r="MG700" s="64"/>
      <c r="MH700" s="64"/>
      <c r="MI700" s="64"/>
      <c r="MJ700" s="64"/>
      <c r="MK700" s="64"/>
      <c r="ML700" s="64"/>
      <c r="MM700" s="64"/>
      <c r="MN700" s="64"/>
      <c r="MO700" s="64"/>
      <c r="MP700" s="64"/>
      <c r="MQ700" s="64"/>
      <c r="MR700" s="64"/>
      <c r="MS700" s="64"/>
      <c r="MT700" s="64"/>
      <c r="MU700" s="64"/>
      <c r="MV700" s="64"/>
      <c r="MW700" s="64"/>
      <c r="MX700" s="64"/>
      <c r="MY700" s="64"/>
      <c r="MZ700" s="64"/>
      <c r="NA700" s="64"/>
      <c r="NB700" s="64"/>
      <c r="NC700" s="64"/>
      <c r="ND700" s="64"/>
      <c r="NE700" s="64"/>
      <c r="NF700" s="64"/>
      <c r="NG700" s="64"/>
      <c r="NH700" s="64"/>
      <c r="NI700" s="64"/>
      <c r="NJ700" s="64"/>
      <c r="NK700" s="64"/>
      <c r="NL700" s="64"/>
      <c r="NM700" s="64"/>
      <c r="NN700" s="64"/>
      <c r="NO700" s="64"/>
      <c r="NP700" s="64"/>
      <c r="NQ700" s="64"/>
      <c r="NR700" s="64"/>
      <c r="NS700" s="64"/>
      <c r="NT700" s="64"/>
      <c r="NU700" s="64"/>
      <c r="NV700" s="64"/>
      <c r="NW700" s="64"/>
      <c r="NX700" s="64"/>
      <c r="NY700" s="64"/>
      <c r="NZ700" s="64"/>
      <c r="OA700" s="64"/>
      <c r="OB700" s="64"/>
      <c r="OC700" s="64"/>
      <c r="OD700" s="64"/>
      <c r="OE700" s="64"/>
      <c r="OF700" s="64"/>
      <c r="OG700" s="64"/>
      <c r="OH700" s="64"/>
      <c r="OI700" s="64"/>
      <c r="OJ700" s="64"/>
      <c r="OK700" s="64"/>
      <c r="OL700" s="64"/>
      <c r="OM700" s="64"/>
      <c r="ON700" s="64"/>
      <c r="OO700" s="64"/>
      <c r="OP700" s="64"/>
      <c r="OQ700" s="64"/>
      <c r="OR700" s="64"/>
      <c r="OS700" s="64"/>
      <c r="OT700" s="64"/>
      <c r="OU700" s="64"/>
      <c r="OV700" s="64"/>
      <c r="OW700" s="64"/>
      <c r="OX700" s="64"/>
      <c r="OY700" s="64"/>
      <c r="OZ700" s="64"/>
      <c r="PA700" s="64"/>
      <c r="PB700" s="64"/>
      <c r="PC700" s="64"/>
      <c r="PD700" s="64"/>
      <c r="PE700" s="64"/>
      <c r="PF700" s="64"/>
      <c r="PG700" s="64"/>
      <c r="PH700" s="64"/>
      <c r="PI700" s="64"/>
    </row>
    <row r="701" spans="1:425" s="90" customFormat="1">
      <c r="A701" s="89"/>
      <c r="B701" s="89"/>
      <c r="C701" s="270" t="s">
        <v>1234</v>
      </c>
      <c r="D701" s="271"/>
      <c r="E701" s="271"/>
      <c r="F701" s="271"/>
      <c r="G701" s="271"/>
      <c r="H701" s="271"/>
      <c r="I701" s="271"/>
      <c r="J701" s="271"/>
      <c r="K701" s="271"/>
      <c r="L701" s="271"/>
      <c r="M701" s="272"/>
      <c r="N701" s="9" t="s">
        <v>1235</v>
      </c>
      <c r="O701" s="110">
        <f>VLOOKUP(N701,Casilleros!$A$4:$Q$830,16,FALSE)</f>
        <v>0</v>
      </c>
      <c r="P701" s="67"/>
      <c r="Q701" s="67"/>
      <c r="R701" s="67"/>
      <c r="S701" s="61" t="str">
        <f t="shared" si="134"/>
        <v>047</v>
      </c>
      <c r="T701" s="64" t="str">
        <f t="shared" si="121"/>
        <v>CONCILIACIÓN TRIBUTARIA</v>
      </c>
      <c r="U701" s="64" t="str">
        <f t="shared" si="122"/>
        <v>_</v>
      </c>
      <c r="V701" s="64" t="str">
        <f t="shared" si="129"/>
        <v>Porcentaje de reducción porcentual de tarifa aplicable en proyectos deportivos, culturales, investigación científica responsable o desarrollo tecnológico acreditados por la SENESCYT</v>
      </c>
      <c r="W701" s="64" t="str">
        <f t="shared" si="130"/>
        <v/>
      </c>
      <c r="X701" s="64" t="str">
        <f t="shared" si="123"/>
        <v/>
      </c>
      <c r="Y701" s="64" t="str">
        <f t="shared" si="124"/>
        <v/>
      </c>
      <c r="Z701" s="64" t="str">
        <f t="shared" si="125"/>
        <v/>
      </c>
      <c r="AA701" s="64" t="str">
        <f t="shared" si="135"/>
        <v>Porcentaje de reducción porcentual de tarifa aplicable en proyectos deportivos, culturales, investigación científica responsable o desarrollo tecnológico acreditados por la SENESCYT_</v>
      </c>
      <c r="AB701" s="64"/>
      <c r="AC701" s="64"/>
      <c r="AD701" s="64"/>
      <c r="AE701" s="64"/>
      <c r="AF701" s="64"/>
      <c r="AG701" s="64"/>
      <c r="AH701" s="64"/>
      <c r="AI701" s="64"/>
      <c r="AJ701" s="64"/>
      <c r="AK701" s="64"/>
      <c r="AL701" s="64"/>
      <c r="AM701" s="64"/>
      <c r="AN701" s="64"/>
      <c r="AO701" s="64"/>
      <c r="AP701" s="64"/>
      <c r="AQ701" s="64"/>
      <c r="AR701" s="64"/>
      <c r="AS701" s="64"/>
      <c r="AT701" s="64"/>
      <c r="AU701" s="64"/>
      <c r="AV701" s="64"/>
      <c r="AW701" s="64"/>
      <c r="AX701" s="64"/>
      <c r="AY701" s="64"/>
      <c r="AZ701" s="64"/>
      <c r="BA701" s="64"/>
      <c r="BB701" s="64"/>
      <c r="BC701" s="64"/>
      <c r="BD701" s="64"/>
      <c r="BE701" s="64"/>
      <c r="BF701" s="64"/>
      <c r="BG701" s="64"/>
      <c r="BH701" s="64"/>
      <c r="BI701" s="64"/>
      <c r="BJ701" s="64"/>
      <c r="BK701" s="64"/>
      <c r="BL701" s="64"/>
      <c r="BM701" s="64"/>
      <c r="BN701" s="64"/>
      <c r="BO701" s="64"/>
      <c r="BP701" s="64"/>
      <c r="BQ701" s="64"/>
      <c r="BR701" s="64"/>
      <c r="BS701" s="64"/>
      <c r="BT701" s="64"/>
      <c r="BU701" s="64"/>
      <c r="BV701" s="64"/>
      <c r="BW701" s="64"/>
      <c r="BX701" s="64"/>
      <c r="BY701" s="64"/>
      <c r="BZ701" s="64"/>
      <c r="CA701" s="64"/>
      <c r="CB701" s="64"/>
      <c r="CC701" s="64"/>
      <c r="CD701" s="64"/>
      <c r="CE701" s="64"/>
      <c r="CF701" s="64"/>
      <c r="CG701" s="64"/>
      <c r="CH701" s="64"/>
      <c r="CI701" s="64"/>
      <c r="CJ701" s="64"/>
      <c r="CK701" s="64"/>
      <c r="CL701" s="64"/>
      <c r="CM701" s="64"/>
      <c r="CN701" s="64"/>
      <c r="CO701" s="64"/>
      <c r="CP701" s="64"/>
      <c r="CQ701" s="64"/>
      <c r="CR701" s="64"/>
      <c r="CS701" s="64"/>
      <c r="CT701" s="64"/>
      <c r="CU701" s="64"/>
      <c r="CV701" s="64"/>
      <c r="CW701" s="64"/>
      <c r="CX701" s="64"/>
      <c r="CY701" s="64"/>
      <c r="CZ701" s="64"/>
      <c r="DA701" s="64"/>
      <c r="DB701" s="64"/>
      <c r="DC701" s="64"/>
      <c r="DD701" s="64"/>
      <c r="DE701" s="64"/>
      <c r="DF701" s="64"/>
      <c r="DG701" s="64"/>
      <c r="DH701" s="64"/>
      <c r="DI701" s="64"/>
      <c r="DJ701" s="64"/>
      <c r="DK701" s="64"/>
      <c r="DL701" s="64"/>
      <c r="DM701" s="64"/>
      <c r="DN701" s="64"/>
      <c r="DO701" s="64"/>
      <c r="DP701" s="64"/>
      <c r="DQ701" s="64"/>
      <c r="DR701" s="64"/>
      <c r="DS701" s="64"/>
      <c r="DT701" s="64"/>
      <c r="DU701" s="64"/>
      <c r="DV701" s="64"/>
      <c r="DW701" s="64"/>
      <c r="DX701" s="64"/>
      <c r="DY701" s="64"/>
      <c r="DZ701" s="64"/>
      <c r="EA701" s="64"/>
      <c r="EB701" s="64"/>
      <c r="EC701" s="64"/>
      <c r="ED701" s="64"/>
      <c r="EE701" s="64"/>
      <c r="EF701" s="64"/>
      <c r="EG701" s="64"/>
      <c r="EH701" s="64"/>
      <c r="EI701" s="64"/>
      <c r="EJ701" s="64"/>
      <c r="EK701" s="64"/>
      <c r="EL701" s="64"/>
      <c r="EM701" s="64"/>
      <c r="EN701" s="64"/>
      <c r="EO701" s="64"/>
      <c r="EP701" s="64"/>
      <c r="EQ701" s="64"/>
      <c r="ER701" s="64"/>
      <c r="ES701" s="64"/>
      <c r="ET701" s="64"/>
      <c r="EU701" s="64"/>
      <c r="EV701" s="64"/>
      <c r="EW701" s="64"/>
      <c r="EX701" s="64"/>
      <c r="EY701" s="64"/>
      <c r="EZ701" s="64"/>
      <c r="FA701" s="64"/>
      <c r="FB701" s="64"/>
      <c r="FC701" s="64"/>
      <c r="FD701" s="64"/>
      <c r="FE701" s="64"/>
      <c r="FF701" s="64"/>
      <c r="FG701" s="64"/>
      <c r="FH701" s="64"/>
      <c r="FI701" s="64"/>
      <c r="FJ701" s="64"/>
      <c r="FK701" s="64"/>
      <c r="FL701" s="64"/>
      <c r="FM701" s="64"/>
      <c r="FN701" s="64"/>
      <c r="FO701" s="64"/>
      <c r="FP701" s="64"/>
      <c r="FQ701" s="64"/>
      <c r="FR701" s="64"/>
      <c r="FS701" s="64"/>
      <c r="FT701" s="64"/>
      <c r="FU701" s="64"/>
      <c r="FV701" s="64"/>
      <c r="FW701" s="64"/>
      <c r="FX701" s="64"/>
      <c r="FY701" s="64"/>
      <c r="FZ701" s="64"/>
      <c r="GA701" s="64"/>
      <c r="GB701" s="64"/>
      <c r="GC701" s="64"/>
      <c r="GD701" s="64"/>
      <c r="GE701" s="64"/>
      <c r="GF701" s="64"/>
      <c r="GG701" s="64"/>
      <c r="GH701" s="64"/>
      <c r="GI701" s="64"/>
      <c r="GJ701" s="64"/>
      <c r="GK701" s="64"/>
      <c r="GL701" s="64"/>
      <c r="GM701" s="64"/>
      <c r="GN701" s="64"/>
      <c r="GO701" s="64"/>
      <c r="GP701" s="64"/>
      <c r="GQ701" s="64"/>
      <c r="GR701" s="64"/>
      <c r="GS701" s="64"/>
      <c r="GT701" s="64"/>
      <c r="GU701" s="64"/>
      <c r="GV701" s="64"/>
      <c r="GW701" s="64"/>
      <c r="GX701" s="64"/>
      <c r="GY701" s="64"/>
      <c r="GZ701" s="64"/>
      <c r="HA701" s="64"/>
      <c r="HB701" s="64"/>
      <c r="HC701" s="64"/>
      <c r="HD701" s="64"/>
      <c r="HE701" s="64"/>
      <c r="HF701" s="64"/>
      <c r="HG701" s="64"/>
      <c r="HH701" s="64"/>
      <c r="HI701" s="64"/>
      <c r="HJ701" s="64"/>
      <c r="HK701" s="64"/>
      <c r="HL701" s="64"/>
      <c r="HM701" s="64"/>
      <c r="HN701" s="64"/>
      <c r="HO701" s="64"/>
      <c r="HP701" s="64"/>
      <c r="HQ701" s="64"/>
      <c r="HR701" s="64"/>
      <c r="HS701" s="64"/>
      <c r="HT701" s="64"/>
      <c r="HU701" s="64"/>
      <c r="HV701" s="64"/>
      <c r="HW701" s="64"/>
      <c r="HX701" s="64"/>
      <c r="HY701" s="64"/>
      <c r="HZ701" s="64"/>
      <c r="IA701" s="64"/>
      <c r="IB701" s="64"/>
      <c r="IC701" s="64"/>
      <c r="ID701" s="64"/>
      <c r="IE701" s="64"/>
      <c r="IF701" s="64"/>
      <c r="IG701" s="64"/>
      <c r="IH701" s="64"/>
      <c r="II701" s="64"/>
      <c r="IJ701" s="64"/>
      <c r="IK701" s="64"/>
      <c r="IL701" s="64"/>
      <c r="IM701" s="64"/>
      <c r="IN701" s="64"/>
      <c r="IO701" s="64"/>
      <c r="IP701" s="64"/>
      <c r="IQ701" s="64"/>
      <c r="IR701" s="64"/>
      <c r="IS701" s="64"/>
      <c r="IT701" s="64"/>
      <c r="IU701" s="64"/>
      <c r="IV701" s="64"/>
      <c r="IW701" s="64"/>
      <c r="IX701" s="64"/>
      <c r="IY701" s="64"/>
      <c r="IZ701" s="64"/>
      <c r="JA701" s="64"/>
      <c r="JB701" s="64"/>
      <c r="JC701" s="64"/>
      <c r="JD701" s="64"/>
      <c r="JE701" s="64"/>
      <c r="JF701" s="64"/>
      <c r="JG701" s="64"/>
      <c r="JH701" s="64"/>
      <c r="JI701" s="64"/>
      <c r="JJ701" s="64"/>
      <c r="JK701" s="64"/>
      <c r="JL701" s="64"/>
      <c r="JM701" s="64"/>
      <c r="JN701" s="64"/>
      <c r="JO701" s="64"/>
      <c r="JP701" s="64"/>
      <c r="JQ701" s="64"/>
      <c r="JR701" s="64"/>
      <c r="JS701" s="64"/>
      <c r="JT701" s="64"/>
      <c r="JU701" s="64"/>
      <c r="JV701" s="64"/>
      <c r="JW701" s="64"/>
      <c r="JX701" s="64"/>
      <c r="JY701" s="64"/>
      <c r="JZ701" s="64"/>
      <c r="KA701" s="64"/>
      <c r="KB701" s="64"/>
      <c r="KC701" s="64"/>
      <c r="KD701" s="64"/>
      <c r="KE701" s="64"/>
      <c r="KF701" s="64"/>
      <c r="KG701" s="64"/>
      <c r="KH701" s="64"/>
      <c r="KI701" s="64"/>
      <c r="KJ701" s="64"/>
      <c r="KK701" s="64"/>
      <c r="KL701" s="64"/>
      <c r="KM701" s="64"/>
      <c r="KN701" s="64"/>
      <c r="KO701" s="64"/>
      <c r="KP701" s="64"/>
      <c r="KQ701" s="64"/>
      <c r="KR701" s="64"/>
      <c r="KS701" s="64"/>
      <c r="KT701" s="64"/>
      <c r="KU701" s="64"/>
      <c r="KV701" s="64"/>
      <c r="KW701" s="64"/>
      <c r="KX701" s="64"/>
      <c r="KY701" s="64"/>
      <c r="KZ701" s="64"/>
      <c r="LA701" s="64"/>
      <c r="LB701" s="64"/>
      <c r="LC701" s="64"/>
      <c r="LD701" s="64"/>
      <c r="LE701" s="64"/>
      <c r="LF701" s="64"/>
      <c r="LG701" s="64"/>
      <c r="LH701" s="64"/>
      <c r="LI701" s="64"/>
      <c r="LJ701" s="64"/>
      <c r="LK701" s="64"/>
      <c r="LL701" s="64"/>
      <c r="LM701" s="64"/>
      <c r="LN701" s="64"/>
      <c r="LO701" s="64"/>
      <c r="LP701" s="64"/>
      <c r="LQ701" s="64"/>
      <c r="LR701" s="64"/>
      <c r="LS701" s="64"/>
      <c r="LT701" s="64"/>
      <c r="LU701" s="64"/>
      <c r="LV701" s="64"/>
      <c r="LW701" s="64"/>
      <c r="LX701" s="64"/>
      <c r="LY701" s="64"/>
      <c r="LZ701" s="64"/>
      <c r="MA701" s="64"/>
      <c r="MB701" s="64"/>
      <c r="MC701" s="64"/>
      <c r="MD701" s="64"/>
      <c r="ME701" s="64"/>
      <c r="MF701" s="64"/>
      <c r="MG701" s="64"/>
      <c r="MH701" s="64"/>
      <c r="MI701" s="64"/>
      <c r="MJ701" s="64"/>
      <c r="MK701" s="64"/>
      <c r="ML701" s="64"/>
      <c r="MM701" s="64"/>
      <c r="MN701" s="64"/>
      <c r="MO701" s="64"/>
      <c r="MP701" s="64"/>
      <c r="MQ701" s="64"/>
      <c r="MR701" s="64"/>
      <c r="MS701" s="64"/>
      <c r="MT701" s="64"/>
      <c r="MU701" s="64"/>
      <c r="MV701" s="64"/>
      <c r="MW701" s="64"/>
      <c r="MX701" s="64"/>
      <c r="MY701" s="64"/>
      <c r="MZ701" s="64"/>
      <c r="NA701" s="64"/>
      <c r="NB701" s="64"/>
      <c r="NC701" s="64"/>
      <c r="ND701" s="64"/>
      <c r="NE701" s="64"/>
      <c r="NF701" s="64"/>
      <c r="NG701" s="64"/>
      <c r="NH701" s="64"/>
      <c r="NI701" s="64"/>
      <c r="NJ701" s="64"/>
      <c r="NK701" s="64"/>
      <c r="NL701" s="64"/>
      <c r="NM701" s="64"/>
      <c r="NN701" s="64"/>
      <c r="NO701" s="64"/>
      <c r="NP701" s="64"/>
      <c r="NQ701" s="64"/>
      <c r="NR701" s="64"/>
      <c r="NS701" s="64"/>
      <c r="NT701" s="64"/>
      <c r="NU701" s="64"/>
      <c r="NV701" s="64"/>
      <c r="NW701" s="64"/>
      <c r="NX701" s="64"/>
      <c r="NY701" s="64"/>
      <c r="NZ701" s="64"/>
      <c r="OA701" s="64"/>
      <c r="OB701" s="64"/>
      <c r="OC701" s="64"/>
      <c r="OD701" s="64"/>
      <c r="OE701" s="64"/>
      <c r="OF701" s="64"/>
      <c r="OG701" s="64"/>
      <c r="OH701" s="64"/>
      <c r="OI701" s="64"/>
      <c r="OJ701" s="64"/>
      <c r="OK701" s="64"/>
      <c r="OL701" s="64"/>
      <c r="OM701" s="64"/>
      <c r="ON701" s="64"/>
      <c r="OO701" s="64"/>
      <c r="OP701" s="64"/>
      <c r="OQ701" s="64"/>
      <c r="OR701" s="64"/>
      <c r="OS701" s="64"/>
      <c r="OT701" s="64"/>
      <c r="OU701" s="64"/>
      <c r="OV701" s="64"/>
      <c r="OW701" s="64"/>
      <c r="OX701" s="64"/>
      <c r="OY701" s="64"/>
      <c r="OZ701" s="64"/>
      <c r="PA701" s="64"/>
      <c r="PB701" s="64"/>
      <c r="PC701" s="64"/>
      <c r="PD701" s="64"/>
      <c r="PE701" s="64"/>
      <c r="PF701" s="64"/>
      <c r="PG701" s="64"/>
      <c r="PH701" s="64"/>
      <c r="PI701" s="64"/>
    </row>
    <row r="702" spans="1:425" s="85" customFormat="1">
      <c r="A702" s="70"/>
      <c r="B702" s="70"/>
      <c r="C702" s="270" t="s">
        <v>1236</v>
      </c>
      <c r="D702" s="271"/>
      <c r="E702" s="271"/>
      <c r="F702" s="271"/>
      <c r="G702" s="271"/>
      <c r="H702" s="271"/>
      <c r="I702" s="271"/>
      <c r="J702" s="271"/>
      <c r="K702" s="271"/>
      <c r="L702" s="271"/>
      <c r="M702" s="272"/>
      <c r="N702" s="9" t="s">
        <v>1237</v>
      </c>
      <c r="O702" s="106">
        <f>VLOOKUP(N702,Casilleros!$A$4:$Q$830,16,FALSE)</f>
        <v>0</v>
      </c>
      <c r="P702" s="67"/>
      <c r="Q702" s="67"/>
      <c r="R702" s="67"/>
      <c r="S702" s="61" t="str">
        <f t="shared" si="134"/>
        <v>037</v>
      </c>
      <c r="T702" s="64" t="str">
        <f t="shared" ref="T702:T765" si="136">IF(A702&lt;&gt;"",A702,T701)</f>
        <v>CONCILIACIÓN TRIBUTARIA</v>
      </c>
      <c r="U702" s="64" t="str">
        <f t="shared" ref="U702:U765" si="137">IF(T701&lt;&gt;T702,"",(IF(B702&lt;&gt;"",B702,U701)))</f>
        <v>_</v>
      </c>
      <c r="V702" s="64" t="str">
        <f t="shared" si="129"/>
        <v xml:space="preserve">¿Es una empresa existente con nuevas inversiones productivas que genera empleo neto y debe aplicar la proporcionalidad del Impuesto a la Renta? </v>
      </c>
      <c r="W702" s="64" t="str">
        <f t="shared" si="130"/>
        <v/>
      </c>
      <c r="X702" s="64" t="str">
        <f t="shared" ref="X702:X765" si="138">IF(W701&lt;&gt;W702,"",(IF(E702&lt;&gt;"",E702,X701)))</f>
        <v/>
      </c>
      <c r="Y702" s="64" t="str">
        <f t="shared" ref="Y702:Y765" si="139">IF(X701&lt;&gt;X702,"",(IF(F702&lt;&gt;"",F702,Y701)))</f>
        <v/>
      </c>
      <c r="Z702" s="64" t="str">
        <f t="shared" ref="Z702:Z765" si="140">IF(Y701&lt;&gt;Y702,"",(IF(G702&lt;&gt;"",G702,Z701)))</f>
        <v/>
      </c>
      <c r="AA702" s="64" t="str">
        <f t="shared" si="135"/>
        <v>¿Es una empresa existente con nuevas inversiones productivas que genera empleo neto y debe aplicar la proporcionalidad del Impuesto a la Renta? _</v>
      </c>
      <c r="AB702" s="64"/>
      <c r="AC702" s="64"/>
      <c r="AD702" s="64"/>
      <c r="AE702" s="64"/>
      <c r="AF702" s="64"/>
      <c r="AG702" s="64"/>
      <c r="AH702" s="64"/>
      <c r="AI702" s="64"/>
      <c r="AJ702" s="64"/>
      <c r="AK702" s="64"/>
      <c r="AL702" s="64"/>
      <c r="AM702" s="64"/>
      <c r="AN702" s="64"/>
      <c r="AO702" s="64"/>
      <c r="AP702" s="64"/>
      <c r="AQ702" s="64"/>
      <c r="AR702" s="64"/>
      <c r="AS702" s="64"/>
      <c r="AT702" s="64"/>
      <c r="AU702" s="64"/>
      <c r="AV702" s="64"/>
      <c r="AW702" s="64"/>
      <c r="AX702" s="64"/>
      <c r="AY702" s="64"/>
      <c r="AZ702" s="64"/>
      <c r="BA702" s="64"/>
      <c r="BB702" s="64"/>
      <c r="BC702" s="64"/>
      <c r="BD702" s="64"/>
      <c r="BE702" s="64"/>
      <c r="BF702" s="64"/>
      <c r="BG702" s="64"/>
      <c r="BH702" s="64"/>
      <c r="BI702" s="64"/>
      <c r="BJ702" s="64"/>
      <c r="BK702" s="64"/>
      <c r="BL702" s="64"/>
      <c r="BM702" s="64"/>
      <c r="BN702" s="64"/>
      <c r="BO702" s="64"/>
      <c r="BP702" s="64"/>
      <c r="BQ702" s="64"/>
      <c r="BR702" s="64"/>
      <c r="BS702" s="64"/>
      <c r="BT702" s="64"/>
      <c r="BU702" s="64"/>
      <c r="BV702" s="64"/>
      <c r="BW702" s="64"/>
      <c r="BX702" s="64"/>
      <c r="BY702" s="64"/>
      <c r="BZ702" s="64"/>
      <c r="CA702" s="64"/>
      <c r="CB702" s="64"/>
      <c r="CC702" s="64"/>
      <c r="CD702" s="64"/>
      <c r="CE702" s="64"/>
      <c r="CF702" s="64"/>
      <c r="CG702" s="64"/>
      <c r="CH702" s="64"/>
      <c r="CI702" s="64"/>
      <c r="CJ702" s="64"/>
      <c r="CK702" s="64"/>
      <c r="CL702" s="64"/>
      <c r="CM702" s="64"/>
      <c r="CN702" s="64"/>
      <c r="CO702" s="64"/>
      <c r="CP702" s="64"/>
      <c r="CQ702" s="64"/>
      <c r="CR702" s="64"/>
      <c r="CS702" s="64"/>
      <c r="CT702" s="64"/>
      <c r="CU702" s="64"/>
      <c r="CV702" s="64"/>
      <c r="CW702" s="64"/>
      <c r="CX702" s="64"/>
      <c r="CY702" s="64"/>
      <c r="CZ702" s="64"/>
      <c r="DA702" s="64"/>
      <c r="DB702" s="64"/>
      <c r="DC702" s="64"/>
      <c r="DD702" s="64"/>
      <c r="DE702" s="64"/>
      <c r="DF702" s="64"/>
      <c r="DG702" s="64"/>
      <c r="DH702" s="64"/>
      <c r="DI702" s="64"/>
      <c r="DJ702" s="64"/>
      <c r="DK702" s="64"/>
      <c r="DL702" s="64"/>
      <c r="DM702" s="64"/>
      <c r="DN702" s="64"/>
      <c r="DO702" s="64"/>
      <c r="DP702" s="64"/>
      <c r="DQ702" s="64"/>
      <c r="DR702" s="64"/>
      <c r="DS702" s="64"/>
      <c r="DT702" s="64"/>
      <c r="DU702" s="64"/>
      <c r="DV702" s="64"/>
      <c r="DW702" s="64"/>
      <c r="DX702" s="64"/>
      <c r="DY702" s="64"/>
      <c r="DZ702" s="64"/>
      <c r="EA702" s="64"/>
      <c r="EB702" s="64"/>
      <c r="EC702" s="64"/>
      <c r="ED702" s="64"/>
      <c r="EE702" s="64"/>
      <c r="EF702" s="64"/>
      <c r="EG702" s="64"/>
      <c r="EH702" s="64"/>
      <c r="EI702" s="64"/>
      <c r="EJ702" s="64"/>
      <c r="EK702" s="64"/>
      <c r="EL702" s="64"/>
      <c r="EM702" s="64"/>
      <c r="EN702" s="64"/>
      <c r="EO702" s="64"/>
      <c r="EP702" s="64"/>
      <c r="EQ702" s="64"/>
      <c r="ER702" s="64"/>
      <c r="ES702" s="64"/>
      <c r="ET702" s="64"/>
      <c r="EU702" s="64"/>
      <c r="EV702" s="64"/>
      <c r="EW702" s="64"/>
      <c r="EX702" s="64"/>
      <c r="EY702" s="64"/>
      <c r="EZ702" s="64"/>
      <c r="FA702" s="64"/>
      <c r="FB702" s="64"/>
      <c r="FC702" s="64"/>
      <c r="FD702" s="64"/>
      <c r="FE702" s="64"/>
      <c r="FF702" s="64"/>
      <c r="FG702" s="64"/>
      <c r="FH702" s="64"/>
      <c r="FI702" s="64"/>
      <c r="FJ702" s="64"/>
      <c r="FK702" s="64"/>
      <c r="FL702" s="64"/>
      <c r="FM702" s="64"/>
      <c r="FN702" s="64"/>
      <c r="FO702" s="64"/>
      <c r="FP702" s="64"/>
      <c r="FQ702" s="64"/>
      <c r="FR702" s="64"/>
      <c r="FS702" s="64"/>
      <c r="FT702" s="64"/>
      <c r="FU702" s="64"/>
      <c r="FV702" s="64"/>
      <c r="FW702" s="64"/>
      <c r="FX702" s="64"/>
      <c r="FY702" s="64"/>
      <c r="FZ702" s="64"/>
      <c r="GA702" s="64"/>
      <c r="GB702" s="64"/>
      <c r="GC702" s="64"/>
      <c r="GD702" s="64"/>
      <c r="GE702" s="64"/>
      <c r="GF702" s="64"/>
      <c r="GG702" s="64"/>
      <c r="GH702" s="64"/>
      <c r="GI702" s="64"/>
      <c r="GJ702" s="64"/>
      <c r="GK702" s="64"/>
      <c r="GL702" s="64"/>
      <c r="GM702" s="64"/>
      <c r="GN702" s="64"/>
      <c r="GO702" s="64"/>
      <c r="GP702" s="64"/>
      <c r="GQ702" s="64"/>
      <c r="GR702" s="64"/>
      <c r="GS702" s="64"/>
      <c r="GT702" s="64"/>
      <c r="GU702" s="64"/>
      <c r="GV702" s="64"/>
      <c r="GW702" s="64"/>
      <c r="GX702" s="64"/>
      <c r="GY702" s="64"/>
      <c r="GZ702" s="64"/>
      <c r="HA702" s="64"/>
      <c r="HB702" s="64"/>
      <c r="HC702" s="64"/>
      <c r="HD702" s="64"/>
      <c r="HE702" s="64"/>
      <c r="HF702" s="64"/>
      <c r="HG702" s="64"/>
      <c r="HH702" s="64"/>
      <c r="HI702" s="64"/>
      <c r="HJ702" s="64"/>
      <c r="HK702" s="64"/>
      <c r="HL702" s="64"/>
      <c r="HM702" s="64"/>
      <c r="HN702" s="64"/>
      <c r="HO702" s="64"/>
      <c r="HP702" s="64"/>
      <c r="HQ702" s="64"/>
      <c r="HR702" s="64"/>
      <c r="HS702" s="64"/>
      <c r="HT702" s="64"/>
      <c r="HU702" s="64"/>
      <c r="HV702" s="64"/>
      <c r="HW702" s="64"/>
      <c r="HX702" s="64"/>
      <c r="HY702" s="64"/>
      <c r="HZ702" s="64"/>
      <c r="IA702" s="64"/>
      <c r="IB702" s="64"/>
      <c r="IC702" s="64"/>
      <c r="ID702" s="64"/>
      <c r="IE702" s="64"/>
      <c r="IF702" s="64"/>
      <c r="IG702" s="64"/>
      <c r="IH702" s="64"/>
      <c r="II702" s="64"/>
      <c r="IJ702" s="64"/>
      <c r="IK702" s="64"/>
      <c r="IL702" s="64"/>
      <c r="IM702" s="64"/>
      <c r="IN702" s="64"/>
      <c r="IO702" s="64"/>
      <c r="IP702" s="64"/>
      <c r="IQ702" s="64"/>
      <c r="IR702" s="64"/>
      <c r="IS702" s="64"/>
      <c r="IT702" s="64"/>
      <c r="IU702" s="64"/>
      <c r="IV702" s="64"/>
      <c r="IW702" s="64"/>
      <c r="IX702" s="64"/>
      <c r="IY702" s="64"/>
      <c r="IZ702" s="64"/>
      <c r="JA702" s="64"/>
      <c r="JB702" s="64"/>
      <c r="JC702" s="64"/>
      <c r="JD702" s="64"/>
      <c r="JE702" s="64"/>
      <c r="JF702" s="64"/>
      <c r="JG702" s="64"/>
      <c r="JH702" s="64"/>
      <c r="JI702" s="64"/>
      <c r="JJ702" s="64"/>
      <c r="JK702" s="64"/>
      <c r="JL702" s="64"/>
      <c r="JM702" s="64"/>
      <c r="JN702" s="64"/>
      <c r="JO702" s="64"/>
      <c r="JP702" s="64"/>
      <c r="JQ702" s="64"/>
      <c r="JR702" s="64"/>
      <c r="JS702" s="64"/>
      <c r="JT702" s="64"/>
      <c r="JU702" s="64"/>
      <c r="JV702" s="64"/>
      <c r="JW702" s="64"/>
      <c r="JX702" s="64"/>
      <c r="JY702" s="64"/>
      <c r="JZ702" s="64"/>
      <c r="KA702" s="64"/>
      <c r="KB702" s="64"/>
      <c r="KC702" s="64"/>
      <c r="KD702" s="64"/>
      <c r="KE702" s="64"/>
      <c r="KF702" s="64"/>
      <c r="KG702" s="64"/>
      <c r="KH702" s="64"/>
      <c r="KI702" s="64"/>
      <c r="KJ702" s="64"/>
      <c r="KK702" s="64"/>
      <c r="KL702" s="64"/>
      <c r="KM702" s="64"/>
      <c r="KN702" s="64"/>
      <c r="KO702" s="64"/>
      <c r="KP702" s="64"/>
      <c r="KQ702" s="64"/>
      <c r="KR702" s="64"/>
      <c r="KS702" s="64"/>
      <c r="KT702" s="64"/>
      <c r="KU702" s="64"/>
      <c r="KV702" s="64"/>
      <c r="KW702" s="64"/>
      <c r="KX702" s="64"/>
      <c r="KY702" s="64"/>
      <c r="KZ702" s="64"/>
      <c r="LA702" s="64"/>
      <c r="LB702" s="64"/>
      <c r="LC702" s="64"/>
      <c r="LD702" s="64"/>
      <c r="LE702" s="64"/>
      <c r="LF702" s="64"/>
      <c r="LG702" s="64"/>
      <c r="LH702" s="64"/>
      <c r="LI702" s="64"/>
      <c r="LJ702" s="64"/>
      <c r="LK702" s="64"/>
      <c r="LL702" s="64"/>
      <c r="LM702" s="64"/>
      <c r="LN702" s="64"/>
      <c r="LO702" s="64"/>
      <c r="LP702" s="64"/>
      <c r="LQ702" s="64"/>
      <c r="LR702" s="64"/>
      <c r="LS702" s="64"/>
      <c r="LT702" s="64"/>
      <c r="LU702" s="64"/>
      <c r="LV702" s="64"/>
      <c r="LW702" s="64"/>
      <c r="LX702" s="64"/>
      <c r="LY702" s="64"/>
      <c r="LZ702" s="64"/>
      <c r="MA702" s="64"/>
      <c r="MB702" s="64"/>
      <c r="MC702" s="64"/>
      <c r="MD702" s="64"/>
      <c r="ME702" s="64"/>
      <c r="MF702" s="64"/>
      <c r="MG702" s="64"/>
      <c r="MH702" s="64"/>
      <c r="MI702" s="64"/>
      <c r="MJ702" s="64"/>
      <c r="MK702" s="64"/>
      <c r="ML702" s="64"/>
      <c r="MM702" s="64"/>
      <c r="MN702" s="64"/>
      <c r="MO702" s="64"/>
      <c r="MP702" s="64"/>
      <c r="MQ702" s="64"/>
      <c r="MR702" s="64"/>
      <c r="MS702" s="64"/>
      <c r="MT702" s="64"/>
      <c r="MU702" s="64"/>
      <c r="MV702" s="64"/>
      <c r="MW702" s="64"/>
      <c r="MX702" s="64"/>
      <c r="MY702" s="64"/>
      <c r="MZ702" s="64"/>
      <c r="NA702" s="64"/>
      <c r="NB702" s="64"/>
      <c r="NC702" s="64"/>
      <c r="ND702" s="64"/>
      <c r="NE702" s="64"/>
      <c r="NF702" s="64"/>
      <c r="NG702" s="64"/>
      <c r="NH702" s="64"/>
      <c r="NI702" s="64"/>
      <c r="NJ702" s="64"/>
      <c r="NK702" s="64"/>
      <c r="NL702" s="64"/>
      <c r="NM702" s="64"/>
      <c r="NN702" s="64"/>
      <c r="NO702" s="64"/>
      <c r="NP702" s="64"/>
      <c r="NQ702" s="64"/>
      <c r="NR702" s="64"/>
      <c r="NS702" s="64"/>
      <c r="NT702" s="64"/>
      <c r="NU702" s="64"/>
      <c r="NV702" s="64"/>
      <c r="NW702" s="64"/>
      <c r="NX702" s="64"/>
      <c r="NY702" s="64"/>
      <c r="NZ702" s="64"/>
      <c r="OA702" s="64"/>
      <c r="OB702" s="64"/>
      <c r="OC702" s="64"/>
      <c r="OD702" s="64"/>
      <c r="OE702" s="64"/>
      <c r="OF702" s="64"/>
      <c r="OG702" s="64"/>
      <c r="OH702" s="64"/>
      <c r="OI702" s="64"/>
      <c r="OJ702" s="64"/>
      <c r="OK702" s="64"/>
      <c r="OL702" s="64"/>
      <c r="OM702" s="64"/>
      <c r="ON702" s="64"/>
      <c r="OO702" s="64"/>
      <c r="OP702" s="64"/>
      <c r="OQ702" s="64"/>
      <c r="OR702" s="64"/>
      <c r="OS702" s="64"/>
      <c r="OT702" s="64"/>
      <c r="OU702" s="64"/>
      <c r="OV702" s="64"/>
      <c r="OW702" s="64"/>
      <c r="OX702" s="64"/>
      <c r="OY702" s="64"/>
      <c r="OZ702" s="64"/>
      <c r="PA702" s="64"/>
      <c r="PB702" s="64"/>
      <c r="PC702" s="64"/>
      <c r="PD702" s="64"/>
      <c r="PE702" s="64"/>
      <c r="PF702" s="64"/>
      <c r="PG702" s="64"/>
      <c r="PH702" s="64"/>
      <c r="PI702" s="64"/>
    </row>
    <row r="703" spans="1:425" s="85" customFormat="1">
      <c r="A703" s="70"/>
      <c r="B703" s="70"/>
      <c r="C703" s="270" t="s">
        <v>1238</v>
      </c>
      <c r="D703" s="271"/>
      <c r="E703" s="271"/>
      <c r="F703" s="271"/>
      <c r="G703" s="271"/>
      <c r="H703" s="271"/>
      <c r="I703" s="271"/>
      <c r="J703" s="271"/>
      <c r="K703" s="271"/>
      <c r="L703" s="271"/>
      <c r="M703" s="272"/>
      <c r="N703" s="9" t="s">
        <v>1239</v>
      </c>
      <c r="O703" s="110">
        <f>VLOOKUP(N703,Casilleros!$A$4:$Q$830,16,FALSE)</f>
        <v>0</v>
      </c>
      <c r="P703" s="67"/>
      <c r="Q703" s="67"/>
      <c r="R703" s="67"/>
      <c r="S703" s="61" t="str">
        <f t="shared" si="134"/>
        <v>038</v>
      </c>
      <c r="T703" s="64" t="str">
        <f t="shared" si="136"/>
        <v>CONCILIACIÓN TRIBUTARIA</v>
      </c>
      <c r="U703" s="64" t="str">
        <f t="shared" si="137"/>
        <v>_</v>
      </c>
      <c r="V703" s="64" t="str">
        <f t="shared" si="129"/>
        <v xml:space="preserve">Porcentaje de reducción de tarifa aplicable en el caso de empresas existentes con nuevas inversiones productivas  que genera empleo neto </v>
      </c>
      <c r="W703" s="64" t="str">
        <f t="shared" si="130"/>
        <v/>
      </c>
      <c r="X703" s="64" t="str">
        <f t="shared" si="138"/>
        <v/>
      </c>
      <c r="Y703" s="64" t="str">
        <f t="shared" si="139"/>
        <v/>
      </c>
      <c r="Z703" s="64" t="str">
        <f t="shared" si="140"/>
        <v/>
      </c>
      <c r="AA703" s="64" t="str">
        <f t="shared" si="135"/>
        <v>Porcentaje de reducción de tarifa aplicable en el caso de empresas existentes con nuevas inversiones productivas  que genera empleo neto _</v>
      </c>
      <c r="AB703" s="64"/>
      <c r="AC703" s="64"/>
      <c r="AD703" s="64"/>
      <c r="AE703" s="64"/>
      <c r="AF703" s="64"/>
      <c r="AG703" s="64"/>
      <c r="AH703" s="64"/>
      <c r="AI703" s="64"/>
      <c r="AJ703" s="64"/>
      <c r="AK703" s="64"/>
      <c r="AL703" s="64"/>
      <c r="AM703" s="64"/>
      <c r="AN703" s="64"/>
      <c r="AO703" s="64"/>
      <c r="AP703" s="64"/>
      <c r="AQ703" s="64"/>
      <c r="AR703" s="64"/>
      <c r="AS703" s="64"/>
      <c r="AT703" s="64"/>
      <c r="AU703" s="64"/>
      <c r="AV703" s="64"/>
      <c r="AW703" s="64"/>
      <c r="AX703" s="64"/>
      <c r="AY703" s="64"/>
      <c r="AZ703" s="64"/>
      <c r="BA703" s="64"/>
      <c r="BB703" s="64"/>
      <c r="BC703" s="64"/>
      <c r="BD703" s="64"/>
      <c r="BE703" s="64"/>
      <c r="BF703" s="64"/>
      <c r="BG703" s="64"/>
      <c r="BH703" s="64"/>
      <c r="BI703" s="64"/>
      <c r="BJ703" s="64"/>
      <c r="BK703" s="64"/>
      <c r="BL703" s="64"/>
      <c r="BM703" s="64"/>
      <c r="BN703" s="64"/>
      <c r="BO703" s="64"/>
      <c r="BP703" s="64"/>
      <c r="BQ703" s="64"/>
      <c r="BR703" s="64"/>
      <c r="BS703" s="64"/>
      <c r="BT703" s="64"/>
      <c r="BU703" s="64"/>
      <c r="BV703" s="64"/>
      <c r="BW703" s="64"/>
      <c r="BX703" s="64"/>
      <c r="BY703" s="64"/>
      <c r="BZ703" s="64"/>
      <c r="CA703" s="64"/>
      <c r="CB703" s="64"/>
      <c r="CC703" s="64"/>
      <c r="CD703" s="64"/>
      <c r="CE703" s="64"/>
      <c r="CF703" s="64"/>
      <c r="CG703" s="64"/>
      <c r="CH703" s="64"/>
      <c r="CI703" s="64"/>
      <c r="CJ703" s="64"/>
      <c r="CK703" s="64"/>
      <c r="CL703" s="64"/>
      <c r="CM703" s="64"/>
      <c r="CN703" s="64"/>
      <c r="CO703" s="64"/>
      <c r="CP703" s="64"/>
      <c r="CQ703" s="64"/>
      <c r="CR703" s="64"/>
      <c r="CS703" s="64"/>
      <c r="CT703" s="64"/>
      <c r="CU703" s="64"/>
      <c r="CV703" s="64"/>
      <c r="CW703" s="64"/>
      <c r="CX703" s="64"/>
      <c r="CY703" s="64"/>
      <c r="CZ703" s="64"/>
      <c r="DA703" s="64"/>
      <c r="DB703" s="64"/>
      <c r="DC703" s="64"/>
      <c r="DD703" s="64"/>
      <c r="DE703" s="64"/>
      <c r="DF703" s="64"/>
      <c r="DG703" s="64"/>
      <c r="DH703" s="64"/>
      <c r="DI703" s="64"/>
      <c r="DJ703" s="64"/>
      <c r="DK703" s="64"/>
      <c r="DL703" s="64"/>
      <c r="DM703" s="64"/>
      <c r="DN703" s="64"/>
      <c r="DO703" s="64"/>
      <c r="DP703" s="64"/>
      <c r="DQ703" s="64"/>
      <c r="DR703" s="64"/>
      <c r="DS703" s="64"/>
      <c r="DT703" s="64"/>
      <c r="DU703" s="64"/>
      <c r="DV703" s="64"/>
      <c r="DW703" s="64"/>
      <c r="DX703" s="64"/>
      <c r="DY703" s="64"/>
      <c r="DZ703" s="64"/>
      <c r="EA703" s="64"/>
      <c r="EB703" s="64"/>
      <c r="EC703" s="64"/>
      <c r="ED703" s="64"/>
      <c r="EE703" s="64"/>
      <c r="EF703" s="64"/>
      <c r="EG703" s="64"/>
      <c r="EH703" s="64"/>
      <c r="EI703" s="64"/>
      <c r="EJ703" s="64"/>
      <c r="EK703" s="64"/>
      <c r="EL703" s="64"/>
      <c r="EM703" s="64"/>
      <c r="EN703" s="64"/>
      <c r="EO703" s="64"/>
      <c r="EP703" s="64"/>
      <c r="EQ703" s="64"/>
      <c r="ER703" s="64"/>
      <c r="ES703" s="64"/>
      <c r="ET703" s="64"/>
      <c r="EU703" s="64"/>
      <c r="EV703" s="64"/>
      <c r="EW703" s="64"/>
      <c r="EX703" s="64"/>
      <c r="EY703" s="64"/>
      <c r="EZ703" s="64"/>
      <c r="FA703" s="64"/>
      <c r="FB703" s="64"/>
      <c r="FC703" s="64"/>
      <c r="FD703" s="64"/>
      <c r="FE703" s="64"/>
      <c r="FF703" s="64"/>
      <c r="FG703" s="64"/>
      <c r="FH703" s="64"/>
      <c r="FI703" s="64"/>
      <c r="FJ703" s="64"/>
      <c r="FK703" s="64"/>
      <c r="FL703" s="64"/>
      <c r="FM703" s="64"/>
      <c r="FN703" s="64"/>
      <c r="FO703" s="64"/>
      <c r="FP703" s="64"/>
      <c r="FQ703" s="64"/>
      <c r="FR703" s="64"/>
      <c r="FS703" s="64"/>
      <c r="FT703" s="64"/>
      <c r="FU703" s="64"/>
      <c r="FV703" s="64"/>
      <c r="FW703" s="64"/>
      <c r="FX703" s="64"/>
      <c r="FY703" s="64"/>
      <c r="FZ703" s="64"/>
      <c r="GA703" s="64"/>
      <c r="GB703" s="64"/>
      <c r="GC703" s="64"/>
      <c r="GD703" s="64"/>
      <c r="GE703" s="64"/>
      <c r="GF703" s="64"/>
      <c r="GG703" s="64"/>
      <c r="GH703" s="64"/>
      <c r="GI703" s="64"/>
      <c r="GJ703" s="64"/>
      <c r="GK703" s="64"/>
      <c r="GL703" s="64"/>
      <c r="GM703" s="64"/>
      <c r="GN703" s="64"/>
      <c r="GO703" s="64"/>
      <c r="GP703" s="64"/>
      <c r="GQ703" s="64"/>
      <c r="GR703" s="64"/>
      <c r="GS703" s="64"/>
      <c r="GT703" s="64"/>
      <c r="GU703" s="64"/>
      <c r="GV703" s="64"/>
      <c r="GW703" s="64"/>
      <c r="GX703" s="64"/>
      <c r="GY703" s="64"/>
      <c r="GZ703" s="64"/>
      <c r="HA703" s="64"/>
      <c r="HB703" s="64"/>
      <c r="HC703" s="64"/>
      <c r="HD703" s="64"/>
      <c r="HE703" s="64"/>
      <c r="HF703" s="64"/>
      <c r="HG703" s="64"/>
      <c r="HH703" s="64"/>
      <c r="HI703" s="64"/>
      <c r="HJ703" s="64"/>
      <c r="HK703" s="64"/>
      <c r="HL703" s="64"/>
      <c r="HM703" s="64"/>
      <c r="HN703" s="64"/>
      <c r="HO703" s="64"/>
      <c r="HP703" s="64"/>
      <c r="HQ703" s="64"/>
      <c r="HR703" s="64"/>
      <c r="HS703" s="64"/>
      <c r="HT703" s="64"/>
      <c r="HU703" s="64"/>
      <c r="HV703" s="64"/>
      <c r="HW703" s="64"/>
      <c r="HX703" s="64"/>
      <c r="HY703" s="64"/>
      <c r="HZ703" s="64"/>
      <c r="IA703" s="64"/>
      <c r="IB703" s="64"/>
      <c r="IC703" s="64"/>
      <c r="ID703" s="64"/>
      <c r="IE703" s="64"/>
      <c r="IF703" s="64"/>
      <c r="IG703" s="64"/>
      <c r="IH703" s="64"/>
      <c r="II703" s="64"/>
      <c r="IJ703" s="64"/>
      <c r="IK703" s="64"/>
      <c r="IL703" s="64"/>
      <c r="IM703" s="64"/>
      <c r="IN703" s="64"/>
      <c r="IO703" s="64"/>
      <c r="IP703" s="64"/>
      <c r="IQ703" s="64"/>
      <c r="IR703" s="64"/>
      <c r="IS703" s="64"/>
      <c r="IT703" s="64"/>
      <c r="IU703" s="64"/>
      <c r="IV703" s="64"/>
      <c r="IW703" s="64"/>
      <c r="IX703" s="64"/>
      <c r="IY703" s="64"/>
      <c r="IZ703" s="64"/>
      <c r="JA703" s="64"/>
      <c r="JB703" s="64"/>
      <c r="JC703" s="64"/>
      <c r="JD703" s="64"/>
      <c r="JE703" s="64"/>
      <c r="JF703" s="64"/>
      <c r="JG703" s="64"/>
      <c r="JH703" s="64"/>
      <c r="JI703" s="64"/>
      <c r="JJ703" s="64"/>
      <c r="JK703" s="64"/>
      <c r="JL703" s="64"/>
      <c r="JM703" s="64"/>
      <c r="JN703" s="64"/>
      <c r="JO703" s="64"/>
      <c r="JP703" s="64"/>
      <c r="JQ703" s="64"/>
      <c r="JR703" s="64"/>
      <c r="JS703" s="64"/>
      <c r="JT703" s="64"/>
      <c r="JU703" s="64"/>
      <c r="JV703" s="64"/>
      <c r="JW703" s="64"/>
      <c r="JX703" s="64"/>
      <c r="JY703" s="64"/>
      <c r="JZ703" s="64"/>
      <c r="KA703" s="64"/>
      <c r="KB703" s="64"/>
      <c r="KC703" s="64"/>
      <c r="KD703" s="64"/>
      <c r="KE703" s="64"/>
      <c r="KF703" s="64"/>
      <c r="KG703" s="64"/>
      <c r="KH703" s="64"/>
      <c r="KI703" s="64"/>
      <c r="KJ703" s="64"/>
      <c r="KK703" s="64"/>
      <c r="KL703" s="64"/>
      <c r="KM703" s="64"/>
      <c r="KN703" s="64"/>
      <c r="KO703" s="64"/>
      <c r="KP703" s="64"/>
      <c r="KQ703" s="64"/>
      <c r="KR703" s="64"/>
      <c r="KS703" s="64"/>
      <c r="KT703" s="64"/>
      <c r="KU703" s="64"/>
      <c r="KV703" s="64"/>
      <c r="KW703" s="64"/>
      <c r="KX703" s="64"/>
      <c r="KY703" s="64"/>
      <c r="KZ703" s="64"/>
      <c r="LA703" s="64"/>
      <c r="LB703" s="64"/>
      <c r="LC703" s="64"/>
      <c r="LD703" s="64"/>
      <c r="LE703" s="64"/>
      <c r="LF703" s="64"/>
      <c r="LG703" s="64"/>
      <c r="LH703" s="64"/>
      <c r="LI703" s="64"/>
      <c r="LJ703" s="64"/>
      <c r="LK703" s="64"/>
      <c r="LL703" s="64"/>
      <c r="LM703" s="64"/>
      <c r="LN703" s="64"/>
      <c r="LO703" s="64"/>
      <c r="LP703" s="64"/>
      <c r="LQ703" s="64"/>
      <c r="LR703" s="64"/>
      <c r="LS703" s="64"/>
      <c r="LT703" s="64"/>
      <c r="LU703" s="64"/>
      <c r="LV703" s="64"/>
      <c r="LW703" s="64"/>
      <c r="LX703" s="64"/>
      <c r="LY703" s="64"/>
      <c r="LZ703" s="64"/>
      <c r="MA703" s="64"/>
      <c r="MB703" s="64"/>
      <c r="MC703" s="64"/>
      <c r="MD703" s="64"/>
      <c r="ME703" s="64"/>
      <c r="MF703" s="64"/>
      <c r="MG703" s="64"/>
      <c r="MH703" s="64"/>
      <c r="MI703" s="64"/>
      <c r="MJ703" s="64"/>
      <c r="MK703" s="64"/>
      <c r="ML703" s="64"/>
      <c r="MM703" s="64"/>
      <c r="MN703" s="64"/>
      <c r="MO703" s="64"/>
      <c r="MP703" s="64"/>
      <c r="MQ703" s="64"/>
      <c r="MR703" s="64"/>
      <c r="MS703" s="64"/>
      <c r="MT703" s="64"/>
      <c r="MU703" s="64"/>
      <c r="MV703" s="64"/>
      <c r="MW703" s="64"/>
      <c r="MX703" s="64"/>
      <c r="MY703" s="64"/>
      <c r="MZ703" s="64"/>
      <c r="NA703" s="64"/>
      <c r="NB703" s="64"/>
      <c r="NC703" s="64"/>
      <c r="ND703" s="64"/>
      <c r="NE703" s="64"/>
      <c r="NF703" s="64"/>
      <c r="NG703" s="64"/>
      <c r="NH703" s="64"/>
      <c r="NI703" s="64"/>
      <c r="NJ703" s="64"/>
      <c r="NK703" s="64"/>
      <c r="NL703" s="64"/>
      <c r="NM703" s="64"/>
      <c r="NN703" s="64"/>
      <c r="NO703" s="64"/>
      <c r="NP703" s="64"/>
      <c r="NQ703" s="64"/>
      <c r="NR703" s="64"/>
      <c r="NS703" s="64"/>
      <c r="NT703" s="64"/>
      <c r="NU703" s="64"/>
      <c r="NV703" s="64"/>
      <c r="NW703" s="64"/>
      <c r="NX703" s="64"/>
      <c r="NY703" s="64"/>
      <c r="NZ703" s="64"/>
      <c r="OA703" s="64"/>
      <c r="OB703" s="64"/>
      <c r="OC703" s="64"/>
      <c r="OD703" s="64"/>
      <c r="OE703" s="64"/>
      <c r="OF703" s="64"/>
      <c r="OG703" s="64"/>
      <c r="OH703" s="64"/>
      <c r="OI703" s="64"/>
      <c r="OJ703" s="64"/>
      <c r="OK703" s="64"/>
      <c r="OL703" s="64"/>
      <c r="OM703" s="64"/>
      <c r="ON703" s="64"/>
      <c r="OO703" s="64"/>
      <c r="OP703" s="64"/>
      <c r="OQ703" s="64"/>
      <c r="OR703" s="64"/>
      <c r="OS703" s="64"/>
      <c r="OT703" s="64"/>
      <c r="OU703" s="64"/>
      <c r="OV703" s="64"/>
      <c r="OW703" s="64"/>
      <c r="OX703" s="64"/>
      <c r="OY703" s="64"/>
      <c r="OZ703" s="64"/>
      <c r="PA703" s="64"/>
      <c r="PB703" s="64"/>
      <c r="PC703" s="64"/>
      <c r="PD703" s="64"/>
      <c r="PE703" s="64"/>
      <c r="PF703" s="64"/>
      <c r="PG703" s="64"/>
      <c r="PH703" s="64"/>
      <c r="PI703" s="64"/>
    </row>
    <row r="704" spans="1:425" s="85" customFormat="1">
      <c r="A704" s="89"/>
      <c r="B704" s="89"/>
      <c r="C704" s="273" t="s">
        <v>1240</v>
      </c>
      <c r="D704" s="274"/>
      <c r="E704" s="274"/>
      <c r="F704" s="274"/>
      <c r="G704" s="274"/>
      <c r="H704" s="274"/>
      <c r="I704" s="274"/>
      <c r="J704" s="274"/>
      <c r="K704" s="274"/>
      <c r="L704" s="274"/>
      <c r="M704" s="275"/>
      <c r="N704" s="9" t="s">
        <v>1241</v>
      </c>
      <c r="O704" s="106">
        <f>VLOOKUP(N704,Casilleros!$A$4:$Q$830,16,FALSE)</f>
        <v>0</v>
      </c>
      <c r="P704" s="67"/>
      <c r="Q704" s="67"/>
      <c r="R704" s="67"/>
      <c r="S704" s="61" t="str">
        <f t="shared" si="134"/>
        <v>049</v>
      </c>
      <c r="T704" s="64" t="str">
        <f t="shared" si="136"/>
        <v>CONCILIACIÓN TRIBUTARIA</v>
      </c>
      <c r="U704" s="64" t="str">
        <f t="shared" si="137"/>
        <v>_</v>
      </c>
      <c r="V704" s="64" t="str">
        <f t="shared" si="129"/>
        <v>¿Es una empresa existente con nuevas inversiones productivas que genera empleo neto con autorización del CEPAI para una reducción de tarifa de Impuesto a la Renta superior a 10%?</v>
      </c>
      <c r="W704" s="64" t="str">
        <f t="shared" si="130"/>
        <v/>
      </c>
      <c r="X704" s="64" t="str">
        <f t="shared" si="138"/>
        <v/>
      </c>
      <c r="Y704" s="64" t="str">
        <f t="shared" si="139"/>
        <v/>
      </c>
      <c r="Z704" s="64" t="str">
        <f t="shared" si="140"/>
        <v/>
      </c>
      <c r="AA704" s="64" t="str">
        <f t="shared" si="135"/>
        <v>¿Es una empresa existente con nuevas inversiones productivas que genera empleo neto con autorización del CEPAI para una reducción de tarifa de Impuesto a la Renta superior a 10%?_</v>
      </c>
      <c r="AB704" s="64"/>
      <c r="AC704" s="64"/>
      <c r="AD704" s="64"/>
      <c r="AE704" s="64"/>
      <c r="AF704" s="64"/>
      <c r="AG704" s="64"/>
      <c r="AH704" s="64"/>
      <c r="AI704" s="64"/>
      <c r="AJ704" s="64"/>
      <c r="AK704" s="64"/>
      <c r="AL704" s="64"/>
      <c r="AM704" s="64"/>
      <c r="AN704" s="64"/>
      <c r="AO704" s="64"/>
      <c r="AP704" s="64"/>
      <c r="AQ704" s="64"/>
      <c r="AR704" s="64"/>
      <c r="AS704" s="64"/>
      <c r="AT704" s="64"/>
      <c r="AU704" s="64"/>
      <c r="AV704" s="64"/>
      <c r="AW704" s="64"/>
      <c r="AX704" s="64"/>
      <c r="AY704" s="64"/>
      <c r="AZ704" s="64"/>
      <c r="BA704" s="64"/>
      <c r="BB704" s="64"/>
      <c r="BC704" s="64"/>
      <c r="BD704" s="64"/>
      <c r="BE704" s="64"/>
      <c r="BF704" s="64"/>
      <c r="BG704" s="64"/>
      <c r="BH704" s="64"/>
      <c r="BI704" s="64"/>
      <c r="BJ704" s="64"/>
      <c r="BK704" s="64"/>
      <c r="BL704" s="64"/>
      <c r="BM704" s="64"/>
      <c r="BN704" s="64"/>
      <c r="BO704" s="64"/>
      <c r="BP704" s="64"/>
      <c r="BQ704" s="64"/>
      <c r="BR704" s="64"/>
      <c r="BS704" s="64"/>
      <c r="BT704" s="64"/>
      <c r="BU704" s="64"/>
      <c r="BV704" s="64"/>
      <c r="BW704" s="64"/>
      <c r="BX704" s="64"/>
      <c r="BY704" s="64"/>
      <c r="BZ704" s="64"/>
      <c r="CA704" s="64"/>
      <c r="CB704" s="64"/>
      <c r="CC704" s="64"/>
      <c r="CD704" s="64"/>
      <c r="CE704" s="64"/>
      <c r="CF704" s="64"/>
      <c r="CG704" s="64"/>
      <c r="CH704" s="64"/>
      <c r="CI704" s="64"/>
      <c r="CJ704" s="64"/>
      <c r="CK704" s="64"/>
      <c r="CL704" s="64"/>
      <c r="CM704" s="64"/>
      <c r="CN704" s="64"/>
      <c r="CO704" s="64"/>
      <c r="CP704" s="64"/>
      <c r="CQ704" s="64"/>
      <c r="CR704" s="64"/>
      <c r="CS704" s="64"/>
      <c r="CT704" s="64"/>
      <c r="CU704" s="64"/>
      <c r="CV704" s="64"/>
      <c r="CW704" s="64"/>
      <c r="CX704" s="64"/>
      <c r="CY704" s="64"/>
      <c r="CZ704" s="64"/>
      <c r="DA704" s="64"/>
      <c r="DB704" s="64"/>
      <c r="DC704" s="64"/>
      <c r="DD704" s="64"/>
      <c r="DE704" s="64"/>
      <c r="DF704" s="64"/>
      <c r="DG704" s="64"/>
      <c r="DH704" s="64"/>
      <c r="DI704" s="64"/>
      <c r="DJ704" s="64"/>
      <c r="DK704" s="64"/>
      <c r="DL704" s="64"/>
      <c r="DM704" s="64"/>
      <c r="DN704" s="64"/>
      <c r="DO704" s="64"/>
      <c r="DP704" s="64"/>
      <c r="DQ704" s="64"/>
      <c r="DR704" s="64"/>
      <c r="DS704" s="64"/>
      <c r="DT704" s="64"/>
      <c r="DU704" s="64"/>
      <c r="DV704" s="64"/>
      <c r="DW704" s="64"/>
      <c r="DX704" s="64"/>
      <c r="DY704" s="64"/>
      <c r="DZ704" s="64"/>
      <c r="EA704" s="64"/>
      <c r="EB704" s="64"/>
      <c r="EC704" s="64"/>
      <c r="ED704" s="64"/>
      <c r="EE704" s="64"/>
      <c r="EF704" s="64"/>
      <c r="EG704" s="64"/>
      <c r="EH704" s="64"/>
      <c r="EI704" s="64"/>
      <c r="EJ704" s="64"/>
      <c r="EK704" s="64"/>
      <c r="EL704" s="64"/>
      <c r="EM704" s="64"/>
      <c r="EN704" s="64"/>
      <c r="EO704" s="64"/>
      <c r="EP704" s="64"/>
      <c r="EQ704" s="64"/>
      <c r="ER704" s="64"/>
      <c r="ES704" s="64"/>
      <c r="ET704" s="64"/>
      <c r="EU704" s="64"/>
      <c r="EV704" s="64"/>
      <c r="EW704" s="64"/>
      <c r="EX704" s="64"/>
      <c r="EY704" s="64"/>
      <c r="EZ704" s="64"/>
      <c r="FA704" s="64"/>
      <c r="FB704" s="64"/>
      <c r="FC704" s="64"/>
      <c r="FD704" s="64"/>
      <c r="FE704" s="64"/>
      <c r="FF704" s="64"/>
      <c r="FG704" s="64"/>
      <c r="FH704" s="64"/>
      <c r="FI704" s="64"/>
      <c r="FJ704" s="64"/>
      <c r="FK704" s="64"/>
      <c r="FL704" s="64"/>
      <c r="FM704" s="64"/>
      <c r="FN704" s="64"/>
      <c r="FO704" s="64"/>
      <c r="FP704" s="64"/>
      <c r="FQ704" s="64"/>
      <c r="FR704" s="64"/>
      <c r="FS704" s="64"/>
      <c r="FT704" s="64"/>
      <c r="FU704" s="64"/>
      <c r="FV704" s="64"/>
      <c r="FW704" s="64"/>
      <c r="FX704" s="64"/>
      <c r="FY704" s="64"/>
      <c r="FZ704" s="64"/>
      <c r="GA704" s="64"/>
      <c r="GB704" s="64"/>
      <c r="GC704" s="64"/>
      <c r="GD704" s="64"/>
      <c r="GE704" s="64"/>
      <c r="GF704" s="64"/>
      <c r="GG704" s="64"/>
      <c r="GH704" s="64"/>
      <c r="GI704" s="64"/>
      <c r="GJ704" s="64"/>
      <c r="GK704" s="64"/>
      <c r="GL704" s="64"/>
      <c r="GM704" s="64"/>
      <c r="GN704" s="64"/>
      <c r="GO704" s="64"/>
      <c r="GP704" s="64"/>
      <c r="GQ704" s="64"/>
      <c r="GR704" s="64"/>
      <c r="GS704" s="64"/>
      <c r="GT704" s="64"/>
      <c r="GU704" s="64"/>
      <c r="GV704" s="64"/>
      <c r="GW704" s="64"/>
      <c r="GX704" s="64"/>
      <c r="GY704" s="64"/>
      <c r="GZ704" s="64"/>
      <c r="HA704" s="64"/>
      <c r="HB704" s="64"/>
      <c r="HC704" s="64"/>
      <c r="HD704" s="64"/>
      <c r="HE704" s="64"/>
      <c r="HF704" s="64"/>
      <c r="HG704" s="64"/>
      <c r="HH704" s="64"/>
      <c r="HI704" s="64"/>
      <c r="HJ704" s="64"/>
      <c r="HK704" s="64"/>
      <c r="HL704" s="64"/>
      <c r="HM704" s="64"/>
      <c r="HN704" s="64"/>
      <c r="HO704" s="64"/>
      <c r="HP704" s="64"/>
      <c r="HQ704" s="64"/>
      <c r="HR704" s="64"/>
      <c r="HS704" s="64"/>
      <c r="HT704" s="64"/>
      <c r="HU704" s="64"/>
      <c r="HV704" s="64"/>
      <c r="HW704" s="64"/>
      <c r="HX704" s="64"/>
      <c r="HY704" s="64"/>
      <c r="HZ704" s="64"/>
      <c r="IA704" s="64"/>
      <c r="IB704" s="64"/>
      <c r="IC704" s="64"/>
      <c r="ID704" s="64"/>
      <c r="IE704" s="64"/>
      <c r="IF704" s="64"/>
      <c r="IG704" s="64"/>
      <c r="IH704" s="64"/>
      <c r="II704" s="64"/>
      <c r="IJ704" s="64"/>
      <c r="IK704" s="64"/>
      <c r="IL704" s="64"/>
      <c r="IM704" s="64"/>
      <c r="IN704" s="64"/>
      <c r="IO704" s="64"/>
      <c r="IP704" s="64"/>
      <c r="IQ704" s="64"/>
      <c r="IR704" s="64"/>
      <c r="IS704" s="64"/>
      <c r="IT704" s="64"/>
      <c r="IU704" s="64"/>
      <c r="IV704" s="64"/>
      <c r="IW704" s="64"/>
      <c r="IX704" s="64"/>
      <c r="IY704" s="64"/>
      <c r="IZ704" s="64"/>
      <c r="JA704" s="64"/>
      <c r="JB704" s="64"/>
      <c r="JC704" s="64"/>
      <c r="JD704" s="64"/>
      <c r="JE704" s="64"/>
      <c r="JF704" s="64"/>
      <c r="JG704" s="64"/>
      <c r="JH704" s="64"/>
      <c r="JI704" s="64"/>
      <c r="JJ704" s="64"/>
      <c r="JK704" s="64"/>
      <c r="JL704" s="64"/>
      <c r="JM704" s="64"/>
      <c r="JN704" s="64"/>
      <c r="JO704" s="64"/>
      <c r="JP704" s="64"/>
      <c r="JQ704" s="64"/>
      <c r="JR704" s="64"/>
      <c r="JS704" s="64"/>
      <c r="JT704" s="64"/>
      <c r="JU704" s="64"/>
      <c r="JV704" s="64"/>
      <c r="JW704" s="64"/>
      <c r="JX704" s="64"/>
      <c r="JY704" s="64"/>
      <c r="JZ704" s="64"/>
      <c r="KA704" s="64"/>
      <c r="KB704" s="64"/>
      <c r="KC704" s="64"/>
      <c r="KD704" s="64"/>
      <c r="KE704" s="64"/>
      <c r="KF704" s="64"/>
      <c r="KG704" s="64"/>
      <c r="KH704" s="64"/>
      <c r="KI704" s="64"/>
      <c r="KJ704" s="64"/>
      <c r="KK704" s="64"/>
      <c r="KL704" s="64"/>
      <c r="KM704" s="64"/>
      <c r="KN704" s="64"/>
      <c r="KO704" s="64"/>
      <c r="KP704" s="64"/>
      <c r="KQ704" s="64"/>
      <c r="KR704" s="64"/>
      <c r="KS704" s="64"/>
      <c r="KT704" s="64"/>
      <c r="KU704" s="64"/>
      <c r="KV704" s="64"/>
      <c r="KW704" s="64"/>
      <c r="KX704" s="64"/>
      <c r="KY704" s="64"/>
      <c r="KZ704" s="64"/>
      <c r="LA704" s="64"/>
      <c r="LB704" s="64"/>
      <c r="LC704" s="64"/>
      <c r="LD704" s="64"/>
      <c r="LE704" s="64"/>
      <c r="LF704" s="64"/>
      <c r="LG704" s="64"/>
      <c r="LH704" s="64"/>
      <c r="LI704" s="64"/>
      <c r="LJ704" s="64"/>
      <c r="LK704" s="64"/>
      <c r="LL704" s="64"/>
      <c r="LM704" s="64"/>
      <c r="LN704" s="64"/>
      <c r="LO704" s="64"/>
      <c r="LP704" s="64"/>
      <c r="LQ704" s="64"/>
      <c r="LR704" s="64"/>
      <c r="LS704" s="64"/>
      <c r="LT704" s="64"/>
      <c r="LU704" s="64"/>
      <c r="LV704" s="64"/>
      <c r="LW704" s="64"/>
      <c r="LX704" s="64"/>
      <c r="LY704" s="64"/>
      <c r="LZ704" s="64"/>
      <c r="MA704" s="64"/>
      <c r="MB704" s="64"/>
      <c r="MC704" s="64"/>
      <c r="MD704" s="64"/>
      <c r="ME704" s="64"/>
      <c r="MF704" s="64"/>
      <c r="MG704" s="64"/>
      <c r="MH704" s="64"/>
      <c r="MI704" s="64"/>
      <c r="MJ704" s="64"/>
      <c r="MK704" s="64"/>
      <c r="ML704" s="64"/>
      <c r="MM704" s="64"/>
      <c r="MN704" s="64"/>
      <c r="MO704" s="64"/>
      <c r="MP704" s="64"/>
      <c r="MQ704" s="64"/>
      <c r="MR704" s="64"/>
      <c r="MS704" s="64"/>
      <c r="MT704" s="64"/>
      <c r="MU704" s="64"/>
      <c r="MV704" s="64"/>
      <c r="MW704" s="64"/>
      <c r="MX704" s="64"/>
      <c r="MY704" s="64"/>
      <c r="MZ704" s="64"/>
      <c r="NA704" s="64"/>
      <c r="NB704" s="64"/>
      <c r="NC704" s="64"/>
      <c r="ND704" s="64"/>
      <c r="NE704" s="64"/>
      <c r="NF704" s="64"/>
      <c r="NG704" s="64"/>
      <c r="NH704" s="64"/>
      <c r="NI704" s="64"/>
      <c r="NJ704" s="64"/>
      <c r="NK704" s="64"/>
      <c r="NL704" s="64"/>
      <c r="NM704" s="64"/>
      <c r="NN704" s="64"/>
      <c r="NO704" s="64"/>
      <c r="NP704" s="64"/>
      <c r="NQ704" s="64"/>
      <c r="NR704" s="64"/>
      <c r="NS704" s="64"/>
      <c r="NT704" s="64"/>
      <c r="NU704" s="64"/>
      <c r="NV704" s="64"/>
      <c r="NW704" s="64"/>
      <c r="NX704" s="64"/>
      <c r="NY704" s="64"/>
      <c r="NZ704" s="64"/>
      <c r="OA704" s="64"/>
      <c r="OB704" s="64"/>
      <c r="OC704" s="64"/>
      <c r="OD704" s="64"/>
      <c r="OE704" s="64"/>
      <c r="OF704" s="64"/>
      <c r="OG704" s="64"/>
      <c r="OH704" s="64"/>
      <c r="OI704" s="64"/>
      <c r="OJ704" s="64"/>
      <c r="OK704" s="64"/>
      <c r="OL704" s="64"/>
      <c r="OM704" s="64"/>
      <c r="ON704" s="64"/>
      <c r="OO704" s="64"/>
      <c r="OP704" s="64"/>
      <c r="OQ704" s="64"/>
      <c r="OR704" s="64"/>
      <c r="OS704" s="64"/>
      <c r="OT704" s="64"/>
      <c r="OU704" s="64"/>
      <c r="OV704" s="64"/>
      <c r="OW704" s="64"/>
      <c r="OX704" s="64"/>
      <c r="OY704" s="64"/>
      <c r="OZ704" s="64"/>
      <c r="PA704" s="64"/>
      <c r="PB704" s="64"/>
      <c r="PC704" s="64"/>
      <c r="PD704" s="64"/>
      <c r="PE704" s="64"/>
      <c r="PF704" s="64"/>
      <c r="PG704" s="64"/>
      <c r="PH704" s="64"/>
      <c r="PI704" s="64"/>
    </row>
    <row r="705" spans="1:425" s="85" customFormat="1">
      <c r="A705" s="89"/>
      <c r="B705" s="89"/>
      <c r="C705" s="270" t="s">
        <v>1242</v>
      </c>
      <c r="D705" s="271"/>
      <c r="E705" s="271"/>
      <c r="F705" s="271"/>
      <c r="G705" s="271"/>
      <c r="H705" s="271"/>
      <c r="I705" s="271"/>
      <c r="J705" s="271"/>
      <c r="K705" s="271"/>
      <c r="L705" s="271"/>
      <c r="M705" s="272"/>
      <c r="N705" s="9" t="s">
        <v>1243</v>
      </c>
      <c r="O705" s="109">
        <f>VLOOKUP(N705,Casilleros!$A$4:$Q$830,16,FALSE)</f>
        <v>0</v>
      </c>
      <c r="P705" s="67"/>
      <c r="Q705" s="67"/>
      <c r="R705" s="67"/>
      <c r="S705" s="61" t="str">
        <f t="shared" si="134"/>
        <v>050</v>
      </c>
      <c r="T705" s="64" t="str">
        <f t="shared" si="136"/>
        <v>CONCILIACIÓN TRIBUTARIA</v>
      </c>
      <c r="U705" s="64" t="str">
        <f t="shared" si="137"/>
        <v>_</v>
      </c>
      <c r="V705" s="64" t="str">
        <f t="shared" si="129"/>
        <v>Número de Resolución de autorización del CEPAI para una reducción de tarifa superior a 10 puntos porcentuales</v>
      </c>
      <c r="W705" s="64" t="str">
        <f t="shared" si="130"/>
        <v/>
      </c>
      <c r="X705" s="64" t="str">
        <f t="shared" si="138"/>
        <v/>
      </c>
      <c r="Y705" s="64" t="str">
        <f t="shared" si="139"/>
        <v/>
      </c>
      <c r="Z705" s="64" t="str">
        <f t="shared" si="140"/>
        <v/>
      </c>
      <c r="AA705" s="64" t="str">
        <f t="shared" si="135"/>
        <v>Número de Resolución de autorización del CEPAI para una reducción de tarifa superior a 10 puntos porcentuales_</v>
      </c>
      <c r="AB705" s="64"/>
      <c r="AC705" s="64"/>
      <c r="AD705" s="64"/>
      <c r="AE705" s="64"/>
      <c r="AF705" s="64"/>
      <c r="AG705" s="64"/>
      <c r="AH705" s="64"/>
      <c r="AI705" s="64"/>
      <c r="AJ705" s="64"/>
      <c r="AK705" s="64"/>
      <c r="AL705" s="64"/>
      <c r="AM705" s="64"/>
      <c r="AN705" s="64"/>
      <c r="AO705" s="64"/>
      <c r="AP705" s="64"/>
      <c r="AQ705" s="64"/>
      <c r="AR705" s="64"/>
      <c r="AS705" s="64"/>
      <c r="AT705" s="64"/>
      <c r="AU705" s="64"/>
      <c r="AV705" s="64"/>
      <c r="AW705" s="64"/>
      <c r="AX705" s="64"/>
      <c r="AY705" s="64"/>
      <c r="AZ705" s="64"/>
      <c r="BA705" s="64"/>
      <c r="BB705" s="64"/>
      <c r="BC705" s="64"/>
      <c r="BD705" s="64"/>
      <c r="BE705" s="64"/>
      <c r="BF705" s="64"/>
      <c r="BG705" s="64"/>
      <c r="BH705" s="64"/>
      <c r="BI705" s="64"/>
      <c r="BJ705" s="64"/>
      <c r="BK705" s="64"/>
      <c r="BL705" s="64"/>
      <c r="BM705" s="64"/>
      <c r="BN705" s="64"/>
      <c r="BO705" s="64"/>
      <c r="BP705" s="64"/>
      <c r="BQ705" s="64"/>
      <c r="BR705" s="64"/>
      <c r="BS705" s="64"/>
      <c r="BT705" s="64"/>
      <c r="BU705" s="64"/>
      <c r="BV705" s="64"/>
      <c r="BW705" s="64"/>
      <c r="BX705" s="64"/>
      <c r="BY705" s="64"/>
      <c r="BZ705" s="64"/>
      <c r="CA705" s="64"/>
      <c r="CB705" s="64"/>
      <c r="CC705" s="64"/>
      <c r="CD705" s="64"/>
      <c r="CE705" s="64"/>
      <c r="CF705" s="64"/>
      <c r="CG705" s="64"/>
      <c r="CH705" s="64"/>
      <c r="CI705" s="64"/>
      <c r="CJ705" s="64"/>
      <c r="CK705" s="64"/>
      <c r="CL705" s="64"/>
      <c r="CM705" s="64"/>
      <c r="CN705" s="64"/>
      <c r="CO705" s="64"/>
      <c r="CP705" s="64"/>
      <c r="CQ705" s="64"/>
      <c r="CR705" s="64"/>
      <c r="CS705" s="64"/>
      <c r="CT705" s="64"/>
      <c r="CU705" s="64"/>
      <c r="CV705" s="64"/>
      <c r="CW705" s="64"/>
      <c r="CX705" s="64"/>
      <c r="CY705" s="64"/>
      <c r="CZ705" s="64"/>
      <c r="DA705" s="64"/>
      <c r="DB705" s="64"/>
      <c r="DC705" s="64"/>
      <c r="DD705" s="64"/>
      <c r="DE705" s="64"/>
      <c r="DF705" s="64"/>
      <c r="DG705" s="64"/>
      <c r="DH705" s="64"/>
      <c r="DI705" s="64"/>
      <c r="DJ705" s="64"/>
      <c r="DK705" s="64"/>
      <c r="DL705" s="64"/>
      <c r="DM705" s="64"/>
      <c r="DN705" s="64"/>
      <c r="DO705" s="64"/>
      <c r="DP705" s="64"/>
      <c r="DQ705" s="64"/>
      <c r="DR705" s="64"/>
      <c r="DS705" s="64"/>
      <c r="DT705" s="64"/>
      <c r="DU705" s="64"/>
      <c r="DV705" s="64"/>
      <c r="DW705" s="64"/>
      <c r="DX705" s="64"/>
      <c r="DY705" s="64"/>
      <c r="DZ705" s="64"/>
      <c r="EA705" s="64"/>
      <c r="EB705" s="64"/>
      <c r="EC705" s="64"/>
      <c r="ED705" s="64"/>
      <c r="EE705" s="64"/>
      <c r="EF705" s="64"/>
      <c r="EG705" s="64"/>
      <c r="EH705" s="64"/>
      <c r="EI705" s="64"/>
      <c r="EJ705" s="64"/>
      <c r="EK705" s="64"/>
      <c r="EL705" s="64"/>
      <c r="EM705" s="64"/>
      <c r="EN705" s="64"/>
      <c r="EO705" s="64"/>
      <c r="EP705" s="64"/>
      <c r="EQ705" s="64"/>
      <c r="ER705" s="64"/>
      <c r="ES705" s="64"/>
      <c r="ET705" s="64"/>
      <c r="EU705" s="64"/>
      <c r="EV705" s="64"/>
      <c r="EW705" s="64"/>
      <c r="EX705" s="64"/>
      <c r="EY705" s="64"/>
      <c r="EZ705" s="64"/>
      <c r="FA705" s="64"/>
      <c r="FB705" s="64"/>
      <c r="FC705" s="64"/>
      <c r="FD705" s="64"/>
      <c r="FE705" s="64"/>
      <c r="FF705" s="64"/>
      <c r="FG705" s="64"/>
      <c r="FH705" s="64"/>
      <c r="FI705" s="64"/>
      <c r="FJ705" s="64"/>
      <c r="FK705" s="64"/>
      <c r="FL705" s="64"/>
      <c r="FM705" s="64"/>
      <c r="FN705" s="64"/>
      <c r="FO705" s="64"/>
      <c r="FP705" s="64"/>
      <c r="FQ705" s="64"/>
      <c r="FR705" s="64"/>
      <c r="FS705" s="64"/>
      <c r="FT705" s="64"/>
      <c r="FU705" s="64"/>
      <c r="FV705" s="64"/>
      <c r="FW705" s="64"/>
      <c r="FX705" s="64"/>
      <c r="FY705" s="64"/>
      <c r="FZ705" s="64"/>
      <c r="GA705" s="64"/>
      <c r="GB705" s="64"/>
      <c r="GC705" s="64"/>
      <c r="GD705" s="64"/>
      <c r="GE705" s="64"/>
      <c r="GF705" s="64"/>
      <c r="GG705" s="64"/>
      <c r="GH705" s="64"/>
      <c r="GI705" s="64"/>
      <c r="GJ705" s="64"/>
      <c r="GK705" s="64"/>
      <c r="GL705" s="64"/>
      <c r="GM705" s="64"/>
      <c r="GN705" s="64"/>
      <c r="GO705" s="64"/>
      <c r="GP705" s="64"/>
      <c r="GQ705" s="64"/>
      <c r="GR705" s="64"/>
      <c r="GS705" s="64"/>
      <c r="GT705" s="64"/>
      <c r="GU705" s="64"/>
      <c r="GV705" s="64"/>
      <c r="GW705" s="64"/>
      <c r="GX705" s="64"/>
      <c r="GY705" s="64"/>
      <c r="GZ705" s="64"/>
      <c r="HA705" s="64"/>
      <c r="HB705" s="64"/>
      <c r="HC705" s="64"/>
      <c r="HD705" s="64"/>
      <c r="HE705" s="64"/>
      <c r="HF705" s="64"/>
      <c r="HG705" s="64"/>
      <c r="HH705" s="64"/>
      <c r="HI705" s="64"/>
      <c r="HJ705" s="64"/>
      <c r="HK705" s="64"/>
      <c r="HL705" s="64"/>
      <c r="HM705" s="64"/>
      <c r="HN705" s="64"/>
      <c r="HO705" s="64"/>
      <c r="HP705" s="64"/>
      <c r="HQ705" s="64"/>
      <c r="HR705" s="64"/>
      <c r="HS705" s="64"/>
      <c r="HT705" s="64"/>
      <c r="HU705" s="64"/>
      <c r="HV705" s="64"/>
      <c r="HW705" s="64"/>
      <c r="HX705" s="64"/>
      <c r="HY705" s="64"/>
      <c r="HZ705" s="64"/>
      <c r="IA705" s="64"/>
      <c r="IB705" s="64"/>
      <c r="IC705" s="64"/>
      <c r="ID705" s="64"/>
      <c r="IE705" s="64"/>
      <c r="IF705" s="64"/>
      <c r="IG705" s="64"/>
      <c r="IH705" s="64"/>
      <c r="II705" s="64"/>
      <c r="IJ705" s="64"/>
      <c r="IK705" s="64"/>
      <c r="IL705" s="64"/>
      <c r="IM705" s="64"/>
      <c r="IN705" s="64"/>
      <c r="IO705" s="64"/>
      <c r="IP705" s="64"/>
      <c r="IQ705" s="64"/>
      <c r="IR705" s="64"/>
      <c r="IS705" s="64"/>
      <c r="IT705" s="64"/>
      <c r="IU705" s="64"/>
      <c r="IV705" s="64"/>
      <c r="IW705" s="64"/>
      <c r="IX705" s="64"/>
      <c r="IY705" s="64"/>
      <c r="IZ705" s="64"/>
      <c r="JA705" s="64"/>
      <c r="JB705" s="64"/>
      <c r="JC705" s="64"/>
      <c r="JD705" s="64"/>
      <c r="JE705" s="64"/>
      <c r="JF705" s="64"/>
      <c r="JG705" s="64"/>
      <c r="JH705" s="64"/>
      <c r="JI705" s="64"/>
      <c r="JJ705" s="64"/>
      <c r="JK705" s="64"/>
      <c r="JL705" s="64"/>
      <c r="JM705" s="64"/>
      <c r="JN705" s="64"/>
      <c r="JO705" s="64"/>
      <c r="JP705" s="64"/>
      <c r="JQ705" s="64"/>
      <c r="JR705" s="64"/>
      <c r="JS705" s="64"/>
      <c r="JT705" s="64"/>
      <c r="JU705" s="64"/>
      <c r="JV705" s="64"/>
      <c r="JW705" s="64"/>
      <c r="JX705" s="64"/>
      <c r="JY705" s="64"/>
      <c r="JZ705" s="64"/>
      <c r="KA705" s="64"/>
      <c r="KB705" s="64"/>
      <c r="KC705" s="64"/>
      <c r="KD705" s="64"/>
      <c r="KE705" s="64"/>
      <c r="KF705" s="64"/>
      <c r="KG705" s="64"/>
      <c r="KH705" s="64"/>
      <c r="KI705" s="64"/>
      <c r="KJ705" s="64"/>
      <c r="KK705" s="64"/>
      <c r="KL705" s="64"/>
      <c r="KM705" s="64"/>
      <c r="KN705" s="64"/>
      <c r="KO705" s="64"/>
      <c r="KP705" s="64"/>
      <c r="KQ705" s="64"/>
      <c r="KR705" s="64"/>
      <c r="KS705" s="64"/>
      <c r="KT705" s="64"/>
      <c r="KU705" s="64"/>
      <c r="KV705" s="64"/>
      <c r="KW705" s="64"/>
      <c r="KX705" s="64"/>
      <c r="KY705" s="64"/>
      <c r="KZ705" s="64"/>
      <c r="LA705" s="64"/>
      <c r="LB705" s="64"/>
      <c r="LC705" s="64"/>
      <c r="LD705" s="64"/>
      <c r="LE705" s="64"/>
      <c r="LF705" s="64"/>
      <c r="LG705" s="64"/>
      <c r="LH705" s="64"/>
      <c r="LI705" s="64"/>
      <c r="LJ705" s="64"/>
      <c r="LK705" s="64"/>
      <c r="LL705" s="64"/>
      <c r="LM705" s="64"/>
      <c r="LN705" s="64"/>
      <c r="LO705" s="64"/>
      <c r="LP705" s="64"/>
      <c r="LQ705" s="64"/>
      <c r="LR705" s="64"/>
      <c r="LS705" s="64"/>
      <c r="LT705" s="64"/>
      <c r="LU705" s="64"/>
      <c r="LV705" s="64"/>
      <c r="LW705" s="64"/>
      <c r="LX705" s="64"/>
      <c r="LY705" s="64"/>
      <c r="LZ705" s="64"/>
      <c r="MA705" s="64"/>
      <c r="MB705" s="64"/>
      <c r="MC705" s="64"/>
      <c r="MD705" s="64"/>
      <c r="ME705" s="64"/>
      <c r="MF705" s="64"/>
      <c r="MG705" s="64"/>
      <c r="MH705" s="64"/>
      <c r="MI705" s="64"/>
      <c r="MJ705" s="64"/>
      <c r="MK705" s="64"/>
      <c r="ML705" s="64"/>
      <c r="MM705" s="64"/>
      <c r="MN705" s="64"/>
      <c r="MO705" s="64"/>
      <c r="MP705" s="64"/>
      <c r="MQ705" s="64"/>
      <c r="MR705" s="64"/>
      <c r="MS705" s="64"/>
      <c r="MT705" s="64"/>
      <c r="MU705" s="64"/>
      <c r="MV705" s="64"/>
      <c r="MW705" s="64"/>
      <c r="MX705" s="64"/>
      <c r="MY705" s="64"/>
      <c r="MZ705" s="64"/>
      <c r="NA705" s="64"/>
      <c r="NB705" s="64"/>
      <c r="NC705" s="64"/>
      <c r="ND705" s="64"/>
      <c r="NE705" s="64"/>
      <c r="NF705" s="64"/>
      <c r="NG705" s="64"/>
      <c r="NH705" s="64"/>
      <c r="NI705" s="64"/>
      <c r="NJ705" s="64"/>
      <c r="NK705" s="64"/>
      <c r="NL705" s="64"/>
      <c r="NM705" s="64"/>
      <c r="NN705" s="64"/>
      <c r="NO705" s="64"/>
      <c r="NP705" s="64"/>
      <c r="NQ705" s="64"/>
      <c r="NR705" s="64"/>
      <c r="NS705" s="64"/>
      <c r="NT705" s="64"/>
      <c r="NU705" s="64"/>
      <c r="NV705" s="64"/>
      <c r="NW705" s="64"/>
      <c r="NX705" s="64"/>
      <c r="NY705" s="64"/>
      <c r="NZ705" s="64"/>
      <c r="OA705" s="64"/>
      <c r="OB705" s="64"/>
      <c r="OC705" s="64"/>
      <c r="OD705" s="64"/>
      <c r="OE705" s="64"/>
      <c r="OF705" s="64"/>
      <c r="OG705" s="64"/>
      <c r="OH705" s="64"/>
      <c r="OI705" s="64"/>
      <c r="OJ705" s="64"/>
      <c r="OK705" s="64"/>
      <c r="OL705" s="64"/>
      <c r="OM705" s="64"/>
      <c r="ON705" s="64"/>
      <c r="OO705" s="64"/>
      <c r="OP705" s="64"/>
      <c r="OQ705" s="64"/>
      <c r="OR705" s="64"/>
      <c r="OS705" s="64"/>
      <c r="OT705" s="64"/>
      <c r="OU705" s="64"/>
      <c r="OV705" s="64"/>
      <c r="OW705" s="64"/>
      <c r="OX705" s="64"/>
      <c r="OY705" s="64"/>
      <c r="OZ705" s="64"/>
      <c r="PA705" s="64"/>
      <c r="PB705" s="64"/>
      <c r="PC705" s="64"/>
      <c r="PD705" s="64"/>
      <c r="PE705" s="64"/>
      <c r="PF705" s="64"/>
      <c r="PG705" s="64"/>
      <c r="PH705" s="64"/>
      <c r="PI705" s="64"/>
    </row>
    <row r="706" spans="1:425" s="85" customFormat="1">
      <c r="A706" s="89"/>
      <c r="B706" s="89"/>
      <c r="C706" s="270" t="s">
        <v>1244</v>
      </c>
      <c r="D706" s="271"/>
      <c r="E706" s="271"/>
      <c r="F706" s="271"/>
      <c r="G706" s="271"/>
      <c r="H706" s="271"/>
      <c r="I706" s="271"/>
      <c r="J706" s="271"/>
      <c r="K706" s="271"/>
      <c r="L706" s="271"/>
      <c r="M706" s="272"/>
      <c r="N706" s="9" t="s">
        <v>1245</v>
      </c>
      <c r="O706" s="110">
        <f>VLOOKUP(N706,Casilleros!$A$4:$Q$830,16,FALSE)</f>
        <v>0</v>
      </c>
      <c r="P706" s="67"/>
      <c r="Q706" s="67"/>
      <c r="R706" s="67"/>
      <c r="S706" s="61" t="str">
        <f t="shared" si="134"/>
        <v>051</v>
      </c>
      <c r="T706" s="64" t="str">
        <f t="shared" si="136"/>
        <v>CONCILIACIÓN TRIBUTARIA</v>
      </c>
      <c r="U706" s="64" t="str">
        <f t="shared" si="137"/>
        <v>_</v>
      </c>
      <c r="V706" s="64" t="str">
        <f t="shared" si="129"/>
        <v>Porcentaje de reducción de tarifa superior a 10 puntos porcentuales aplicable en el caso de empresas existentes con nuevas inversiones productivas que genera empleo neto con autorización del CEPAI</v>
      </c>
      <c r="W706" s="64" t="str">
        <f t="shared" si="130"/>
        <v/>
      </c>
      <c r="X706" s="64" t="str">
        <f t="shared" si="138"/>
        <v/>
      </c>
      <c r="Y706" s="64" t="str">
        <f t="shared" si="139"/>
        <v/>
      </c>
      <c r="Z706" s="64" t="str">
        <f t="shared" si="140"/>
        <v/>
      </c>
      <c r="AA706" s="64" t="str">
        <f t="shared" si="135"/>
        <v>Porcentaje de reducción de tarifa superior a 10 puntos porcentuales aplicable en el caso de empresas existentes con nuevas inversiones productivas que genera empleo neto con autorización del CEPAI_</v>
      </c>
      <c r="AB706" s="64"/>
      <c r="AC706" s="64"/>
      <c r="AD706" s="64"/>
      <c r="AE706" s="64"/>
      <c r="AF706" s="64"/>
      <c r="AG706" s="64"/>
      <c r="AH706" s="64"/>
      <c r="AI706" s="64"/>
      <c r="AJ706" s="64"/>
      <c r="AK706" s="64"/>
      <c r="AL706" s="64"/>
      <c r="AM706" s="64"/>
      <c r="AN706" s="64"/>
      <c r="AO706" s="64"/>
      <c r="AP706" s="64"/>
      <c r="AQ706" s="64"/>
      <c r="AR706" s="64"/>
      <c r="AS706" s="64"/>
      <c r="AT706" s="64"/>
      <c r="AU706" s="64"/>
      <c r="AV706" s="64"/>
      <c r="AW706" s="64"/>
      <c r="AX706" s="64"/>
      <c r="AY706" s="64"/>
      <c r="AZ706" s="64"/>
      <c r="BA706" s="64"/>
      <c r="BB706" s="64"/>
      <c r="BC706" s="64"/>
      <c r="BD706" s="64"/>
      <c r="BE706" s="64"/>
      <c r="BF706" s="64"/>
      <c r="BG706" s="64"/>
      <c r="BH706" s="64"/>
      <c r="BI706" s="64"/>
      <c r="BJ706" s="64"/>
      <c r="BK706" s="64"/>
      <c r="BL706" s="64"/>
      <c r="BM706" s="64"/>
      <c r="BN706" s="64"/>
      <c r="BO706" s="64"/>
      <c r="BP706" s="64"/>
      <c r="BQ706" s="64"/>
      <c r="BR706" s="64"/>
      <c r="BS706" s="64"/>
      <c r="BT706" s="64"/>
      <c r="BU706" s="64"/>
      <c r="BV706" s="64"/>
      <c r="BW706" s="64"/>
      <c r="BX706" s="64"/>
      <c r="BY706" s="64"/>
      <c r="BZ706" s="64"/>
      <c r="CA706" s="64"/>
      <c r="CB706" s="64"/>
      <c r="CC706" s="64"/>
      <c r="CD706" s="64"/>
      <c r="CE706" s="64"/>
      <c r="CF706" s="64"/>
      <c r="CG706" s="64"/>
      <c r="CH706" s="64"/>
      <c r="CI706" s="64"/>
      <c r="CJ706" s="64"/>
      <c r="CK706" s="64"/>
      <c r="CL706" s="64"/>
      <c r="CM706" s="64"/>
      <c r="CN706" s="64"/>
      <c r="CO706" s="64"/>
      <c r="CP706" s="64"/>
      <c r="CQ706" s="64"/>
      <c r="CR706" s="64"/>
      <c r="CS706" s="64"/>
      <c r="CT706" s="64"/>
      <c r="CU706" s="64"/>
      <c r="CV706" s="64"/>
      <c r="CW706" s="64"/>
      <c r="CX706" s="64"/>
      <c r="CY706" s="64"/>
      <c r="CZ706" s="64"/>
      <c r="DA706" s="64"/>
      <c r="DB706" s="64"/>
      <c r="DC706" s="64"/>
      <c r="DD706" s="64"/>
      <c r="DE706" s="64"/>
      <c r="DF706" s="64"/>
      <c r="DG706" s="64"/>
      <c r="DH706" s="64"/>
      <c r="DI706" s="64"/>
      <c r="DJ706" s="64"/>
      <c r="DK706" s="64"/>
      <c r="DL706" s="64"/>
      <c r="DM706" s="64"/>
      <c r="DN706" s="64"/>
      <c r="DO706" s="64"/>
      <c r="DP706" s="64"/>
      <c r="DQ706" s="64"/>
      <c r="DR706" s="64"/>
      <c r="DS706" s="64"/>
      <c r="DT706" s="64"/>
      <c r="DU706" s="64"/>
      <c r="DV706" s="64"/>
      <c r="DW706" s="64"/>
      <c r="DX706" s="64"/>
      <c r="DY706" s="64"/>
      <c r="DZ706" s="64"/>
      <c r="EA706" s="64"/>
      <c r="EB706" s="64"/>
      <c r="EC706" s="64"/>
      <c r="ED706" s="64"/>
      <c r="EE706" s="64"/>
      <c r="EF706" s="64"/>
      <c r="EG706" s="64"/>
      <c r="EH706" s="64"/>
      <c r="EI706" s="64"/>
      <c r="EJ706" s="64"/>
      <c r="EK706" s="64"/>
      <c r="EL706" s="64"/>
      <c r="EM706" s="64"/>
      <c r="EN706" s="64"/>
      <c r="EO706" s="64"/>
      <c r="EP706" s="64"/>
      <c r="EQ706" s="64"/>
      <c r="ER706" s="64"/>
      <c r="ES706" s="64"/>
      <c r="ET706" s="64"/>
      <c r="EU706" s="64"/>
      <c r="EV706" s="64"/>
      <c r="EW706" s="64"/>
      <c r="EX706" s="64"/>
      <c r="EY706" s="64"/>
      <c r="EZ706" s="64"/>
      <c r="FA706" s="64"/>
      <c r="FB706" s="64"/>
      <c r="FC706" s="64"/>
      <c r="FD706" s="64"/>
      <c r="FE706" s="64"/>
      <c r="FF706" s="64"/>
      <c r="FG706" s="64"/>
      <c r="FH706" s="64"/>
      <c r="FI706" s="64"/>
      <c r="FJ706" s="64"/>
      <c r="FK706" s="64"/>
      <c r="FL706" s="64"/>
      <c r="FM706" s="64"/>
      <c r="FN706" s="64"/>
      <c r="FO706" s="64"/>
      <c r="FP706" s="64"/>
      <c r="FQ706" s="64"/>
      <c r="FR706" s="64"/>
      <c r="FS706" s="64"/>
      <c r="FT706" s="64"/>
      <c r="FU706" s="64"/>
      <c r="FV706" s="64"/>
      <c r="FW706" s="64"/>
      <c r="FX706" s="64"/>
      <c r="FY706" s="64"/>
      <c r="FZ706" s="64"/>
      <c r="GA706" s="64"/>
      <c r="GB706" s="64"/>
      <c r="GC706" s="64"/>
      <c r="GD706" s="64"/>
      <c r="GE706" s="64"/>
      <c r="GF706" s="64"/>
      <c r="GG706" s="64"/>
      <c r="GH706" s="64"/>
      <c r="GI706" s="64"/>
      <c r="GJ706" s="64"/>
      <c r="GK706" s="64"/>
      <c r="GL706" s="64"/>
      <c r="GM706" s="64"/>
      <c r="GN706" s="64"/>
      <c r="GO706" s="64"/>
      <c r="GP706" s="64"/>
      <c r="GQ706" s="64"/>
      <c r="GR706" s="64"/>
      <c r="GS706" s="64"/>
      <c r="GT706" s="64"/>
      <c r="GU706" s="64"/>
      <c r="GV706" s="64"/>
      <c r="GW706" s="64"/>
      <c r="GX706" s="64"/>
      <c r="GY706" s="64"/>
      <c r="GZ706" s="64"/>
      <c r="HA706" s="64"/>
      <c r="HB706" s="64"/>
      <c r="HC706" s="64"/>
      <c r="HD706" s="64"/>
      <c r="HE706" s="64"/>
      <c r="HF706" s="64"/>
      <c r="HG706" s="64"/>
      <c r="HH706" s="64"/>
      <c r="HI706" s="64"/>
      <c r="HJ706" s="64"/>
      <c r="HK706" s="64"/>
      <c r="HL706" s="64"/>
      <c r="HM706" s="64"/>
      <c r="HN706" s="64"/>
      <c r="HO706" s="64"/>
      <c r="HP706" s="64"/>
      <c r="HQ706" s="64"/>
      <c r="HR706" s="64"/>
      <c r="HS706" s="64"/>
      <c r="HT706" s="64"/>
      <c r="HU706" s="64"/>
      <c r="HV706" s="64"/>
      <c r="HW706" s="64"/>
      <c r="HX706" s="64"/>
      <c r="HY706" s="64"/>
      <c r="HZ706" s="64"/>
      <c r="IA706" s="64"/>
      <c r="IB706" s="64"/>
      <c r="IC706" s="64"/>
      <c r="ID706" s="64"/>
      <c r="IE706" s="64"/>
      <c r="IF706" s="64"/>
      <c r="IG706" s="64"/>
      <c r="IH706" s="64"/>
      <c r="II706" s="64"/>
      <c r="IJ706" s="64"/>
      <c r="IK706" s="64"/>
      <c r="IL706" s="64"/>
      <c r="IM706" s="64"/>
      <c r="IN706" s="64"/>
      <c r="IO706" s="64"/>
      <c r="IP706" s="64"/>
      <c r="IQ706" s="64"/>
      <c r="IR706" s="64"/>
      <c r="IS706" s="64"/>
      <c r="IT706" s="64"/>
      <c r="IU706" s="64"/>
      <c r="IV706" s="64"/>
      <c r="IW706" s="64"/>
      <c r="IX706" s="64"/>
      <c r="IY706" s="64"/>
      <c r="IZ706" s="64"/>
      <c r="JA706" s="64"/>
      <c r="JB706" s="64"/>
      <c r="JC706" s="64"/>
      <c r="JD706" s="64"/>
      <c r="JE706" s="64"/>
      <c r="JF706" s="64"/>
      <c r="JG706" s="64"/>
      <c r="JH706" s="64"/>
      <c r="JI706" s="64"/>
      <c r="JJ706" s="64"/>
      <c r="JK706" s="64"/>
      <c r="JL706" s="64"/>
      <c r="JM706" s="64"/>
      <c r="JN706" s="64"/>
      <c r="JO706" s="64"/>
      <c r="JP706" s="64"/>
      <c r="JQ706" s="64"/>
      <c r="JR706" s="64"/>
      <c r="JS706" s="64"/>
      <c r="JT706" s="64"/>
      <c r="JU706" s="64"/>
      <c r="JV706" s="64"/>
      <c r="JW706" s="64"/>
      <c r="JX706" s="64"/>
      <c r="JY706" s="64"/>
      <c r="JZ706" s="64"/>
      <c r="KA706" s="64"/>
      <c r="KB706" s="64"/>
      <c r="KC706" s="64"/>
      <c r="KD706" s="64"/>
      <c r="KE706" s="64"/>
      <c r="KF706" s="64"/>
      <c r="KG706" s="64"/>
      <c r="KH706" s="64"/>
      <c r="KI706" s="64"/>
      <c r="KJ706" s="64"/>
      <c r="KK706" s="64"/>
      <c r="KL706" s="64"/>
      <c r="KM706" s="64"/>
      <c r="KN706" s="64"/>
      <c r="KO706" s="64"/>
      <c r="KP706" s="64"/>
      <c r="KQ706" s="64"/>
      <c r="KR706" s="64"/>
      <c r="KS706" s="64"/>
      <c r="KT706" s="64"/>
      <c r="KU706" s="64"/>
      <c r="KV706" s="64"/>
      <c r="KW706" s="64"/>
      <c r="KX706" s="64"/>
      <c r="KY706" s="64"/>
      <c r="KZ706" s="64"/>
      <c r="LA706" s="64"/>
      <c r="LB706" s="64"/>
      <c r="LC706" s="64"/>
      <c r="LD706" s="64"/>
      <c r="LE706" s="64"/>
      <c r="LF706" s="64"/>
      <c r="LG706" s="64"/>
      <c r="LH706" s="64"/>
      <c r="LI706" s="64"/>
      <c r="LJ706" s="64"/>
      <c r="LK706" s="64"/>
      <c r="LL706" s="64"/>
      <c r="LM706" s="64"/>
      <c r="LN706" s="64"/>
      <c r="LO706" s="64"/>
      <c r="LP706" s="64"/>
      <c r="LQ706" s="64"/>
      <c r="LR706" s="64"/>
      <c r="LS706" s="64"/>
      <c r="LT706" s="64"/>
      <c r="LU706" s="64"/>
      <c r="LV706" s="64"/>
      <c r="LW706" s="64"/>
      <c r="LX706" s="64"/>
      <c r="LY706" s="64"/>
      <c r="LZ706" s="64"/>
      <c r="MA706" s="64"/>
      <c r="MB706" s="64"/>
      <c r="MC706" s="64"/>
      <c r="MD706" s="64"/>
      <c r="ME706" s="64"/>
      <c r="MF706" s="64"/>
      <c r="MG706" s="64"/>
      <c r="MH706" s="64"/>
      <c r="MI706" s="64"/>
      <c r="MJ706" s="64"/>
      <c r="MK706" s="64"/>
      <c r="ML706" s="64"/>
      <c r="MM706" s="64"/>
      <c r="MN706" s="64"/>
      <c r="MO706" s="64"/>
      <c r="MP706" s="64"/>
      <c r="MQ706" s="64"/>
      <c r="MR706" s="64"/>
      <c r="MS706" s="64"/>
      <c r="MT706" s="64"/>
      <c r="MU706" s="64"/>
      <c r="MV706" s="64"/>
      <c r="MW706" s="64"/>
      <c r="MX706" s="64"/>
      <c r="MY706" s="64"/>
      <c r="MZ706" s="64"/>
      <c r="NA706" s="64"/>
      <c r="NB706" s="64"/>
      <c r="NC706" s="64"/>
      <c r="ND706" s="64"/>
      <c r="NE706" s="64"/>
      <c r="NF706" s="64"/>
      <c r="NG706" s="64"/>
      <c r="NH706" s="64"/>
      <c r="NI706" s="64"/>
      <c r="NJ706" s="64"/>
      <c r="NK706" s="64"/>
      <c r="NL706" s="64"/>
      <c r="NM706" s="64"/>
      <c r="NN706" s="64"/>
      <c r="NO706" s="64"/>
      <c r="NP706" s="64"/>
      <c r="NQ706" s="64"/>
      <c r="NR706" s="64"/>
      <c r="NS706" s="64"/>
      <c r="NT706" s="64"/>
      <c r="NU706" s="64"/>
      <c r="NV706" s="64"/>
      <c r="NW706" s="64"/>
      <c r="NX706" s="64"/>
      <c r="NY706" s="64"/>
      <c r="NZ706" s="64"/>
      <c r="OA706" s="64"/>
      <c r="OB706" s="64"/>
      <c r="OC706" s="64"/>
      <c r="OD706" s="64"/>
      <c r="OE706" s="64"/>
      <c r="OF706" s="64"/>
      <c r="OG706" s="64"/>
      <c r="OH706" s="64"/>
      <c r="OI706" s="64"/>
      <c r="OJ706" s="64"/>
      <c r="OK706" s="64"/>
      <c r="OL706" s="64"/>
      <c r="OM706" s="64"/>
      <c r="ON706" s="64"/>
      <c r="OO706" s="64"/>
      <c r="OP706" s="64"/>
      <c r="OQ706" s="64"/>
      <c r="OR706" s="64"/>
      <c r="OS706" s="64"/>
      <c r="OT706" s="64"/>
      <c r="OU706" s="64"/>
      <c r="OV706" s="64"/>
      <c r="OW706" s="64"/>
      <c r="OX706" s="64"/>
      <c r="OY706" s="64"/>
      <c r="OZ706" s="64"/>
      <c r="PA706" s="64"/>
      <c r="PB706" s="64"/>
      <c r="PC706" s="64"/>
      <c r="PD706" s="64"/>
      <c r="PE706" s="64"/>
      <c r="PF706" s="64"/>
      <c r="PG706" s="64"/>
      <c r="PH706" s="64"/>
      <c r="PI706" s="64"/>
    </row>
    <row r="707" spans="1:425" s="92" customFormat="1">
      <c r="A707" s="91"/>
      <c r="B707" s="91"/>
      <c r="C707" s="280" t="s">
        <v>1246</v>
      </c>
      <c r="D707" s="281"/>
      <c r="E707" s="281"/>
      <c r="F707" s="281"/>
      <c r="G707" s="281"/>
      <c r="H707" s="281"/>
      <c r="I707" s="281"/>
      <c r="J707" s="281"/>
      <c r="K707" s="281"/>
      <c r="L707" s="281"/>
      <c r="M707" s="282"/>
      <c r="N707" s="9" t="s">
        <v>1247</v>
      </c>
      <c r="O707" s="111" t="e">
        <f>+O685*#REF!</f>
        <v>#REF!</v>
      </c>
      <c r="P707" s="67"/>
      <c r="Q707" s="67"/>
      <c r="R707" s="67"/>
      <c r="S707" s="61" t="str">
        <f t="shared" si="134"/>
        <v>850</v>
      </c>
      <c r="T707" s="64" t="str">
        <f t="shared" si="136"/>
        <v>CONCILIACIÓN TRIBUTARIA</v>
      </c>
      <c r="U707" s="64" t="str">
        <f t="shared" si="137"/>
        <v>_</v>
      </c>
      <c r="V707" s="64" t="str">
        <f t="shared" si="129"/>
        <v xml:space="preserve">Total impuesto causado </v>
      </c>
      <c r="W707" s="64" t="str">
        <f t="shared" si="130"/>
        <v/>
      </c>
      <c r="X707" s="64" t="str">
        <f t="shared" si="138"/>
        <v/>
      </c>
      <c r="Y707" s="64" t="str">
        <f t="shared" si="139"/>
        <v/>
      </c>
      <c r="Z707" s="64" t="str">
        <f t="shared" si="140"/>
        <v/>
      </c>
      <c r="AA707" s="64" t="str">
        <f t="shared" si="135"/>
        <v>Total impuesto causado _</v>
      </c>
      <c r="AB707" s="64"/>
      <c r="AC707" s="64"/>
      <c r="AD707" s="64"/>
      <c r="AE707" s="64"/>
      <c r="AF707" s="64"/>
      <c r="AG707" s="64"/>
      <c r="AH707" s="64"/>
      <c r="AI707" s="64"/>
      <c r="AJ707" s="64"/>
      <c r="AK707" s="64"/>
      <c r="AL707" s="64"/>
      <c r="AM707" s="64"/>
      <c r="AN707" s="64"/>
      <c r="AO707" s="64"/>
      <c r="AP707" s="64"/>
      <c r="AQ707" s="64"/>
      <c r="AR707" s="64"/>
      <c r="AS707" s="64"/>
      <c r="AT707" s="64"/>
      <c r="AU707" s="64"/>
      <c r="AV707" s="64"/>
      <c r="AW707" s="64"/>
      <c r="AX707" s="64"/>
      <c r="AY707" s="64"/>
      <c r="AZ707" s="64"/>
      <c r="BA707" s="64"/>
      <c r="BB707" s="64"/>
      <c r="BC707" s="64"/>
      <c r="BD707" s="64"/>
      <c r="BE707" s="64"/>
      <c r="BF707" s="64"/>
      <c r="BG707" s="64"/>
      <c r="BH707" s="64"/>
      <c r="BI707" s="64"/>
      <c r="BJ707" s="64"/>
      <c r="BK707" s="64"/>
      <c r="BL707" s="64"/>
      <c r="BM707" s="64"/>
      <c r="BN707" s="64"/>
      <c r="BO707" s="64"/>
      <c r="BP707" s="64"/>
      <c r="BQ707" s="64"/>
      <c r="BR707" s="64"/>
      <c r="BS707" s="64"/>
      <c r="BT707" s="64"/>
      <c r="BU707" s="64"/>
      <c r="BV707" s="64"/>
      <c r="BW707" s="64"/>
      <c r="BX707" s="64"/>
      <c r="BY707" s="64"/>
      <c r="BZ707" s="64"/>
      <c r="CA707" s="64"/>
      <c r="CB707" s="64"/>
      <c r="CC707" s="64"/>
      <c r="CD707" s="64"/>
      <c r="CE707" s="64"/>
      <c r="CF707" s="64"/>
      <c r="CG707" s="64"/>
      <c r="CH707" s="64"/>
      <c r="CI707" s="64"/>
      <c r="CJ707" s="64"/>
      <c r="CK707" s="64"/>
      <c r="CL707" s="64"/>
      <c r="CM707" s="64"/>
      <c r="CN707" s="64"/>
      <c r="CO707" s="64"/>
      <c r="CP707" s="64"/>
      <c r="CQ707" s="64"/>
      <c r="CR707" s="64"/>
      <c r="CS707" s="64"/>
      <c r="CT707" s="64"/>
      <c r="CU707" s="64"/>
      <c r="CV707" s="64"/>
      <c r="CW707" s="64"/>
      <c r="CX707" s="64"/>
      <c r="CY707" s="64"/>
      <c r="CZ707" s="64"/>
      <c r="DA707" s="64"/>
      <c r="DB707" s="64"/>
      <c r="DC707" s="64"/>
      <c r="DD707" s="64"/>
      <c r="DE707" s="64"/>
      <c r="DF707" s="64"/>
      <c r="DG707" s="64"/>
      <c r="DH707" s="64"/>
      <c r="DI707" s="64"/>
      <c r="DJ707" s="64"/>
      <c r="DK707" s="64"/>
      <c r="DL707" s="64"/>
      <c r="DM707" s="64"/>
      <c r="DN707" s="64"/>
      <c r="DO707" s="64"/>
      <c r="DP707" s="64"/>
      <c r="DQ707" s="64"/>
      <c r="DR707" s="64"/>
      <c r="DS707" s="64"/>
      <c r="DT707" s="64"/>
      <c r="DU707" s="64"/>
      <c r="DV707" s="64"/>
      <c r="DW707" s="64"/>
      <c r="DX707" s="64"/>
      <c r="DY707" s="64"/>
      <c r="DZ707" s="64"/>
      <c r="EA707" s="64"/>
      <c r="EB707" s="64"/>
      <c r="EC707" s="64"/>
      <c r="ED707" s="64"/>
      <c r="EE707" s="64"/>
      <c r="EF707" s="64"/>
      <c r="EG707" s="64"/>
      <c r="EH707" s="64"/>
      <c r="EI707" s="64"/>
      <c r="EJ707" s="64"/>
      <c r="EK707" s="64"/>
      <c r="EL707" s="64"/>
      <c r="EM707" s="64"/>
      <c r="EN707" s="64"/>
      <c r="EO707" s="64"/>
      <c r="EP707" s="64"/>
      <c r="EQ707" s="64"/>
      <c r="ER707" s="64"/>
      <c r="ES707" s="64"/>
      <c r="ET707" s="64"/>
      <c r="EU707" s="64"/>
      <c r="EV707" s="64"/>
      <c r="EW707" s="64"/>
      <c r="EX707" s="64"/>
      <c r="EY707" s="64"/>
      <c r="EZ707" s="64"/>
      <c r="FA707" s="64"/>
      <c r="FB707" s="64"/>
      <c r="FC707" s="64"/>
      <c r="FD707" s="64"/>
      <c r="FE707" s="64"/>
      <c r="FF707" s="64"/>
      <c r="FG707" s="64"/>
      <c r="FH707" s="64"/>
      <c r="FI707" s="64"/>
      <c r="FJ707" s="64"/>
      <c r="FK707" s="64"/>
      <c r="FL707" s="64"/>
      <c r="FM707" s="64"/>
      <c r="FN707" s="64"/>
      <c r="FO707" s="64"/>
      <c r="FP707" s="64"/>
      <c r="FQ707" s="64"/>
      <c r="FR707" s="64"/>
      <c r="FS707" s="64"/>
      <c r="FT707" s="64"/>
      <c r="FU707" s="64"/>
      <c r="FV707" s="64"/>
      <c r="FW707" s="64"/>
      <c r="FX707" s="64"/>
      <c r="FY707" s="64"/>
      <c r="FZ707" s="64"/>
      <c r="GA707" s="64"/>
      <c r="GB707" s="64"/>
      <c r="GC707" s="64"/>
      <c r="GD707" s="64"/>
      <c r="GE707" s="64"/>
      <c r="GF707" s="64"/>
      <c r="GG707" s="64"/>
      <c r="GH707" s="64"/>
      <c r="GI707" s="64"/>
      <c r="GJ707" s="64"/>
      <c r="GK707" s="64"/>
      <c r="GL707" s="64"/>
      <c r="GM707" s="64"/>
      <c r="GN707" s="64"/>
      <c r="GO707" s="64"/>
      <c r="GP707" s="64"/>
      <c r="GQ707" s="64"/>
      <c r="GR707" s="64"/>
      <c r="GS707" s="64"/>
      <c r="GT707" s="64"/>
      <c r="GU707" s="64"/>
      <c r="GV707" s="64"/>
      <c r="GW707" s="64"/>
      <c r="GX707" s="64"/>
      <c r="GY707" s="64"/>
      <c r="GZ707" s="64"/>
      <c r="HA707" s="64"/>
      <c r="HB707" s="64"/>
      <c r="HC707" s="64"/>
      <c r="HD707" s="64"/>
      <c r="HE707" s="64"/>
      <c r="HF707" s="64"/>
      <c r="HG707" s="64"/>
      <c r="HH707" s="64"/>
      <c r="HI707" s="64"/>
      <c r="HJ707" s="64"/>
      <c r="HK707" s="64"/>
      <c r="HL707" s="64"/>
      <c r="HM707" s="64"/>
      <c r="HN707" s="64"/>
      <c r="HO707" s="64"/>
      <c r="HP707" s="64"/>
      <c r="HQ707" s="64"/>
      <c r="HR707" s="64"/>
      <c r="HS707" s="64"/>
      <c r="HT707" s="64"/>
      <c r="HU707" s="64"/>
      <c r="HV707" s="64"/>
      <c r="HW707" s="64"/>
      <c r="HX707" s="64"/>
      <c r="HY707" s="64"/>
      <c r="HZ707" s="64"/>
      <c r="IA707" s="64"/>
      <c r="IB707" s="64"/>
      <c r="IC707" s="64"/>
      <c r="ID707" s="64"/>
      <c r="IE707" s="64"/>
      <c r="IF707" s="64"/>
      <c r="IG707" s="64"/>
      <c r="IH707" s="64"/>
      <c r="II707" s="64"/>
      <c r="IJ707" s="64"/>
      <c r="IK707" s="64"/>
      <c r="IL707" s="64"/>
      <c r="IM707" s="64"/>
      <c r="IN707" s="64"/>
      <c r="IO707" s="64"/>
      <c r="IP707" s="64"/>
      <c r="IQ707" s="64"/>
      <c r="IR707" s="64"/>
      <c r="IS707" s="64"/>
      <c r="IT707" s="64"/>
      <c r="IU707" s="64"/>
      <c r="IV707" s="64"/>
      <c r="IW707" s="64"/>
      <c r="IX707" s="64"/>
      <c r="IY707" s="64"/>
      <c r="IZ707" s="64"/>
      <c r="JA707" s="64"/>
      <c r="JB707" s="64"/>
      <c r="JC707" s="64"/>
      <c r="JD707" s="64"/>
      <c r="JE707" s="64"/>
      <c r="JF707" s="64"/>
      <c r="JG707" s="64"/>
      <c r="JH707" s="64"/>
      <c r="JI707" s="64"/>
      <c r="JJ707" s="64"/>
      <c r="JK707" s="64"/>
      <c r="JL707" s="64"/>
      <c r="JM707" s="64"/>
      <c r="JN707" s="64"/>
      <c r="JO707" s="64"/>
      <c r="JP707" s="64"/>
      <c r="JQ707" s="64"/>
      <c r="JR707" s="64"/>
      <c r="JS707" s="64"/>
      <c r="JT707" s="64"/>
      <c r="JU707" s="64"/>
      <c r="JV707" s="64"/>
      <c r="JW707" s="64"/>
      <c r="JX707" s="64"/>
      <c r="JY707" s="64"/>
      <c r="JZ707" s="64"/>
      <c r="KA707" s="64"/>
      <c r="KB707" s="64"/>
      <c r="KC707" s="64"/>
      <c r="KD707" s="64"/>
      <c r="KE707" s="64"/>
      <c r="KF707" s="64"/>
      <c r="KG707" s="64"/>
      <c r="KH707" s="64"/>
      <c r="KI707" s="64"/>
      <c r="KJ707" s="64"/>
      <c r="KK707" s="64"/>
      <c r="KL707" s="64"/>
      <c r="KM707" s="64"/>
      <c r="KN707" s="64"/>
      <c r="KO707" s="64"/>
      <c r="KP707" s="64"/>
      <c r="KQ707" s="64"/>
      <c r="KR707" s="64"/>
      <c r="KS707" s="64"/>
      <c r="KT707" s="64"/>
      <c r="KU707" s="64"/>
      <c r="KV707" s="64"/>
      <c r="KW707" s="64"/>
      <c r="KX707" s="64"/>
      <c r="KY707" s="64"/>
      <c r="KZ707" s="64"/>
      <c r="LA707" s="64"/>
      <c r="LB707" s="64"/>
      <c r="LC707" s="64"/>
      <c r="LD707" s="64"/>
      <c r="LE707" s="64"/>
      <c r="LF707" s="64"/>
      <c r="LG707" s="64"/>
      <c r="LH707" s="64"/>
      <c r="LI707" s="64"/>
      <c r="LJ707" s="64"/>
      <c r="LK707" s="64"/>
      <c r="LL707" s="64"/>
      <c r="LM707" s="64"/>
      <c r="LN707" s="64"/>
      <c r="LO707" s="64"/>
      <c r="LP707" s="64"/>
      <c r="LQ707" s="64"/>
      <c r="LR707" s="64"/>
      <c r="LS707" s="64"/>
      <c r="LT707" s="64"/>
      <c r="LU707" s="64"/>
      <c r="LV707" s="64"/>
      <c r="LW707" s="64"/>
      <c r="LX707" s="64"/>
      <c r="LY707" s="64"/>
      <c r="LZ707" s="64"/>
      <c r="MA707" s="64"/>
      <c r="MB707" s="64"/>
      <c r="MC707" s="64"/>
      <c r="MD707" s="64"/>
      <c r="ME707" s="64"/>
      <c r="MF707" s="64"/>
      <c r="MG707" s="64"/>
      <c r="MH707" s="64"/>
      <c r="MI707" s="64"/>
      <c r="MJ707" s="64"/>
      <c r="MK707" s="64"/>
      <c r="ML707" s="64"/>
      <c r="MM707" s="64"/>
      <c r="MN707" s="64"/>
      <c r="MO707" s="64"/>
      <c r="MP707" s="64"/>
      <c r="MQ707" s="64"/>
      <c r="MR707" s="64"/>
      <c r="MS707" s="64"/>
      <c r="MT707" s="64"/>
      <c r="MU707" s="64"/>
      <c r="MV707" s="64"/>
      <c r="MW707" s="64"/>
      <c r="MX707" s="64"/>
      <c r="MY707" s="64"/>
      <c r="MZ707" s="64"/>
      <c r="NA707" s="64"/>
      <c r="NB707" s="64"/>
      <c r="NC707" s="64"/>
      <c r="ND707" s="64"/>
      <c r="NE707" s="64"/>
      <c r="NF707" s="64"/>
      <c r="NG707" s="64"/>
      <c r="NH707" s="64"/>
      <c r="NI707" s="64"/>
      <c r="NJ707" s="64"/>
      <c r="NK707" s="64"/>
      <c r="NL707" s="64"/>
      <c r="NM707" s="64"/>
      <c r="NN707" s="64"/>
      <c r="NO707" s="64"/>
      <c r="NP707" s="64"/>
      <c r="NQ707" s="64"/>
      <c r="NR707" s="64"/>
      <c r="NS707" s="64"/>
      <c r="NT707" s="64"/>
      <c r="NU707" s="64"/>
      <c r="NV707" s="64"/>
      <c r="NW707" s="64"/>
      <c r="NX707" s="64"/>
      <c r="NY707" s="64"/>
      <c r="NZ707" s="64"/>
      <c r="OA707" s="64"/>
      <c r="OB707" s="64"/>
      <c r="OC707" s="64"/>
      <c r="OD707" s="64"/>
      <c r="OE707" s="64"/>
      <c r="OF707" s="64"/>
      <c r="OG707" s="64"/>
      <c r="OH707" s="64"/>
      <c r="OI707" s="64"/>
      <c r="OJ707" s="64"/>
      <c r="OK707" s="64"/>
      <c r="OL707" s="64"/>
      <c r="OM707" s="64"/>
      <c r="ON707" s="64"/>
      <c r="OO707" s="64"/>
      <c r="OP707" s="64"/>
      <c r="OQ707" s="64"/>
      <c r="OR707" s="64"/>
      <c r="OS707" s="64"/>
      <c r="OT707" s="64"/>
      <c r="OU707" s="64"/>
      <c r="OV707" s="64"/>
      <c r="OW707" s="64"/>
      <c r="OX707" s="64"/>
      <c r="OY707" s="64"/>
      <c r="OZ707" s="64"/>
      <c r="PA707" s="64"/>
      <c r="PB707" s="64"/>
      <c r="PC707" s="64"/>
      <c r="PD707" s="64"/>
      <c r="PE707" s="64"/>
      <c r="PF707" s="64"/>
      <c r="PG707" s="64"/>
      <c r="PH707" s="64"/>
      <c r="PI707" s="64"/>
    </row>
    <row r="708" spans="1:425" s="85" customFormat="1">
      <c r="A708" s="70"/>
      <c r="B708" s="70"/>
      <c r="C708" s="273" t="s">
        <v>1248</v>
      </c>
      <c r="D708" s="274"/>
      <c r="E708" s="274"/>
      <c r="F708" s="274"/>
      <c r="G708" s="274"/>
      <c r="H708" s="274"/>
      <c r="I708" s="274"/>
      <c r="J708" s="274"/>
      <c r="K708" s="274"/>
      <c r="L708" s="274"/>
      <c r="M708" s="275"/>
      <c r="N708" s="9" t="s">
        <v>1249</v>
      </c>
      <c r="O708" s="106">
        <f>VLOOKUP(N708,Casilleros!$A$4:$Q$830,16,FALSE)</f>
        <v>0</v>
      </c>
      <c r="P708" s="67"/>
      <c r="Q708" s="67"/>
      <c r="R708" s="67"/>
      <c r="S708" s="61" t="str">
        <f t="shared" si="134"/>
        <v>039</v>
      </c>
      <c r="T708" s="64" t="str">
        <f t="shared" si="136"/>
        <v>CONCILIACIÓN TRIBUTARIA</v>
      </c>
      <c r="U708" s="64" t="str">
        <f t="shared" si="137"/>
        <v>_</v>
      </c>
      <c r="V708" s="64" t="str">
        <f t="shared" si="129"/>
        <v xml:space="preserve">¿Tiene derecho a la exoneración del impuesto a la renta para entidades del sector financiero popular y solidario resultantes de procesos de fusión de los segmentos distintos a los dos últimos? </v>
      </c>
      <c r="W708" s="64" t="str">
        <f t="shared" si="130"/>
        <v/>
      </c>
      <c r="X708" s="64" t="str">
        <f t="shared" si="138"/>
        <v/>
      </c>
      <c r="Y708" s="64" t="str">
        <f t="shared" si="139"/>
        <v/>
      </c>
      <c r="Z708" s="64" t="str">
        <f t="shared" si="140"/>
        <v/>
      </c>
      <c r="AA708" s="64" t="str">
        <f t="shared" si="135"/>
        <v>¿Tiene derecho a la exoneración del impuesto a la renta para entidades del sector financiero popular y solidario resultantes de procesos de fusión de los segmentos distintos a los dos últimos? _</v>
      </c>
      <c r="AB708" s="64"/>
      <c r="AC708" s="64"/>
      <c r="AD708" s="64"/>
      <c r="AE708" s="64"/>
      <c r="AF708" s="64"/>
      <c r="AG708" s="64"/>
      <c r="AH708" s="64"/>
      <c r="AI708" s="64"/>
      <c r="AJ708" s="64"/>
      <c r="AK708" s="64"/>
      <c r="AL708" s="64"/>
      <c r="AM708" s="64"/>
      <c r="AN708" s="64"/>
      <c r="AO708" s="64"/>
      <c r="AP708" s="64"/>
      <c r="AQ708" s="64"/>
      <c r="AR708" s="64"/>
      <c r="AS708" s="64"/>
      <c r="AT708" s="64"/>
      <c r="AU708" s="64"/>
      <c r="AV708" s="64"/>
      <c r="AW708" s="64"/>
      <c r="AX708" s="64"/>
      <c r="AY708" s="64"/>
      <c r="AZ708" s="64"/>
      <c r="BA708" s="64"/>
      <c r="BB708" s="64"/>
      <c r="BC708" s="64"/>
      <c r="BD708" s="64"/>
      <c r="BE708" s="64"/>
      <c r="BF708" s="64"/>
      <c r="BG708" s="64"/>
      <c r="BH708" s="64"/>
      <c r="BI708" s="64"/>
      <c r="BJ708" s="64"/>
      <c r="BK708" s="64"/>
      <c r="BL708" s="64"/>
      <c r="BM708" s="64"/>
      <c r="BN708" s="64"/>
      <c r="BO708" s="64"/>
      <c r="BP708" s="64"/>
      <c r="BQ708" s="64"/>
      <c r="BR708" s="64"/>
      <c r="BS708" s="64"/>
      <c r="BT708" s="64"/>
      <c r="BU708" s="64"/>
      <c r="BV708" s="64"/>
      <c r="BW708" s="64"/>
      <c r="BX708" s="64"/>
      <c r="BY708" s="64"/>
      <c r="BZ708" s="64"/>
      <c r="CA708" s="64"/>
      <c r="CB708" s="64"/>
      <c r="CC708" s="64"/>
      <c r="CD708" s="64"/>
      <c r="CE708" s="64"/>
      <c r="CF708" s="64"/>
      <c r="CG708" s="64"/>
      <c r="CH708" s="64"/>
      <c r="CI708" s="64"/>
      <c r="CJ708" s="64"/>
      <c r="CK708" s="64"/>
      <c r="CL708" s="64"/>
      <c r="CM708" s="64"/>
      <c r="CN708" s="64"/>
      <c r="CO708" s="64"/>
      <c r="CP708" s="64"/>
      <c r="CQ708" s="64"/>
      <c r="CR708" s="64"/>
      <c r="CS708" s="64"/>
      <c r="CT708" s="64"/>
      <c r="CU708" s="64"/>
      <c r="CV708" s="64"/>
      <c r="CW708" s="64"/>
      <c r="CX708" s="64"/>
      <c r="CY708" s="64"/>
      <c r="CZ708" s="64"/>
      <c r="DA708" s="64"/>
      <c r="DB708" s="64"/>
      <c r="DC708" s="64"/>
      <c r="DD708" s="64"/>
      <c r="DE708" s="64"/>
      <c r="DF708" s="64"/>
      <c r="DG708" s="64"/>
      <c r="DH708" s="64"/>
      <c r="DI708" s="64"/>
      <c r="DJ708" s="64"/>
      <c r="DK708" s="64"/>
      <c r="DL708" s="64"/>
      <c r="DM708" s="64"/>
      <c r="DN708" s="64"/>
      <c r="DO708" s="64"/>
      <c r="DP708" s="64"/>
      <c r="DQ708" s="64"/>
      <c r="DR708" s="64"/>
      <c r="DS708" s="64"/>
      <c r="DT708" s="64"/>
      <c r="DU708" s="64"/>
      <c r="DV708" s="64"/>
      <c r="DW708" s="64"/>
      <c r="DX708" s="64"/>
      <c r="DY708" s="64"/>
      <c r="DZ708" s="64"/>
      <c r="EA708" s="64"/>
      <c r="EB708" s="64"/>
      <c r="EC708" s="64"/>
      <c r="ED708" s="64"/>
      <c r="EE708" s="64"/>
      <c r="EF708" s="64"/>
      <c r="EG708" s="64"/>
      <c r="EH708" s="64"/>
      <c r="EI708" s="64"/>
      <c r="EJ708" s="64"/>
      <c r="EK708" s="64"/>
      <c r="EL708" s="64"/>
      <c r="EM708" s="64"/>
      <c r="EN708" s="64"/>
      <c r="EO708" s="64"/>
      <c r="EP708" s="64"/>
      <c r="EQ708" s="64"/>
      <c r="ER708" s="64"/>
      <c r="ES708" s="64"/>
      <c r="ET708" s="64"/>
      <c r="EU708" s="64"/>
      <c r="EV708" s="64"/>
      <c r="EW708" s="64"/>
      <c r="EX708" s="64"/>
      <c r="EY708" s="64"/>
      <c r="EZ708" s="64"/>
      <c r="FA708" s="64"/>
      <c r="FB708" s="64"/>
      <c r="FC708" s="64"/>
      <c r="FD708" s="64"/>
      <c r="FE708" s="64"/>
      <c r="FF708" s="64"/>
      <c r="FG708" s="64"/>
      <c r="FH708" s="64"/>
      <c r="FI708" s="64"/>
      <c r="FJ708" s="64"/>
      <c r="FK708" s="64"/>
      <c r="FL708" s="64"/>
      <c r="FM708" s="64"/>
      <c r="FN708" s="64"/>
      <c r="FO708" s="64"/>
      <c r="FP708" s="64"/>
      <c r="FQ708" s="64"/>
      <c r="FR708" s="64"/>
      <c r="FS708" s="64"/>
      <c r="FT708" s="64"/>
      <c r="FU708" s="64"/>
      <c r="FV708" s="64"/>
      <c r="FW708" s="64"/>
      <c r="FX708" s="64"/>
      <c r="FY708" s="64"/>
      <c r="FZ708" s="64"/>
      <c r="GA708" s="64"/>
      <c r="GB708" s="64"/>
      <c r="GC708" s="64"/>
      <c r="GD708" s="64"/>
      <c r="GE708" s="64"/>
      <c r="GF708" s="64"/>
      <c r="GG708" s="64"/>
      <c r="GH708" s="64"/>
      <c r="GI708" s="64"/>
      <c r="GJ708" s="64"/>
      <c r="GK708" s="64"/>
      <c r="GL708" s="64"/>
      <c r="GM708" s="64"/>
      <c r="GN708" s="64"/>
      <c r="GO708" s="64"/>
      <c r="GP708" s="64"/>
      <c r="GQ708" s="64"/>
      <c r="GR708" s="64"/>
      <c r="GS708" s="64"/>
      <c r="GT708" s="64"/>
      <c r="GU708" s="64"/>
      <c r="GV708" s="64"/>
      <c r="GW708" s="64"/>
      <c r="GX708" s="64"/>
      <c r="GY708" s="64"/>
      <c r="GZ708" s="64"/>
      <c r="HA708" s="64"/>
      <c r="HB708" s="64"/>
      <c r="HC708" s="64"/>
      <c r="HD708" s="64"/>
      <c r="HE708" s="64"/>
      <c r="HF708" s="64"/>
      <c r="HG708" s="64"/>
      <c r="HH708" s="64"/>
      <c r="HI708" s="64"/>
      <c r="HJ708" s="64"/>
      <c r="HK708" s="64"/>
      <c r="HL708" s="64"/>
      <c r="HM708" s="64"/>
      <c r="HN708" s="64"/>
      <c r="HO708" s="64"/>
      <c r="HP708" s="64"/>
      <c r="HQ708" s="64"/>
      <c r="HR708" s="64"/>
      <c r="HS708" s="64"/>
      <c r="HT708" s="64"/>
      <c r="HU708" s="64"/>
      <c r="HV708" s="64"/>
      <c r="HW708" s="64"/>
      <c r="HX708" s="64"/>
      <c r="HY708" s="64"/>
      <c r="HZ708" s="64"/>
      <c r="IA708" s="64"/>
      <c r="IB708" s="64"/>
      <c r="IC708" s="64"/>
      <c r="ID708" s="64"/>
      <c r="IE708" s="64"/>
      <c r="IF708" s="64"/>
      <c r="IG708" s="64"/>
      <c r="IH708" s="64"/>
      <c r="II708" s="64"/>
      <c r="IJ708" s="64"/>
      <c r="IK708" s="64"/>
      <c r="IL708" s="64"/>
      <c r="IM708" s="64"/>
      <c r="IN708" s="64"/>
      <c r="IO708" s="64"/>
      <c r="IP708" s="64"/>
      <c r="IQ708" s="64"/>
      <c r="IR708" s="64"/>
      <c r="IS708" s="64"/>
      <c r="IT708" s="64"/>
      <c r="IU708" s="64"/>
      <c r="IV708" s="64"/>
      <c r="IW708" s="64"/>
      <c r="IX708" s="64"/>
      <c r="IY708" s="64"/>
      <c r="IZ708" s="64"/>
      <c r="JA708" s="64"/>
      <c r="JB708" s="64"/>
      <c r="JC708" s="64"/>
      <c r="JD708" s="64"/>
      <c r="JE708" s="64"/>
      <c r="JF708" s="64"/>
      <c r="JG708" s="64"/>
      <c r="JH708" s="64"/>
      <c r="JI708" s="64"/>
      <c r="JJ708" s="64"/>
      <c r="JK708" s="64"/>
      <c r="JL708" s="64"/>
      <c r="JM708" s="64"/>
      <c r="JN708" s="64"/>
      <c r="JO708" s="64"/>
      <c r="JP708" s="64"/>
      <c r="JQ708" s="64"/>
      <c r="JR708" s="64"/>
      <c r="JS708" s="64"/>
      <c r="JT708" s="64"/>
      <c r="JU708" s="64"/>
      <c r="JV708" s="64"/>
      <c r="JW708" s="64"/>
      <c r="JX708" s="64"/>
      <c r="JY708" s="64"/>
      <c r="JZ708" s="64"/>
      <c r="KA708" s="64"/>
      <c r="KB708" s="64"/>
      <c r="KC708" s="64"/>
      <c r="KD708" s="64"/>
      <c r="KE708" s="64"/>
      <c r="KF708" s="64"/>
      <c r="KG708" s="64"/>
      <c r="KH708" s="64"/>
      <c r="KI708" s="64"/>
      <c r="KJ708" s="64"/>
      <c r="KK708" s="64"/>
      <c r="KL708" s="64"/>
      <c r="KM708" s="64"/>
      <c r="KN708" s="64"/>
      <c r="KO708" s="64"/>
      <c r="KP708" s="64"/>
      <c r="KQ708" s="64"/>
      <c r="KR708" s="64"/>
      <c r="KS708" s="64"/>
      <c r="KT708" s="64"/>
      <c r="KU708" s="64"/>
      <c r="KV708" s="64"/>
      <c r="KW708" s="64"/>
      <c r="KX708" s="64"/>
      <c r="KY708" s="64"/>
      <c r="KZ708" s="64"/>
      <c r="LA708" s="64"/>
      <c r="LB708" s="64"/>
      <c r="LC708" s="64"/>
      <c r="LD708" s="64"/>
      <c r="LE708" s="64"/>
      <c r="LF708" s="64"/>
      <c r="LG708" s="64"/>
      <c r="LH708" s="64"/>
      <c r="LI708" s="64"/>
      <c r="LJ708" s="64"/>
      <c r="LK708" s="64"/>
      <c r="LL708" s="64"/>
      <c r="LM708" s="64"/>
      <c r="LN708" s="64"/>
      <c r="LO708" s="64"/>
      <c r="LP708" s="64"/>
      <c r="LQ708" s="64"/>
      <c r="LR708" s="64"/>
      <c r="LS708" s="64"/>
      <c r="LT708" s="64"/>
      <c r="LU708" s="64"/>
      <c r="LV708" s="64"/>
      <c r="LW708" s="64"/>
      <c r="LX708" s="64"/>
      <c r="LY708" s="64"/>
      <c r="LZ708" s="64"/>
      <c r="MA708" s="64"/>
      <c r="MB708" s="64"/>
      <c r="MC708" s="64"/>
      <c r="MD708" s="64"/>
      <c r="ME708" s="64"/>
      <c r="MF708" s="64"/>
      <c r="MG708" s="64"/>
      <c r="MH708" s="64"/>
      <c r="MI708" s="64"/>
      <c r="MJ708" s="64"/>
      <c r="MK708" s="64"/>
      <c r="ML708" s="64"/>
      <c r="MM708" s="64"/>
      <c r="MN708" s="64"/>
      <c r="MO708" s="64"/>
      <c r="MP708" s="64"/>
      <c r="MQ708" s="64"/>
      <c r="MR708" s="64"/>
      <c r="MS708" s="64"/>
      <c r="MT708" s="64"/>
      <c r="MU708" s="64"/>
      <c r="MV708" s="64"/>
      <c r="MW708" s="64"/>
      <c r="MX708" s="64"/>
      <c r="MY708" s="64"/>
      <c r="MZ708" s="64"/>
      <c r="NA708" s="64"/>
      <c r="NB708" s="64"/>
      <c r="NC708" s="64"/>
      <c r="ND708" s="64"/>
      <c r="NE708" s="64"/>
      <c r="NF708" s="64"/>
      <c r="NG708" s="64"/>
      <c r="NH708" s="64"/>
      <c r="NI708" s="64"/>
      <c r="NJ708" s="64"/>
      <c r="NK708" s="64"/>
      <c r="NL708" s="64"/>
      <c r="NM708" s="64"/>
      <c r="NN708" s="64"/>
      <c r="NO708" s="64"/>
      <c r="NP708" s="64"/>
      <c r="NQ708" s="64"/>
      <c r="NR708" s="64"/>
      <c r="NS708" s="64"/>
      <c r="NT708" s="64"/>
      <c r="NU708" s="64"/>
      <c r="NV708" s="64"/>
      <c r="NW708" s="64"/>
      <c r="NX708" s="64"/>
      <c r="NY708" s="64"/>
      <c r="NZ708" s="64"/>
      <c r="OA708" s="64"/>
      <c r="OB708" s="64"/>
      <c r="OC708" s="64"/>
      <c r="OD708" s="64"/>
      <c r="OE708" s="64"/>
      <c r="OF708" s="64"/>
      <c r="OG708" s="64"/>
      <c r="OH708" s="64"/>
      <c r="OI708" s="64"/>
      <c r="OJ708" s="64"/>
      <c r="OK708" s="64"/>
      <c r="OL708" s="64"/>
      <c r="OM708" s="64"/>
      <c r="ON708" s="64"/>
      <c r="OO708" s="64"/>
      <c r="OP708" s="64"/>
      <c r="OQ708" s="64"/>
      <c r="OR708" s="64"/>
      <c r="OS708" s="64"/>
      <c r="OT708" s="64"/>
      <c r="OU708" s="64"/>
      <c r="OV708" s="64"/>
      <c r="OW708" s="64"/>
      <c r="OX708" s="64"/>
      <c r="OY708" s="64"/>
      <c r="OZ708" s="64"/>
      <c r="PA708" s="64"/>
      <c r="PB708" s="64"/>
      <c r="PC708" s="64"/>
      <c r="PD708" s="64"/>
      <c r="PE708" s="64"/>
      <c r="PF708" s="64"/>
      <c r="PG708" s="64"/>
      <c r="PH708" s="64"/>
      <c r="PI708" s="64"/>
    </row>
    <row r="709" spans="1:425" s="85" customFormat="1">
      <c r="A709" s="70"/>
      <c r="B709" s="70"/>
      <c r="C709" s="270" t="s">
        <v>1250</v>
      </c>
      <c r="D709" s="271"/>
      <c r="E709" s="271"/>
      <c r="F709" s="271"/>
      <c r="G709" s="271"/>
      <c r="H709" s="271"/>
      <c r="I709" s="271"/>
      <c r="J709" s="271"/>
      <c r="K709" s="271"/>
      <c r="L709" s="271"/>
      <c r="M709" s="272"/>
      <c r="N709" s="9" t="s">
        <v>1251</v>
      </c>
      <c r="O709" s="107">
        <f>VLOOKUP(N709,Casilleros!$A$4:$Q$830,16,FALSE)</f>
        <v>0</v>
      </c>
      <c r="P709" s="67"/>
      <c r="Q709" s="67"/>
      <c r="R709" s="67"/>
      <c r="S709" s="61" t="str">
        <f t="shared" si="134"/>
        <v>040</v>
      </c>
      <c r="T709" s="64" t="str">
        <f t="shared" si="136"/>
        <v>CONCILIACIÓN TRIBUTARIA</v>
      </c>
      <c r="U709" s="64" t="str">
        <f t="shared" si="137"/>
        <v>_</v>
      </c>
      <c r="V709" s="64" t="str">
        <f t="shared" si="129"/>
        <v>Porcentaje de la relación entre el activo total de la entidad de menor tamaño respecto al activo total de la entidad absorbente</v>
      </c>
      <c r="W709" s="64" t="str">
        <f t="shared" si="130"/>
        <v/>
      </c>
      <c r="X709" s="64" t="str">
        <f t="shared" si="138"/>
        <v/>
      </c>
      <c r="Y709" s="64" t="str">
        <f t="shared" si="139"/>
        <v/>
      </c>
      <c r="Z709" s="64" t="str">
        <f t="shared" si="140"/>
        <v/>
      </c>
      <c r="AA709" s="64" t="str">
        <f t="shared" si="135"/>
        <v>Porcentaje de la relación entre el activo total de la entidad de menor tamaño respecto al activo total de la entidad absorbente_</v>
      </c>
      <c r="AB709" s="64"/>
      <c r="AC709" s="64"/>
      <c r="AD709" s="64"/>
      <c r="AE709" s="64"/>
      <c r="AF709" s="64"/>
      <c r="AG709" s="64"/>
      <c r="AH709" s="64"/>
      <c r="AI709" s="64"/>
      <c r="AJ709" s="64"/>
      <c r="AK709" s="64"/>
      <c r="AL709" s="64"/>
      <c r="AM709" s="64"/>
      <c r="AN709" s="64"/>
      <c r="AO709" s="64"/>
      <c r="AP709" s="64"/>
      <c r="AQ709" s="64"/>
      <c r="AR709" s="64"/>
      <c r="AS709" s="64"/>
      <c r="AT709" s="64"/>
      <c r="AU709" s="64"/>
      <c r="AV709" s="64"/>
      <c r="AW709" s="64"/>
      <c r="AX709" s="64"/>
      <c r="AY709" s="64"/>
      <c r="AZ709" s="64"/>
      <c r="BA709" s="64"/>
      <c r="BB709" s="64"/>
      <c r="BC709" s="64"/>
      <c r="BD709" s="64"/>
      <c r="BE709" s="64"/>
      <c r="BF709" s="64"/>
      <c r="BG709" s="64"/>
      <c r="BH709" s="64"/>
      <c r="BI709" s="64"/>
      <c r="BJ709" s="64"/>
      <c r="BK709" s="64"/>
      <c r="BL709" s="64"/>
      <c r="BM709" s="64"/>
      <c r="BN709" s="64"/>
      <c r="BO709" s="64"/>
      <c r="BP709" s="64"/>
      <c r="BQ709" s="64"/>
      <c r="BR709" s="64"/>
      <c r="BS709" s="64"/>
      <c r="BT709" s="64"/>
      <c r="BU709" s="64"/>
      <c r="BV709" s="64"/>
      <c r="BW709" s="64"/>
      <c r="BX709" s="64"/>
      <c r="BY709" s="64"/>
      <c r="BZ709" s="64"/>
      <c r="CA709" s="64"/>
      <c r="CB709" s="64"/>
      <c r="CC709" s="64"/>
      <c r="CD709" s="64"/>
      <c r="CE709" s="64"/>
      <c r="CF709" s="64"/>
      <c r="CG709" s="64"/>
      <c r="CH709" s="64"/>
      <c r="CI709" s="64"/>
      <c r="CJ709" s="64"/>
      <c r="CK709" s="64"/>
      <c r="CL709" s="64"/>
      <c r="CM709" s="64"/>
      <c r="CN709" s="64"/>
      <c r="CO709" s="64"/>
      <c r="CP709" s="64"/>
      <c r="CQ709" s="64"/>
      <c r="CR709" s="64"/>
      <c r="CS709" s="64"/>
      <c r="CT709" s="64"/>
      <c r="CU709" s="64"/>
      <c r="CV709" s="64"/>
      <c r="CW709" s="64"/>
      <c r="CX709" s="64"/>
      <c r="CY709" s="64"/>
      <c r="CZ709" s="64"/>
      <c r="DA709" s="64"/>
      <c r="DB709" s="64"/>
      <c r="DC709" s="64"/>
      <c r="DD709" s="64"/>
      <c r="DE709" s="64"/>
      <c r="DF709" s="64"/>
      <c r="DG709" s="64"/>
      <c r="DH709" s="64"/>
      <c r="DI709" s="64"/>
      <c r="DJ709" s="64"/>
      <c r="DK709" s="64"/>
      <c r="DL709" s="64"/>
      <c r="DM709" s="64"/>
      <c r="DN709" s="64"/>
      <c r="DO709" s="64"/>
      <c r="DP709" s="64"/>
      <c r="DQ709" s="64"/>
      <c r="DR709" s="64"/>
      <c r="DS709" s="64"/>
      <c r="DT709" s="64"/>
      <c r="DU709" s="64"/>
      <c r="DV709" s="64"/>
      <c r="DW709" s="64"/>
      <c r="DX709" s="64"/>
      <c r="DY709" s="64"/>
      <c r="DZ709" s="64"/>
      <c r="EA709" s="64"/>
      <c r="EB709" s="64"/>
      <c r="EC709" s="64"/>
      <c r="ED709" s="64"/>
      <c r="EE709" s="64"/>
      <c r="EF709" s="64"/>
      <c r="EG709" s="64"/>
      <c r="EH709" s="64"/>
      <c r="EI709" s="64"/>
      <c r="EJ709" s="64"/>
      <c r="EK709" s="64"/>
      <c r="EL709" s="64"/>
      <c r="EM709" s="64"/>
      <c r="EN709" s="64"/>
      <c r="EO709" s="64"/>
      <c r="EP709" s="64"/>
      <c r="EQ709" s="64"/>
      <c r="ER709" s="64"/>
      <c r="ES709" s="64"/>
      <c r="ET709" s="64"/>
      <c r="EU709" s="64"/>
      <c r="EV709" s="64"/>
      <c r="EW709" s="64"/>
      <c r="EX709" s="64"/>
      <c r="EY709" s="64"/>
      <c r="EZ709" s="64"/>
      <c r="FA709" s="64"/>
      <c r="FB709" s="64"/>
      <c r="FC709" s="64"/>
      <c r="FD709" s="64"/>
      <c r="FE709" s="64"/>
      <c r="FF709" s="64"/>
      <c r="FG709" s="64"/>
      <c r="FH709" s="64"/>
      <c r="FI709" s="64"/>
      <c r="FJ709" s="64"/>
      <c r="FK709" s="64"/>
      <c r="FL709" s="64"/>
      <c r="FM709" s="64"/>
      <c r="FN709" s="64"/>
      <c r="FO709" s="64"/>
      <c r="FP709" s="64"/>
      <c r="FQ709" s="64"/>
      <c r="FR709" s="64"/>
      <c r="FS709" s="64"/>
      <c r="FT709" s="64"/>
      <c r="FU709" s="64"/>
      <c r="FV709" s="64"/>
      <c r="FW709" s="64"/>
      <c r="FX709" s="64"/>
      <c r="FY709" s="64"/>
      <c r="FZ709" s="64"/>
      <c r="GA709" s="64"/>
      <c r="GB709" s="64"/>
      <c r="GC709" s="64"/>
      <c r="GD709" s="64"/>
      <c r="GE709" s="64"/>
      <c r="GF709" s="64"/>
      <c r="GG709" s="64"/>
      <c r="GH709" s="64"/>
      <c r="GI709" s="64"/>
      <c r="GJ709" s="64"/>
      <c r="GK709" s="64"/>
      <c r="GL709" s="64"/>
      <c r="GM709" s="64"/>
      <c r="GN709" s="64"/>
      <c r="GO709" s="64"/>
      <c r="GP709" s="64"/>
      <c r="GQ709" s="64"/>
      <c r="GR709" s="64"/>
      <c r="GS709" s="64"/>
      <c r="GT709" s="64"/>
      <c r="GU709" s="64"/>
      <c r="GV709" s="64"/>
      <c r="GW709" s="64"/>
      <c r="GX709" s="64"/>
      <c r="GY709" s="64"/>
      <c r="GZ709" s="64"/>
      <c r="HA709" s="64"/>
      <c r="HB709" s="64"/>
      <c r="HC709" s="64"/>
      <c r="HD709" s="64"/>
      <c r="HE709" s="64"/>
      <c r="HF709" s="64"/>
      <c r="HG709" s="64"/>
      <c r="HH709" s="64"/>
      <c r="HI709" s="64"/>
      <c r="HJ709" s="64"/>
      <c r="HK709" s="64"/>
      <c r="HL709" s="64"/>
      <c r="HM709" s="64"/>
      <c r="HN709" s="64"/>
      <c r="HO709" s="64"/>
      <c r="HP709" s="64"/>
      <c r="HQ709" s="64"/>
      <c r="HR709" s="64"/>
      <c r="HS709" s="64"/>
      <c r="HT709" s="64"/>
      <c r="HU709" s="64"/>
      <c r="HV709" s="64"/>
      <c r="HW709" s="64"/>
      <c r="HX709" s="64"/>
      <c r="HY709" s="64"/>
      <c r="HZ709" s="64"/>
      <c r="IA709" s="64"/>
      <c r="IB709" s="64"/>
      <c r="IC709" s="64"/>
      <c r="ID709" s="64"/>
      <c r="IE709" s="64"/>
      <c r="IF709" s="64"/>
      <c r="IG709" s="64"/>
      <c r="IH709" s="64"/>
      <c r="II709" s="64"/>
      <c r="IJ709" s="64"/>
      <c r="IK709" s="64"/>
      <c r="IL709" s="64"/>
      <c r="IM709" s="64"/>
      <c r="IN709" s="64"/>
      <c r="IO709" s="64"/>
      <c r="IP709" s="64"/>
      <c r="IQ709" s="64"/>
      <c r="IR709" s="64"/>
      <c r="IS709" s="64"/>
      <c r="IT709" s="64"/>
      <c r="IU709" s="64"/>
      <c r="IV709" s="64"/>
      <c r="IW709" s="64"/>
      <c r="IX709" s="64"/>
      <c r="IY709" s="64"/>
      <c r="IZ709" s="64"/>
      <c r="JA709" s="64"/>
      <c r="JB709" s="64"/>
      <c r="JC709" s="64"/>
      <c r="JD709" s="64"/>
      <c r="JE709" s="64"/>
      <c r="JF709" s="64"/>
      <c r="JG709" s="64"/>
      <c r="JH709" s="64"/>
      <c r="JI709" s="64"/>
      <c r="JJ709" s="64"/>
      <c r="JK709" s="64"/>
      <c r="JL709" s="64"/>
      <c r="JM709" s="64"/>
      <c r="JN709" s="64"/>
      <c r="JO709" s="64"/>
      <c r="JP709" s="64"/>
      <c r="JQ709" s="64"/>
      <c r="JR709" s="64"/>
      <c r="JS709" s="64"/>
      <c r="JT709" s="64"/>
      <c r="JU709" s="64"/>
      <c r="JV709" s="64"/>
      <c r="JW709" s="64"/>
      <c r="JX709" s="64"/>
      <c r="JY709" s="64"/>
      <c r="JZ709" s="64"/>
      <c r="KA709" s="64"/>
      <c r="KB709" s="64"/>
      <c r="KC709" s="64"/>
      <c r="KD709" s="64"/>
      <c r="KE709" s="64"/>
      <c r="KF709" s="64"/>
      <c r="KG709" s="64"/>
      <c r="KH709" s="64"/>
      <c r="KI709" s="64"/>
      <c r="KJ709" s="64"/>
      <c r="KK709" s="64"/>
      <c r="KL709" s="64"/>
      <c r="KM709" s="64"/>
      <c r="KN709" s="64"/>
      <c r="KO709" s="64"/>
      <c r="KP709" s="64"/>
      <c r="KQ709" s="64"/>
      <c r="KR709" s="64"/>
      <c r="KS709" s="64"/>
      <c r="KT709" s="64"/>
      <c r="KU709" s="64"/>
      <c r="KV709" s="64"/>
      <c r="KW709" s="64"/>
      <c r="KX709" s="64"/>
      <c r="KY709" s="64"/>
      <c r="KZ709" s="64"/>
      <c r="LA709" s="64"/>
      <c r="LB709" s="64"/>
      <c r="LC709" s="64"/>
      <c r="LD709" s="64"/>
      <c r="LE709" s="64"/>
      <c r="LF709" s="64"/>
      <c r="LG709" s="64"/>
      <c r="LH709" s="64"/>
      <c r="LI709" s="64"/>
      <c r="LJ709" s="64"/>
      <c r="LK709" s="64"/>
      <c r="LL709" s="64"/>
      <c r="LM709" s="64"/>
      <c r="LN709" s="64"/>
      <c r="LO709" s="64"/>
      <c r="LP709" s="64"/>
      <c r="LQ709" s="64"/>
      <c r="LR709" s="64"/>
      <c r="LS709" s="64"/>
      <c r="LT709" s="64"/>
      <c r="LU709" s="64"/>
      <c r="LV709" s="64"/>
      <c r="LW709" s="64"/>
      <c r="LX709" s="64"/>
      <c r="LY709" s="64"/>
      <c r="LZ709" s="64"/>
      <c r="MA709" s="64"/>
      <c r="MB709" s="64"/>
      <c r="MC709" s="64"/>
      <c r="MD709" s="64"/>
      <c r="ME709" s="64"/>
      <c r="MF709" s="64"/>
      <c r="MG709" s="64"/>
      <c r="MH709" s="64"/>
      <c r="MI709" s="64"/>
      <c r="MJ709" s="64"/>
      <c r="MK709" s="64"/>
      <c r="ML709" s="64"/>
      <c r="MM709" s="64"/>
      <c r="MN709" s="64"/>
      <c r="MO709" s="64"/>
      <c r="MP709" s="64"/>
      <c r="MQ709" s="64"/>
      <c r="MR709" s="64"/>
      <c r="MS709" s="64"/>
      <c r="MT709" s="64"/>
      <c r="MU709" s="64"/>
      <c r="MV709" s="64"/>
      <c r="MW709" s="64"/>
      <c r="MX709" s="64"/>
      <c r="MY709" s="64"/>
      <c r="MZ709" s="64"/>
      <c r="NA709" s="64"/>
      <c r="NB709" s="64"/>
      <c r="NC709" s="64"/>
      <c r="ND709" s="64"/>
      <c r="NE709" s="64"/>
      <c r="NF709" s="64"/>
      <c r="NG709" s="64"/>
      <c r="NH709" s="64"/>
      <c r="NI709" s="64"/>
      <c r="NJ709" s="64"/>
      <c r="NK709" s="64"/>
      <c r="NL709" s="64"/>
      <c r="NM709" s="64"/>
      <c r="NN709" s="64"/>
      <c r="NO709" s="64"/>
      <c r="NP709" s="64"/>
      <c r="NQ709" s="64"/>
      <c r="NR709" s="64"/>
      <c r="NS709" s="64"/>
      <c r="NT709" s="64"/>
      <c r="NU709" s="64"/>
      <c r="NV709" s="64"/>
      <c r="NW709" s="64"/>
      <c r="NX709" s="64"/>
      <c r="NY709" s="64"/>
      <c r="NZ709" s="64"/>
      <c r="OA709" s="64"/>
      <c r="OB709" s="64"/>
      <c r="OC709" s="64"/>
      <c r="OD709" s="64"/>
      <c r="OE709" s="64"/>
      <c r="OF709" s="64"/>
      <c r="OG709" s="64"/>
      <c r="OH709" s="64"/>
      <c r="OI709" s="64"/>
      <c r="OJ709" s="64"/>
      <c r="OK709" s="64"/>
      <c r="OL709" s="64"/>
      <c r="OM709" s="64"/>
      <c r="ON709" s="64"/>
      <c r="OO709" s="64"/>
      <c r="OP709" s="64"/>
      <c r="OQ709" s="64"/>
      <c r="OR709" s="64"/>
      <c r="OS709" s="64"/>
      <c r="OT709" s="64"/>
      <c r="OU709" s="64"/>
      <c r="OV709" s="64"/>
      <c r="OW709" s="64"/>
      <c r="OX709" s="64"/>
      <c r="OY709" s="64"/>
      <c r="OZ709" s="64"/>
      <c r="PA709" s="64"/>
      <c r="PB709" s="64"/>
      <c r="PC709" s="64"/>
      <c r="PD709" s="64"/>
      <c r="PE709" s="64"/>
      <c r="PF709" s="64"/>
      <c r="PG709" s="64"/>
      <c r="PH709" s="64"/>
      <c r="PI709" s="64"/>
    </row>
    <row r="710" spans="1:425" s="85" customFormat="1">
      <c r="A710" s="70"/>
      <c r="B710" s="70"/>
      <c r="C710" s="266" t="s">
        <v>1252</v>
      </c>
      <c r="D710" s="266"/>
      <c r="E710" s="266"/>
      <c r="F710" s="266"/>
      <c r="G710" s="266"/>
      <c r="H710" s="266"/>
      <c r="I710" s="266"/>
      <c r="J710" s="266"/>
      <c r="K710" s="266"/>
      <c r="L710" s="266"/>
      <c r="M710" s="266"/>
      <c r="N710" s="9" t="s">
        <v>1253</v>
      </c>
      <c r="O710" s="112">
        <f>VLOOKUP(N710,Casilleros!$A$4:$Q$830,16,FALSE)</f>
        <v>0</v>
      </c>
      <c r="P710" s="67"/>
      <c r="Q710" s="67"/>
      <c r="R710" s="67"/>
      <c r="S710" s="61" t="str">
        <f t="shared" si="134"/>
        <v>041</v>
      </c>
      <c r="T710" s="64" t="str">
        <f t="shared" si="136"/>
        <v>CONCILIACIÓN TRIBUTARIA</v>
      </c>
      <c r="U710" s="64" t="str">
        <f t="shared" si="137"/>
        <v>_</v>
      </c>
      <c r="V710" s="64" t="str">
        <f t="shared" si="129"/>
        <v>(-) Exoneración del impuesto a la renta para las entidades del sector financiero popular y solidario resultantes de procesos de fusión de los segmentos distintos a los dos últimos</v>
      </c>
      <c r="W710" s="64" t="str">
        <f t="shared" si="130"/>
        <v/>
      </c>
      <c r="X710" s="64" t="str">
        <f t="shared" si="138"/>
        <v/>
      </c>
      <c r="Y710" s="64" t="str">
        <f t="shared" si="139"/>
        <v/>
      </c>
      <c r="Z710" s="64" t="str">
        <f t="shared" si="140"/>
        <v/>
      </c>
      <c r="AA710" s="64" t="str">
        <f t="shared" si="135"/>
        <v>(-) Exoneración del impuesto a la renta para las entidades del sector financiero popular y solidario resultantes de procesos de fusión de los segmentos distintos a los dos últimos_</v>
      </c>
      <c r="AB710" s="64"/>
      <c r="AC710" s="64"/>
      <c r="AD710" s="64"/>
      <c r="AE710" s="64"/>
      <c r="AF710" s="64"/>
      <c r="AG710" s="64"/>
      <c r="AH710" s="64"/>
      <c r="AI710" s="64"/>
      <c r="AJ710" s="64"/>
      <c r="AK710" s="64"/>
      <c r="AL710" s="64"/>
      <c r="AM710" s="64"/>
      <c r="AN710" s="64"/>
      <c r="AO710" s="64"/>
      <c r="AP710" s="64"/>
      <c r="AQ710" s="64"/>
      <c r="AR710" s="64"/>
      <c r="AS710" s="64"/>
      <c r="AT710" s="64"/>
      <c r="AU710" s="64"/>
      <c r="AV710" s="64"/>
      <c r="AW710" s="64"/>
      <c r="AX710" s="64"/>
      <c r="AY710" s="64"/>
      <c r="AZ710" s="64"/>
      <c r="BA710" s="64"/>
      <c r="BB710" s="64"/>
      <c r="BC710" s="64"/>
      <c r="BD710" s="64"/>
      <c r="BE710" s="64"/>
      <c r="BF710" s="64"/>
      <c r="BG710" s="64"/>
      <c r="BH710" s="64"/>
      <c r="BI710" s="64"/>
      <c r="BJ710" s="64"/>
      <c r="BK710" s="64"/>
      <c r="BL710" s="64"/>
      <c r="BM710" s="64"/>
      <c r="BN710" s="64"/>
      <c r="BO710" s="64"/>
      <c r="BP710" s="64"/>
      <c r="BQ710" s="64"/>
      <c r="BR710" s="64"/>
      <c r="BS710" s="64"/>
      <c r="BT710" s="64"/>
      <c r="BU710" s="64"/>
      <c r="BV710" s="64"/>
      <c r="BW710" s="64"/>
      <c r="BX710" s="64"/>
      <c r="BY710" s="64"/>
      <c r="BZ710" s="64"/>
      <c r="CA710" s="64"/>
      <c r="CB710" s="64"/>
      <c r="CC710" s="64"/>
      <c r="CD710" s="64"/>
      <c r="CE710" s="64"/>
      <c r="CF710" s="64"/>
      <c r="CG710" s="64"/>
      <c r="CH710" s="64"/>
      <c r="CI710" s="64"/>
      <c r="CJ710" s="64"/>
      <c r="CK710" s="64"/>
      <c r="CL710" s="64"/>
      <c r="CM710" s="64"/>
      <c r="CN710" s="64"/>
      <c r="CO710" s="64"/>
      <c r="CP710" s="64"/>
      <c r="CQ710" s="64"/>
      <c r="CR710" s="64"/>
      <c r="CS710" s="64"/>
      <c r="CT710" s="64"/>
      <c r="CU710" s="64"/>
      <c r="CV710" s="64"/>
      <c r="CW710" s="64"/>
      <c r="CX710" s="64"/>
      <c r="CY710" s="64"/>
      <c r="CZ710" s="64"/>
      <c r="DA710" s="64"/>
      <c r="DB710" s="64"/>
      <c r="DC710" s="64"/>
      <c r="DD710" s="64"/>
      <c r="DE710" s="64"/>
      <c r="DF710" s="64"/>
      <c r="DG710" s="64"/>
      <c r="DH710" s="64"/>
      <c r="DI710" s="64"/>
      <c r="DJ710" s="64"/>
      <c r="DK710" s="64"/>
      <c r="DL710" s="64"/>
      <c r="DM710" s="64"/>
      <c r="DN710" s="64"/>
      <c r="DO710" s="64"/>
      <c r="DP710" s="64"/>
      <c r="DQ710" s="64"/>
      <c r="DR710" s="64"/>
      <c r="DS710" s="64"/>
      <c r="DT710" s="64"/>
      <c r="DU710" s="64"/>
      <c r="DV710" s="64"/>
      <c r="DW710" s="64"/>
      <c r="DX710" s="64"/>
      <c r="DY710" s="64"/>
      <c r="DZ710" s="64"/>
      <c r="EA710" s="64"/>
      <c r="EB710" s="64"/>
      <c r="EC710" s="64"/>
      <c r="ED710" s="64"/>
      <c r="EE710" s="64"/>
      <c r="EF710" s="64"/>
      <c r="EG710" s="64"/>
      <c r="EH710" s="64"/>
      <c r="EI710" s="64"/>
      <c r="EJ710" s="64"/>
      <c r="EK710" s="64"/>
      <c r="EL710" s="64"/>
      <c r="EM710" s="64"/>
      <c r="EN710" s="64"/>
      <c r="EO710" s="64"/>
      <c r="EP710" s="64"/>
      <c r="EQ710" s="64"/>
      <c r="ER710" s="64"/>
      <c r="ES710" s="64"/>
      <c r="ET710" s="64"/>
      <c r="EU710" s="64"/>
      <c r="EV710" s="64"/>
      <c r="EW710" s="64"/>
      <c r="EX710" s="64"/>
      <c r="EY710" s="64"/>
      <c r="EZ710" s="64"/>
      <c r="FA710" s="64"/>
      <c r="FB710" s="64"/>
      <c r="FC710" s="64"/>
      <c r="FD710" s="64"/>
      <c r="FE710" s="64"/>
      <c r="FF710" s="64"/>
      <c r="FG710" s="64"/>
      <c r="FH710" s="64"/>
      <c r="FI710" s="64"/>
      <c r="FJ710" s="64"/>
      <c r="FK710" s="64"/>
      <c r="FL710" s="64"/>
      <c r="FM710" s="64"/>
      <c r="FN710" s="64"/>
      <c r="FO710" s="64"/>
      <c r="FP710" s="64"/>
      <c r="FQ710" s="64"/>
      <c r="FR710" s="64"/>
      <c r="FS710" s="64"/>
      <c r="FT710" s="64"/>
      <c r="FU710" s="64"/>
      <c r="FV710" s="64"/>
      <c r="FW710" s="64"/>
      <c r="FX710" s="64"/>
      <c r="FY710" s="64"/>
      <c r="FZ710" s="64"/>
      <c r="GA710" s="64"/>
      <c r="GB710" s="64"/>
      <c r="GC710" s="64"/>
      <c r="GD710" s="64"/>
      <c r="GE710" s="64"/>
      <c r="GF710" s="64"/>
      <c r="GG710" s="64"/>
      <c r="GH710" s="64"/>
      <c r="GI710" s="64"/>
      <c r="GJ710" s="64"/>
      <c r="GK710" s="64"/>
      <c r="GL710" s="64"/>
      <c r="GM710" s="64"/>
      <c r="GN710" s="64"/>
      <c r="GO710" s="64"/>
      <c r="GP710" s="64"/>
      <c r="GQ710" s="64"/>
      <c r="GR710" s="64"/>
      <c r="GS710" s="64"/>
      <c r="GT710" s="64"/>
      <c r="GU710" s="64"/>
      <c r="GV710" s="64"/>
      <c r="GW710" s="64"/>
      <c r="GX710" s="64"/>
      <c r="GY710" s="64"/>
      <c r="GZ710" s="64"/>
      <c r="HA710" s="64"/>
      <c r="HB710" s="64"/>
      <c r="HC710" s="64"/>
      <c r="HD710" s="64"/>
      <c r="HE710" s="64"/>
      <c r="HF710" s="64"/>
      <c r="HG710" s="64"/>
      <c r="HH710" s="64"/>
      <c r="HI710" s="64"/>
      <c r="HJ710" s="64"/>
      <c r="HK710" s="64"/>
      <c r="HL710" s="64"/>
      <c r="HM710" s="64"/>
      <c r="HN710" s="64"/>
      <c r="HO710" s="64"/>
      <c r="HP710" s="64"/>
      <c r="HQ710" s="64"/>
      <c r="HR710" s="64"/>
      <c r="HS710" s="64"/>
      <c r="HT710" s="64"/>
      <c r="HU710" s="64"/>
      <c r="HV710" s="64"/>
      <c r="HW710" s="64"/>
      <c r="HX710" s="64"/>
      <c r="HY710" s="64"/>
      <c r="HZ710" s="64"/>
      <c r="IA710" s="64"/>
      <c r="IB710" s="64"/>
      <c r="IC710" s="64"/>
      <c r="ID710" s="64"/>
      <c r="IE710" s="64"/>
      <c r="IF710" s="64"/>
      <c r="IG710" s="64"/>
      <c r="IH710" s="64"/>
      <c r="II710" s="64"/>
      <c r="IJ710" s="64"/>
      <c r="IK710" s="64"/>
      <c r="IL710" s="64"/>
      <c r="IM710" s="64"/>
      <c r="IN710" s="64"/>
      <c r="IO710" s="64"/>
      <c r="IP710" s="64"/>
      <c r="IQ710" s="64"/>
      <c r="IR710" s="64"/>
      <c r="IS710" s="64"/>
      <c r="IT710" s="64"/>
      <c r="IU710" s="64"/>
      <c r="IV710" s="64"/>
      <c r="IW710" s="64"/>
      <c r="IX710" s="64"/>
      <c r="IY710" s="64"/>
      <c r="IZ710" s="64"/>
      <c r="JA710" s="64"/>
      <c r="JB710" s="64"/>
      <c r="JC710" s="64"/>
      <c r="JD710" s="64"/>
      <c r="JE710" s="64"/>
      <c r="JF710" s="64"/>
      <c r="JG710" s="64"/>
      <c r="JH710" s="64"/>
      <c r="JI710" s="64"/>
      <c r="JJ710" s="64"/>
      <c r="JK710" s="64"/>
      <c r="JL710" s="64"/>
      <c r="JM710" s="64"/>
      <c r="JN710" s="64"/>
      <c r="JO710" s="64"/>
      <c r="JP710" s="64"/>
      <c r="JQ710" s="64"/>
      <c r="JR710" s="64"/>
      <c r="JS710" s="64"/>
      <c r="JT710" s="64"/>
      <c r="JU710" s="64"/>
      <c r="JV710" s="64"/>
      <c r="JW710" s="64"/>
      <c r="JX710" s="64"/>
      <c r="JY710" s="64"/>
      <c r="JZ710" s="64"/>
      <c r="KA710" s="64"/>
      <c r="KB710" s="64"/>
      <c r="KC710" s="64"/>
      <c r="KD710" s="64"/>
      <c r="KE710" s="64"/>
      <c r="KF710" s="64"/>
      <c r="KG710" s="64"/>
      <c r="KH710" s="64"/>
      <c r="KI710" s="64"/>
      <c r="KJ710" s="64"/>
      <c r="KK710" s="64"/>
      <c r="KL710" s="64"/>
      <c r="KM710" s="64"/>
      <c r="KN710" s="64"/>
      <c r="KO710" s="64"/>
      <c r="KP710" s="64"/>
      <c r="KQ710" s="64"/>
      <c r="KR710" s="64"/>
      <c r="KS710" s="64"/>
      <c r="KT710" s="64"/>
      <c r="KU710" s="64"/>
      <c r="KV710" s="64"/>
      <c r="KW710" s="64"/>
      <c r="KX710" s="64"/>
      <c r="KY710" s="64"/>
      <c r="KZ710" s="64"/>
      <c r="LA710" s="64"/>
      <c r="LB710" s="64"/>
      <c r="LC710" s="64"/>
      <c r="LD710" s="64"/>
      <c r="LE710" s="64"/>
      <c r="LF710" s="64"/>
      <c r="LG710" s="64"/>
      <c r="LH710" s="64"/>
      <c r="LI710" s="64"/>
      <c r="LJ710" s="64"/>
      <c r="LK710" s="64"/>
      <c r="LL710" s="64"/>
      <c r="LM710" s="64"/>
      <c r="LN710" s="64"/>
      <c r="LO710" s="64"/>
      <c r="LP710" s="64"/>
      <c r="LQ710" s="64"/>
      <c r="LR710" s="64"/>
      <c r="LS710" s="64"/>
      <c r="LT710" s="64"/>
      <c r="LU710" s="64"/>
      <c r="LV710" s="64"/>
      <c r="LW710" s="64"/>
      <c r="LX710" s="64"/>
      <c r="LY710" s="64"/>
      <c r="LZ710" s="64"/>
      <c r="MA710" s="64"/>
      <c r="MB710" s="64"/>
      <c r="MC710" s="64"/>
      <c r="MD710" s="64"/>
      <c r="ME710" s="64"/>
      <c r="MF710" s="64"/>
      <c r="MG710" s="64"/>
      <c r="MH710" s="64"/>
      <c r="MI710" s="64"/>
      <c r="MJ710" s="64"/>
      <c r="MK710" s="64"/>
      <c r="ML710" s="64"/>
      <c r="MM710" s="64"/>
      <c r="MN710" s="64"/>
      <c r="MO710" s="64"/>
      <c r="MP710" s="64"/>
      <c r="MQ710" s="64"/>
      <c r="MR710" s="64"/>
      <c r="MS710" s="64"/>
      <c r="MT710" s="64"/>
      <c r="MU710" s="64"/>
      <c r="MV710" s="64"/>
      <c r="MW710" s="64"/>
      <c r="MX710" s="64"/>
      <c r="MY710" s="64"/>
      <c r="MZ710" s="64"/>
      <c r="NA710" s="64"/>
      <c r="NB710" s="64"/>
      <c r="NC710" s="64"/>
      <c r="ND710" s="64"/>
      <c r="NE710" s="64"/>
      <c r="NF710" s="64"/>
      <c r="NG710" s="64"/>
      <c r="NH710" s="64"/>
      <c r="NI710" s="64"/>
      <c r="NJ710" s="64"/>
      <c r="NK710" s="64"/>
      <c r="NL710" s="64"/>
      <c r="NM710" s="64"/>
      <c r="NN710" s="64"/>
      <c r="NO710" s="64"/>
      <c r="NP710" s="64"/>
      <c r="NQ710" s="64"/>
      <c r="NR710" s="64"/>
      <c r="NS710" s="64"/>
      <c r="NT710" s="64"/>
      <c r="NU710" s="64"/>
      <c r="NV710" s="64"/>
      <c r="NW710" s="64"/>
      <c r="NX710" s="64"/>
      <c r="NY710" s="64"/>
      <c r="NZ710" s="64"/>
      <c r="OA710" s="64"/>
      <c r="OB710" s="64"/>
      <c r="OC710" s="64"/>
      <c r="OD710" s="64"/>
      <c r="OE710" s="64"/>
      <c r="OF710" s="64"/>
      <c r="OG710" s="64"/>
      <c r="OH710" s="64"/>
      <c r="OI710" s="64"/>
      <c r="OJ710" s="64"/>
      <c r="OK710" s="64"/>
      <c r="OL710" s="64"/>
      <c r="OM710" s="64"/>
      <c r="ON710" s="64"/>
      <c r="OO710" s="64"/>
      <c r="OP710" s="64"/>
      <c r="OQ710" s="64"/>
      <c r="OR710" s="64"/>
      <c r="OS710" s="64"/>
      <c r="OT710" s="64"/>
      <c r="OU710" s="64"/>
      <c r="OV710" s="64"/>
      <c r="OW710" s="64"/>
      <c r="OX710" s="64"/>
      <c r="OY710" s="64"/>
      <c r="OZ710" s="64"/>
      <c r="PA710" s="64"/>
      <c r="PB710" s="64"/>
      <c r="PC710" s="64"/>
      <c r="PD710" s="64"/>
      <c r="PE710" s="64"/>
      <c r="PF710" s="64"/>
      <c r="PG710" s="64"/>
      <c r="PH710" s="64"/>
      <c r="PI710" s="64"/>
    </row>
    <row r="711" spans="1:425" s="85" customFormat="1">
      <c r="A711" s="70"/>
      <c r="B711" s="70"/>
      <c r="C711" s="266" t="s">
        <v>1254</v>
      </c>
      <c r="D711" s="266"/>
      <c r="E711" s="266"/>
      <c r="F711" s="266"/>
      <c r="G711" s="266"/>
      <c r="H711" s="266"/>
      <c r="I711" s="266"/>
      <c r="J711" s="266"/>
      <c r="K711" s="266"/>
      <c r="L711" s="266"/>
      <c r="M711" s="266"/>
      <c r="N711" s="9" t="s">
        <v>1255</v>
      </c>
      <c r="O711" s="113"/>
      <c r="P711" s="67"/>
      <c r="Q711" s="67"/>
      <c r="R711" s="67"/>
      <c r="S711" s="61" t="str">
        <f t="shared" si="134"/>
        <v>800</v>
      </c>
      <c r="T711" s="64" t="str">
        <f t="shared" si="136"/>
        <v>CONCILIACIÓN TRIBUTARIA</v>
      </c>
      <c r="U711" s="64" t="str">
        <f t="shared" si="137"/>
        <v>_</v>
      </c>
      <c r="V711" s="64" t="str">
        <f t="shared" si="129"/>
        <v xml:space="preserve">Saldo del anticipo pendiente de pago (traslade campo 876 declaración período anterior) </v>
      </c>
      <c r="W711" s="64" t="str">
        <f t="shared" si="130"/>
        <v/>
      </c>
      <c r="X711" s="64" t="str">
        <f t="shared" si="138"/>
        <v/>
      </c>
      <c r="Y711" s="64" t="str">
        <f t="shared" si="139"/>
        <v/>
      </c>
      <c r="Z711" s="64" t="str">
        <f t="shared" si="140"/>
        <v/>
      </c>
      <c r="AA711" s="64" t="str">
        <f t="shared" si="135"/>
        <v>Saldo del anticipo pendiente de pago (traslade campo 876 declaración período anterior) _</v>
      </c>
      <c r="AB711" s="64"/>
      <c r="AC711" s="64"/>
      <c r="AD711" s="64"/>
      <c r="AE711" s="64"/>
      <c r="AF711" s="64"/>
      <c r="AG711" s="64"/>
      <c r="AH711" s="64"/>
      <c r="AI711" s="64"/>
      <c r="AJ711" s="64"/>
      <c r="AK711" s="64"/>
      <c r="AL711" s="64"/>
      <c r="AM711" s="64"/>
      <c r="AN711" s="64"/>
      <c r="AO711" s="64"/>
      <c r="AP711" s="64"/>
      <c r="AQ711" s="64"/>
      <c r="AR711" s="64"/>
      <c r="AS711" s="64"/>
      <c r="AT711" s="64"/>
      <c r="AU711" s="64"/>
      <c r="AV711" s="64"/>
      <c r="AW711" s="64"/>
      <c r="AX711" s="64"/>
      <c r="AY711" s="64"/>
      <c r="AZ711" s="64"/>
      <c r="BA711" s="64"/>
      <c r="BB711" s="64"/>
      <c r="BC711" s="64"/>
      <c r="BD711" s="64"/>
      <c r="BE711" s="64"/>
      <c r="BF711" s="64"/>
      <c r="BG711" s="64"/>
      <c r="BH711" s="64"/>
      <c r="BI711" s="64"/>
      <c r="BJ711" s="64"/>
      <c r="BK711" s="64"/>
      <c r="BL711" s="64"/>
      <c r="BM711" s="64"/>
      <c r="BN711" s="64"/>
      <c r="BO711" s="64"/>
      <c r="BP711" s="64"/>
      <c r="BQ711" s="64"/>
      <c r="BR711" s="64"/>
      <c r="BS711" s="64"/>
      <c r="BT711" s="64"/>
      <c r="BU711" s="64"/>
      <c r="BV711" s="64"/>
      <c r="BW711" s="64"/>
      <c r="BX711" s="64"/>
      <c r="BY711" s="64"/>
      <c r="BZ711" s="64"/>
      <c r="CA711" s="64"/>
      <c r="CB711" s="64"/>
      <c r="CC711" s="64"/>
      <c r="CD711" s="64"/>
      <c r="CE711" s="64"/>
      <c r="CF711" s="64"/>
      <c r="CG711" s="64"/>
      <c r="CH711" s="64"/>
      <c r="CI711" s="64"/>
      <c r="CJ711" s="64"/>
      <c r="CK711" s="64"/>
      <c r="CL711" s="64"/>
      <c r="CM711" s="64"/>
      <c r="CN711" s="64"/>
      <c r="CO711" s="64"/>
      <c r="CP711" s="64"/>
      <c r="CQ711" s="64"/>
      <c r="CR711" s="64"/>
      <c r="CS711" s="64"/>
      <c r="CT711" s="64"/>
      <c r="CU711" s="64"/>
      <c r="CV711" s="64"/>
      <c r="CW711" s="64"/>
      <c r="CX711" s="64"/>
      <c r="CY711" s="64"/>
      <c r="CZ711" s="64"/>
      <c r="DA711" s="64"/>
      <c r="DB711" s="64"/>
      <c r="DC711" s="64"/>
      <c r="DD711" s="64"/>
      <c r="DE711" s="64"/>
      <c r="DF711" s="64"/>
      <c r="DG711" s="64"/>
      <c r="DH711" s="64"/>
      <c r="DI711" s="64"/>
      <c r="DJ711" s="64"/>
      <c r="DK711" s="64"/>
      <c r="DL711" s="64"/>
      <c r="DM711" s="64"/>
      <c r="DN711" s="64"/>
      <c r="DO711" s="64"/>
      <c r="DP711" s="64"/>
      <c r="DQ711" s="64"/>
      <c r="DR711" s="64"/>
      <c r="DS711" s="64"/>
      <c r="DT711" s="64"/>
      <c r="DU711" s="64"/>
      <c r="DV711" s="64"/>
      <c r="DW711" s="64"/>
      <c r="DX711" s="64"/>
      <c r="DY711" s="64"/>
      <c r="DZ711" s="64"/>
      <c r="EA711" s="64"/>
      <c r="EB711" s="64"/>
      <c r="EC711" s="64"/>
      <c r="ED711" s="64"/>
      <c r="EE711" s="64"/>
      <c r="EF711" s="64"/>
      <c r="EG711" s="64"/>
      <c r="EH711" s="64"/>
      <c r="EI711" s="64"/>
      <c r="EJ711" s="64"/>
      <c r="EK711" s="64"/>
      <c r="EL711" s="64"/>
      <c r="EM711" s="64"/>
      <c r="EN711" s="64"/>
      <c r="EO711" s="64"/>
      <c r="EP711" s="64"/>
      <c r="EQ711" s="64"/>
      <c r="ER711" s="64"/>
      <c r="ES711" s="64"/>
      <c r="ET711" s="64"/>
      <c r="EU711" s="64"/>
      <c r="EV711" s="64"/>
      <c r="EW711" s="64"/>
      <c r="EX711" s="64"/>
      <c r="EY711" s="64"/>
      <c r="EZ711" s="64"/>
      <c r="FA711" s="64"/>
      <c r="FB711" s="64"/>
      <c r="FC711" s="64"/>
      <c r="FD711" s="64"/>
      <c r="FE711" s="64"/>
      <c r="FF711" s="64"/>
      <c r="FG711" s="64"/>
      <c r="FH711" s="64"/>
      <c r="FI711" s="64"/>
      <c r="FJ711" s="64"/>
      <c r="FK711" s="64"/>
      <c r="FL711" s="64"/>
      <c r="FM711" s="64"/>
      <c r="FN711" s="64"/>
      <c r="FO711" s="64"/>
      <c r="FP711" s="64"/>
      <c r="FQ711" s="64"/>
      <c r="FR711" s="64"/>
      <c r="FS711" s="64"/>
      <c r="FT711" s="64"/>
      <c r="FU711" s="64"/>
      <c r="FV711" s="64"/>
      <c r="FW711" s="64"/>
      <c r="FX711" s="64"/>
      <c r="FY711" s="64"/>
      <c r="FZ711" s="64"/>
      <c r="GA711" s="64"/>
      <c r="GB711" s="64"/>
      <c r="GC711" s="64"/>
      <c r="GD711" s="64"/>
      <c r="GE711" s="64"/>
      <c r="GF711" s="64"/>
      <c r="GG711" s="64"/>
      <c r="GH711" s="64"/>
      <c r="GI711" s="64"/>
      <c r="GJ711" s="64"/>
      <c r="GK711" s="64"/>
      <c r="GL711" s="64"/>
      <c r="GM711" s="64"/>
      <c r="GN711" s="64"/>
      <c r="GO711" s="64"/>
      <c r="GP711" s="64"/>
      <c r="GQ711" s="64"/>
      <c r="GR711" s="64"/>
      <c r="GS711" s="64"/>
      <c r="GT711" s="64"/>
      <c r="GU711" s="64"/>
      <c r="GV711" s="64"/>
      <c r="GW711" s="64"/>
      <c r="GX711" s="64"/>
      <c r="GY711" s="64"/>
      <c r="GZ711" s="64"/>
      <c r="HA711" s="64"/>
      <c r="HB711" s="64"/>
      <c r="HC711" s="64"/>
      <c r="HD711" s="64"/>
      <c r="HE711" s="64"/>
      <c r="HF711" s="64"/>
      <c r="HG711" s="64"/>
      <c r="HH711" s="64"/>
      <c r="HI711" s="64"/>
      <c r="HJ711" s="64"/>
      <c r="HK711" s="64"/>
      <c r="HL711" s="64"/>
      <c r="HM711" s="64"/>
      <c r="HN711" s="64"/>
      <c r="HO711" s="64"/>
      <c r="HP711" s="64"/>
      <c r="HQ711" s="64"/>
      <c r="HR711" s="64"/>
      <c r="HS711" s="64"/>
      <c r="HT711" s="64"/>
      <c r="HU711" s="64"/>
      <c r="HV711" s="64"/>
      <c r="HW711" s="64"/>
      <c r="HX711" s="64"/>
      <c r="HY711" s="64"/>
      <c r="HZ711" s="64"/>
      <c r="IA711" s="64"/>
      <c r="IB711" s="64"/>
      <c r="IC711" s="64"/>
      <c r="ID711" s="64"/>
      <c r="IE711" s="64"/>
      <c r="IF711" s="64"/>
      <c r="IG711" s="64"/>
      <c r="IH711" s="64"/>
      <c r="II711" s="64"/>
      <c r="IJ711" s="64"/>
      <c r="IK711" s="64"/>
      <c r="IL711" s="64"/>
      <c r="IM711" s="64"/>
      <c r="IN711" s="64"/>
      <c r="IO711" s="64"/>
      <c r="IP711" s="64"/>
      <c r="IQ711" s="64"/>
      <c r="IR711" s="64"/>
      <c r="IS711" s="64"/>
      <c r="IT711" s="64"/>
      <c r="IU711" s="64"/>
      <c r="IV711" s="64"/>
      <c r="IW711" s="64"/>
      <c r="IX711" s="64"/>
      <c r="IY711" s="64"/>
      <c r="IZ711" s="64"/>
      <c r="JA711" s="64"/>
      <c r="JB711" s="64"/>
      <c r="JC711" s="64"/>
      <c r="JD711" s="64"/>
      <c r="JE711" s="64"/>
      <c r="JF711" s="64"/>
      <c r="JG711" s="64"/>
      <c r="JH711" s="64"/>
      <c r="JI711" s="64"/>
      <c r="JJ711" s="64"/>
      <c r="JK711" s="64"/>
      <c r="JL711" s="64"/>
      <c r="JM711" s="64"/>
      <c r="JN711" s="64"/>
      <c r="JO711" s="64"/>
      <c r="JP711" s="64"/>
      <c r="JQ711" s="64"/>
      <c r="JR711" s="64"/>
      <c r="JS711" s="64"/>
      <c r="JT711" s="64"/>
      <c r="JU711" s="64"/>
      <c r="JV711" s="64"/>
      <c r="JW711" s="64"/>
      <c r="JX711" s="64"/>
      <c r="JY711" s="64"/>
      <c r="JZ711" s="64"/>
      <c r="KA711" s="64"/>
      <c r="KB711" s="64"/>
      <c r="KC711" s="64"/>
      <c r="KD711" s="64"/>
      <c r="KE711" s="64"/>
      <c r="KF711" s="64"/>
      <c r="KG711" s="64"/>
      <c r="KH711" s="64"/>
      <c r="KI711" s="64"/>
      <c r="KJ711" s="64"/>
      <c r="KK711" s="64"/>
      <c r="KL711" s="64"/>
      <c r="KM711" s="64"/>
      <c r="KN711" s="64"/>
      <c r="KO711" s="64"/>
      <c r="KP711" s="64"/>
      <c r="KQ711" s="64"/>
      <c r="KR711" s="64"/>
      <c r="KS711" s="64"/>
      <c r="KT711" s="64"/>
      <c r="KU711" s="64"/>
      <c r="KV711" s="64"/>
      <c r="KW711" s="64"/>
      <c r="KX711" s="64"/>
      <c r="KY711" s="64"/>
      <c r="KZ711" s="64"/>
      <c r="LA711" s="64"/>
      <c r="LB711" s="64"/>
      <c r="LC711" s="64"/>
      <c r="LD711" s="64"/>
      <c r="LE711" s="64"/>
      <c r="LF711" s="64"/>
      <c r="LG711" s="64"/>
      <c r="LH711" s="64"/>
      <c r="LI711" s="64"/>
      <c r="LJ711" s="64"/>
      <c r="LK711" s="64"/>
      <c r="LL711" s="64"/>
      <c r="LM711" s="64"/>
      <c r="LN711" s="64"/>
      <c r="LO711" s="64"/>
      <c r="LP711" s="64"/>
      <c r="LQ711" s="64"/>
      <c r="LR711" s="64"/>
      <c r="LS711" s="64"/>
      <c r="LT711" s="64"/>
      <c r="LU711" s="64"/>
      <c r="LV711" s="64"/>
      <c r="LW711" s="64"/>
      <c r="LX711" s="64"/>
      <c r="LY711" s="64"/>
      <c r="LZ711" s="64"/>
      <c r="MA711" s="64"/>
      <c r="MB711" s="64"/>
      <c r="MC711" s="64"/>
      <c r="MD711" s="64"/>
      <c r="ME711" s="64"/>
      <c r="MF711" s="64"/>
      <c r="MG711" s="64"/>
      <c r="MH711" s="64"/>
      <c r="MI711" s="64"/>
      <c r="MJ711" s="64"/>
      <c r="MK711" s="64"/>
      <c r="ML711" s="64"/>
      <c r="MM711" s="64"/>
      <c r="MN711" s="64"/>
      <c r="MO711" s="64"/>
      <c r="MP711" s="64"/>
      <c r="MQ711" s="64"/>
      <c r="MR711" s="64"/>
      <c r="MS711" s="64"/>
      <c r="MT711" s="64"/>
      <c r="MU711" s="64"/>
      <c r="MV711" s="64"/>
      <c r="MW711" s="64"/>
      <c r="MX711" s="64"/>
      <c r="MY711" s="64"/>
      <c r="MZ711" s="64"/>
      <c r="NA711" s="64"/>
      <c r="NB711" s="64"/>
      <c r="NC711" s="64"/>
      <c r="ND711" s="64"/>
      <c r="NE711" s="64"/>
      <c r="NF711" s="64"/>
      <c r="NG711" s="64"/>
      <c r="NH711" s="64"/>
      <c r="NI711" s="64"/>
      <c r="NJ711" s="64"/>
      <c r="NK711" s="64"/>
      <c r="NL711" s="64"/>
      <c r="NM711" s="64"/>
      <c r="NN711" s="64"/>
      <c r="NO711" s="64"/>
      <c r="NP711" s="64"/>
      <c r="NQ711" s="64"/>
      <c r="NR711" s="64"/>
      <c r="NS711" s="64"/>
      <c r="NT711" s="64"/>
      <c r="NU711" s="64"/>
      <c r="NV711" s="64"/>
      <c r="NW711" s="64"/>
      <c r="NX711" s="64"/>
      <c r="NY711" s="64"/>
      <c r="NZ711" s="64"/>
      <c r="OA711" s="64"/>
      <c r="OB711" s="64"/>
      <c r="OC711" s="64"/>
      <c r="OD711" s="64"/>
      <c r="OE711" s="64"/>
      <c r="OF711" s="64"/>
      <c r="OG711" s="64"/>
      <c r="OH711" s="64"/>
      <c r="OI711" s="64"/>
      <c r="OJ711" s="64"/>
      <c r="OK711" s="64"/>
      <c r="OL711" s="64"/>
      <c r="OM711" s="64"/>
      <c r="ON711" s="64"/>
      <c r="OO711" s="64"/>
      <c r="OP711" s="64"/>
      <c r="OQ711" s="64"/>
      <c r="OR711" s="64"/>
      <c r="OS711" s="64"/>
      <c r="OT711" s="64"/>
      <c r="OU711" s="64"/>
      <c r="OV711" s="64"/>
      <c r="OW711" s="64"/>
      <c r="OX711" s="64"/>
      <c r="OY711" s="64"/>
      <c r="OZ711" s="64"/>
      <c r="PA711" s="64"/>
      <c r="PB711" s="64"/>
      <c r="PC711" s="64"/>
      <c r="PD711" s="64"/>
      <c r="PE711" s="64"/>
      <c r="PF711" s="64"/>
      <c r="PG711" s="64"/>
      <c r="PH711" s="64"/>
      <c r="PI711" s="64"/>
    </row>
    <row r="712" spans="1:425" s="85" customFormat="1">
      <c r="A712" s="70"/>
      <c r="B712" s="70"/>
      <c r="C712" s="266" t="s">
        <v>1256</v>
      </c>
      <c r="D712" s="266"/>
      <c r="E712" s="266"/>
      <c r="F712" s="266"/>
      <c r="G712" s="266"/>
      <c r="H712" s="266"/>
      <c r="I712" s="266"/>
      <c r="J712" s="266"/>
      <c r="K712" s="266"/>
      <c r="L712" s="266"/>
      <c r="M712" s="266"/>
      <c r="N712" s="9" t="s">
        <v>1257</v>
      </c>
      <c r="O712" s="74"/>
      <c r="P712" s="67"/>
      <c r="Q712" s="67"/>
      <c r="R712" s="67"/>
      <c r="S712" s="61" t="str">
        <f t="shared" si="134"/>
        <v>851</v>
      </c>
      <c r="T712" s="64" t="str">
        <f t="shared" si="136"/>
        <v>CONCILIACIÓN TRIBUTARIA</v>
      </c>
      <c r="U712" s="64" t="str">
        <f t="shared" si="137"/>
        <v>_</v>
      </c>
      <c r="V712" s="64" t="str">
        <f t="shared" si="129"/>
        <v xml:space="preserve"> anticipo determinado correspondiente al ejercicio fiscal declarado (traslade campo 879 declaración período  anterior) </v>
      </c>
      <c r="W712" s="64" t="str">
        <f t="shared" si="130"/>
        <v/>
      </c>
      <c r="X712" s="64" t="str">
        <f t="shared" si="138"/>
        <v/>
      </c>
      <c r="Y712" s="64" t="str">
        <f t="shared" si="139"/>
        <v/>
      </c>
      <c r="Z712" s="64" t="str">
        <f t="shared" si="140"/>
        <v/>
      </c>
      <c r="AA712" s="64" t="str">
        <f t="shared" si="135"/>
        <v xml:space="preserve"> anticipo determinado correspondiente al ejercicio fiscal declarado (traslade campo 879 declaración período  anterior) _</v>
      </c>
      <c r="AB712" s="64"/>
      <c r="AC712" s="64"/>
      <c r="AD712" s="64"/>
      <c r="AE712" s="64"/>
      <c r="AF712" s="64"/>
      <c r="AG712" s="64"/>
      <c r="AH712" s="64"/>
      <c r="AI712" s="64"/>
      <c r="AJ712" s="64"/>
      <c r="AK712" s="64"/>
      <c r="AL712" s="64"/>
      <c r="AM712" s="64"/>
      <c r="AN712" s="64"/>
      <c r="AO712" s="64"/>
      <c r="AP712" s="64"/>
      <c r="AQ712" s="64"/>
      <c r="AR712" s="64"/>
      <c r="AS712" s="64"/>
      <c r="AT712" s="64"/>
      <c r="AU712" s="64"/>
      <c r="AV712" s="64"/>
      <c r="AW712" s="64"/>
      <c r="AX712" s="64"/>
      <c r="AY712" s="64"/>
      <c r="AZ712" s="64"/>
      <c r="BA712" s="64"/>
      <c r="BB712" s="64"/>
      <c r="BC712" s="64"/>
      <c r="BD712" s="64"/>
      <c r="BE712" s="64"/>
      <c r="BF712" s="64"/>
      <c r="BG712" s="64"/>
      <c r="BH712" s="64"/>
      <c r="BI712" s="64"/>
      <c r="BJ712" s="64"/>
      <c r="BK712" s="64"/>
      <c r="BL712" s="64"/>
      <c r="BM712" s="64"/>
      <c r="BN712" s="64"/>
      <c r="BO712" s="64"/>
      <c r="BP712" s="64"/>
      <c r="BQ712" s="64"/>
      <c r="BR712" s="64"/>
      <c r="BS712" s="64"/>
      <c r="BT712" s="64"/>
      <c r="BU712" s="64"/>
      <c r="BV712" s="64"/>
      <c r="BW712" s="64"/>
      <c r="BX712" s="64"/>
      <c r="BY712" s="64"/>
      <c r="BZ712" s="64"/>
      <c r="CA712" s="64"/>
      <c r="CB712" s="64"/>
      <c r="CC712" s="64"/>
      <c r="CD712" s="64"/>
      <c r="CE712" s="64"/>
      <c r="CF712" s="64"/>
      <c r="CG712" s="64"/>
      <c r="CH712" s="64"/>
      <c r="CI712" s="64"/>
      <c r="CJ712" s="64"/>
      <c r="CK712" s="64"/>
      <c r="CL712" s="64"/>
      <c r="CM712" s="64"/>
      <c r="CN712" s="64"/>
      <c r="CO712" s="64"/>
      <c r="CP712" s="64"/>
      <c r="CQ712" s="64"/>
      <c r="CR712" s="64"/>
      <c r="CS712" s="64"/>
      <c r="CT712" s="64"/>
      <c r="CU712" s="64"/>
      <c r="CV712" s="64"/>
      <c r="CW712" s="64"/>
      <c r="CX712" s="64"/>
      <c r="CY712" s="64"/>
      <c r="CZ712" s="64"/>
      <c r="DA712" s="64"/>
      <c r="DB712" s="64"/>
      <c r="DC712" s="64"/>
      <c r="DD712" s="64"/>
      <c r="DE712" s="64"/>
      <c r="DF712" s="64"/>
      <c r="DG712" s="64"/>
      <c r="DH712" s="64"/>
      <c r="DI712" s="64"/>
      <c r="DJ712" s="64"/>
      <c r="DK712" s="64"/>
      <c r="DL712" s="64"/>
      <c r="DM712" s="64"/>
      <c r="DN712" s="64"/>
      <c r="DO712" s="64"/>
      <c r="DP712" s="64"/>
      <c r="DQ712" s="64"/>
      <c r="DR712" s="64"/>
      <c r="DS712" s="64"/>
      <c r="DT712" s="64"/>
      <c r="DU712" s="64"/>
      <c r="DV712" s="64"/>
      <c r="DW712" s="64"/>
      <c r="DX712" s="64"/>
      <c r="DY712" s="64"/>
      <c r="DZ712" s="64"/>
      <c r="EA712" s="64"/>
      <c r="EB712" s="64"/>
      <c r="EC712" s="64"/>
      <c r="ED712" s="64"/>
      <c r="EE712" s="64"/>
      <c r="EF712" s="64"/>
      <c r="EG712" s="64"/>
      <c r="EH712" s="64"/>
      <c r="EI712" s="64"/>
      <c r="EJ712" s="64"/>
      <c r="EK712" s="64"/>
      <c r="EL712" s="64"/>
      <c r="EM712" s="64"/>
      <c r="EN712" s="64"/>
      <c r="EO712" s="64"/>
      <c r="EP712" s="64"/>
      <c r="EQ712" s="64"/>
      <c r="ER712" s="64"/>
      <c r="ES712" s="64"/>
      <c r="ET712" s="64"/>
      <c r="EU712" s="64"/>
      <c r="EV712" s="64"/>
      <c r="EW712" s="64"/>
      <c r="EX712" s="64"/>
      <c r="EY712" s="64"/>
      <c r="EZ712" s="64"/>
      <c r="FA712" s="64"/>
      <c r="FB712" s="64"/>
      <c r="FC712" s="64"/>
      <c r="FD712" s="64"/>
      <c r="FE712" s="64"/>
      <c r="FF712" s="64"/>
      <c r="FG712" s="64"/>
      <c r="FH712" s="64"/>
      <c r="FI712" s="64"/>
      <c r="FJ712" s="64"/>
      <c r="FK712" s="64"/>
      <c r="FL712" s="64"/>
      <c r="FM712" s="64"/>
      <c r="FN712" s="64"/>
      <c r="FO712" s="64"/>
      <c r="FP712" s="64"/>
      <c r="FQ712" s="64"/>
      <c r="FR712" s="64"/>
      <c r="FS712" s="64"/>
      <c r="FT712" s="64"/>
      <c r="FU712" s="64"/>
      <c r="FV712" s="64"/>
      <c r="FW712" s="64"/>
      <c r="FX712" s="64"/>
      <c r="FY712" s="64"/>
      <c r="FZ712" s="64"/>
      <c r="GA712" s="64"/>
      <c r="GB712" s="64"/>
      <c r="GC712" s="64"/>
      <c r="GD712" s="64"/>
      <c r="GE712" s="64"/>
      <c r="GF712" s="64"/>
      <c r="GG712" s="64"/>
      <c r="GH712" s="64"/>
      <c r="GI712" s="64"/>
      <c r="GJ712" s="64"/>
      <c r="GK712" s="64"/>
      <c r="GL712" s="64"/>
      <c r="GM712" s="64"/>
      <c r="GN712" s="64"/>
      <c r="GO712" s="64"/>
      <c r="GP712" s="64"/>
      <c r="GQ712" s="64"/>
      <c r="GR712" s="64"/>
      <c r="GS712" s="64"/>
      <c r="GT712" s="64"/>
      <c r="GU712" s="64"/>
      <c r="GV712" s="64"/>
      <c r="GW712" s="64"/>
      <c r="GX712" s="64"/>
      <c r="GY712" s="64"/>
      <c r="GZ712" s="64"/>
      <c r="HA712" s="64"/>
      <c r="HB712" s="64"/>
      <c r="HC712" s="64"/>
      <c r="HD712" s="64"/>
      <c r="HE712" s="64"/>
      <c r="HF712" s="64"/>
      <c r="HG712" s="64"/>
      <c r="HH712" s="64"/>
      <c r="HI712" s="64"/>
      <c r="HJ712" s="64"/>
      <c r="HK712" s="64"/>
      <c r="HL712" s="64"/>
      <c r="HM712" s="64"/>
      <c r="HN712" s="64"/>
      <c r="HO712" s="64"/>
      <c r="HP712" s="64"/>
      <c r="HQ712" s="64"/>
      <c r="HR712" s="64"/>
      <c r="HS712" s="64"/>
      <c r="HT712" s="64"/>
      <c r="HU712" s="64"/>
      <c r="HV712" s="64"/>
      <c r="HW712" s="64"/>
      <c r="HX712" s="64"/>
      <c r="HY712" s="64"/>
      <c r="HZ712" s="64"/>
      <c r="IA712" s="64"/>
      <c r="IB712" s="64"/>
      <c r="IC712" s="64"/>
      <c r="ID712" s="64"/>
      <c r="IE712" s="64"/>
      <c r="IF712" s="64"/>
      <c r="IG712" s="64"/>
      <c r="IH712" s="64"/>
      <c r="II712" s="64"/>
      <c r="IJ712" s="64"/>
      <c r="IK712" s="64"/>
      <c r="IL712" s="64"/>
      <c r="IM712" s="64"/>
      <c r="IN712" s="64"/>
      <c r="IO712" s="64"/>
      <c r="IP712" s="64"/>
      <c r="IQ712" s="64"/>
      <c r="IR712" s="64"/>
      <c r="IS712" s="64"/>
      <c r="IT712" s="64"/>
      <c r="IU712" s="64"/>
      <c r="IV712" s="64"/>
      <c r="IW712" s="64"/>
      <c r="IX712" s="64"/>
      <c r="IY712" s="64"/>
      <c r="IZ712" s="64"/>
      <c r="JA712" s="64"/>
      <c r="JB712" s="64"/>
      <c r="JC712" s="64"/>
      <c r="JD712" s="64"/>
      <c r="JE712" s="64"/>
      <c r="JF712" s="64"/>
      <c r="JG712" s="64"/>
      <c r="JH712" s="64"/>
      <c r="JI712" s="64"/>
      <c r="JJ712" s="64"/>
      <c r="JK712" s="64"/>
      <c r="JL712" s="64"/>
      <c r="JM712" s="64"/>
      <c r="JN712" s="64"/>
      <c r="JO712" s="64"/>
      <c r="JP712" s="64"/>
      <c r="JQ712" s="64"/>
      <c r="JR712" s="64"/>
      <c r="JS712" s="64"/>
      <c r="JT712" s="64"/>
      <c r="JU712" s="64"/>
      <c r="JV712" s="64"/>
      <c r="JW712" s="64"/>
      <c r="JX712" s="64"/>
      <c r="JY712" s="64"/>
      <c r="JZ712" s="64"/>
      <c r="KA712" s="64"/>
      <c r="KB712" s="64"/>
      <c r="KC712" s="64"/>
      <c r="KD712" s="64"/>
      <c r="KE712" s="64"/>
      <c r="KF712" s="64"/>
      <c r="KG712" s="64"/>
      <c r="KH712" s="64"/>
      <c r="KI712" s="64"/>
      <c r="KJ712" s="64"/>
      <c r="KK712" s="64"/>
      <c r="KL712" s="64"/>
      <c r="KM712" s="64"/>
      <c r="KN712" s="64"/>
      <c r="KO712" s="64"/>
      <c r="KP712" s="64"/>
      <c r="KQ712" s="64"/>
      <c r="KR712" s="64"/>
      <c r="KS712" s="64"/>
      <c r="KT712" s="64"/>
      <c r="KU712" s="64"/>
      <c r="KV712" s="64"/>
      <c r="KW712" s="64"/>
      <c r="KX712" s="64"/>
      <c r="KY712" s="64"/>
      <c r="KZ712" s="64"/>
      <c r="LA712" s="64"/>
      <c r="LB712" s="64"/>
      <c r="LC712" s="64"/>
      <c r="LD712" s="64"/>
      <c r="LE712" s="64"/>
      <c r="LF712" s="64"/>
      <c r="LG712" s="64"/>
      <c r="LH712" s="64"/>
      <c r="LI712" s="64"/>
      <c r="LJ712" s="64"/>
      <c r="LK712" s="64"/>
      <c r="LL712" s="64"/>
      <c r="LM712" s="64"/>
      <c r="LN712" s="64"/>
      <c r="LO712" s="64"/>
      <c r="LP712" s="64"/>
      <c r="LQ712" s="64"/>
      <c r="LR712" s="64"/>
      <c r="LS712" s="64"/>
      <c r="LT712" s="64"/>
      <c r="LU712" s="64"/>
      <c r="LV712" s="64"/>
      <c r="LW712" s="64"/>
      <c r="LX712" s="64"/>
      <c r="LY712" s="64"/>
      <c r="LZ712" s="64"/>
      <c r="MA712" s="64"/>
      <c r="MB712" s="64"/>
      <c r="MC712" s="64"/>
      <c r="MD712" s="64"/>
      <c r="ME712" s="64"/>
      <c r="MF712" s="64"/>
      <c r="MG712" s="64"/>
      <c r="MH712" s="64"/>
      <c r="MI712" s="64"/>
      <c r="MJ712" s="64"/>
      <c r="MK712" s="64"/>
      <c r="ML712" s="64"/>
      <c r="MM712" s="64"/>
      <c r="MN712" s="64"/>
      <c r="MO712" s="64"/>
      <c r="MP712" s="64"/>
      <c r="MQ712" s="64"/>
      <c r="MR712" s="64"/>
      <c r="MS712" s="64"/>
      <c r="MT712" s="64"/>
      <c r="MU712" s="64"/>
      <c r="MV712" s="64"/>
      <c r="MW712" s="64"/>
      <c r="MX712" s="64"/>
      <c r="MY712" s="64"/>
      <c r="MZ712" s="64"/>
      <c r="NA712" s="64"/>
      <c r="NB712" s="64"/>
      <c r="NC712" s="64"/>
      <c r="ND712" s="64"/>
      <c r="NE712" s="64"/>
      <c r="NF712" s="64"/>
      <c r="NG712" s="64"/>
      <c r="NH712" s="64"/>
      <c r="NI712" s="64"/>
      <c r="NJ712" s="64"/>
      <c r="NK712" s="64"/>
      <c r="NL712" s="64"/>
      <c r="NM712" s="64"/>
      <c r="NN712" s="64"/>
      <c r="NO712" s="64"/>
      <c r="NP712" s="64"/>
      <c r="NQ712" s="64"/>
      <c r="NR712" s="64"/>
      <c r="NS712" s="64"/>
      <c r="NT712" s="64"/>
      <c r="NU712" s="64"/>
      <c r="NV712" s="64"/>
      <c r="NW712" s="64"/>
      <c r="NX712" s="64"/>
      <c r="NY712" s="64"/>
      <c r="NZ712" s="64"/>
      <c r="OA712" s="64"/>
      <c r="OB712" s="64"/>
      <c r="OC712" s="64"/>
      <c r="OD712" s="64"/>
      <c r="OE712" s="64"/>
      <c r="OF712" s="64"/>
      <c r="OG712" s="64"/>
      <c r="OH712" s="64"/>
      <c r="OI712" s="64"/>
      <c r="OJ712" s="64"/>
      <c r="OK712" s="64"/>
      <c r="OL712" s="64"/>
      <c r="OM712" s="64"/>
      <c r="ON712" s="64"/>
      <c r="OO712" s="64"/>
      <c r="OP712" s="64"/>
      <c r="OQ712" s="64"/>
      <c r="OR712" s="64"/>
      <c r="OS712" s="64"/>
      <c r="OT712" s="64"/>
      <c r="OU712" s="64"/>
      <c r="OV712" s="64"/>
      <c r="OW712" s="64"/>
      <c r="OX712" s="64"/>
      <c r="OY712" s="64"/>
      <c r="OZ712" s="64"/>
      <c r="PA712" s="64"/>
      <c r="PB712" s="64"/>
      <c r="PC712" s="64"/>
      <c r="PD712" s="64"/>
      <c r="PE712" s="64"/>
      <c r="PF712" s="64"/>
      <c r="PG712" s="64"/>
      <c r="PH712" s="64"/>
      <c r="PI712" s="64"/>
    </row>
    <row r="713" spans="1:425" s="85" customFormat="1">
      <c r="A713" s="70"/>
      <c r="B713" s="70"/>
      <c r="C713" s="279" t="s">
        <v>1258</v>
      </c>
      <c r="D713" s="279"/>
      <c r="E713" s="279"/>
      <c r="F713" s="279"/>
      <c r="G713" s="279"/>
      <c r="H713" s="279"/>
      <c r="I713" s="279"/>
      <c r="J713" s="279"/>
      <c r="K713" s="279"/>
      <c r="L713" s="279"/>
      <c r="M713" s="279"/>
      <c r="N713" s="9" t="s">
        <v>1259</v>
      </c>
      <c r="O713" s="74">
        <v>0</v>
      </c>
      <c r="P713" s="67"/>
      <c r="Q713" s="67"/>
      <c r="R713" s="67"/>
      <c r="S713" s="61" t="str">
        <f t="shared" si="134"/>
        <v>852</v>
      </c>
      <c r="T713" s="64" t="str">
        <f t="shared" si="136"/>
        <v>CONCILIACIÓN TRIBUTARIA</v>
      </c>
      <c r="U713" s="64" t="str">
        <f t="shared" si="137"/>
        <v>_</v>
      </c>
      <c r="V713" s="64" t="str">
        <f t="shared" si="129"/>
        <v>(=) Rebaja del saldo del anticipo - decreto ejecutivo no. 210 (aplica para únicamente para el ejercicio 2017)</v>
      </c>
      <c r="W713" s="64" t="str">
        <f t="shared" si="130"/>
        <v/>
      </c>
      <c r="X713" s="64" t="str">
        <f t="shared" si="138"/>
        <v/>
      </c>
      <c r="Y713" s="64" t="str">
        <f t="shared" si="139"/>
        <v/>
      </c>
      <c r="Z713" s="64" t="str">
        <f t="shared" si="140"/>
        <v/>
      </c>
      <c r="AA713" s="64" t="str">
        <f t="shared" si="135"/>
        <v>(=) Rebaja del saldo del anticipo - decreto ejecutivo no. 210 (aplica para únicamente para el ejercicio 2017)_</v>
      </c>
      <c r="AB713" s="64"/>
      <c r="AC713" s="64"/>
      <c r="AD713" s="64"/>
      <c r="AE713" s="64"/>
      <c r="AF713" s="64"/>
      <c r="AG713" s="64"/>
      <c r="AH713" s="64"/>
      <c r="AI713" s="64"/>
      <c r="AJ713" s="64"/>
      <c r="AK713" s="64"/>
      <c r="AL713" s="64"/>
      <c r="AM713" s="64"/>
      <c r="AN713" s="64"/>
      <c r="AO713" s="64"/>
      <c r="AP713" s="64"/>
      <c r="AQ713" s="64"/>
      <c r="AR713" s="64"/>
      <c r="AS713" s="64"/>
      <c r="AT713" s="64"/>
      <c r="AU713" s="64"/>
      <c r="AV713" s="64"/>
      <c r="AW713" s="64"/>
      <c r="AX713" s="64"/>
      <c r="AY713" s="64"/>
      <c r="AZ713" s="64"/>
      <c r="BA713" s="64"/>
      <c r="BB713" s="64"/>
      <c r="BC713" s="64"/>
      <c r="BD713" s="64"/>
      <c r="BE713" s="64"/>
      <c r="BF713" s="64"/>
      <c r="BG713" s="64"/>
      <c r="BH713" s="64"/>
      <c r="BI713" s="64"/>
      <c r="BJ713" s="64"/>
      <c r="BK713" s="64"/>
      <c r="BL713" s="64"/>
      <c r="BM713" s="64"/>
      <c r="BN713" s="64"/>
      <c r="BO713" s="64"/>
      <c r="BP713" s="64"/>
      <c r="BQ713" s="64"/>
      <c r="BR713" s="64"/>
      <c r="BS713" s="64"/>
      <c r="BT713" s="64"/>
      <c r="BU713" s="64"/>
      <c r="BV713" s="64"/>
      <c r="BW713" s="64"/>
      <c r="BX713" s="64"/>
      <c r="BY713" s="64"/>
      <c r="BZ713" s="64"/>
      <c r="CA713" s="64"/>
      <c r="CB713" s="64"/>
      <c r="CC713" s="64"/>
      <c r="CD713" s="64"/>
      <c r="CE713" s="64"/>
      <c r="CF713" s="64"/>
      <c r="CG713" s="64"/>
      <c r="CH713" s="64"/>
      <c r="CI713" s="64"/>
      <c r="CJ713" s="64"/>
      <c r="CK713" s="64"/>
      <c r="CL713" s="64"/>
      <c r="CM713" s="64"/>
      <c r="CN713" s="64"/>
      <c r="CO713" s="64"/>
      <c r="CP713" s="64"/>
      <c r="CQ713" s="64"/>
      <c r="CR713" s="64"/>
      <c r="CS713" s="64"/>
      <c r="CT713" s="64"/>
      <c r="CU713" s="64"/>
      <c r="CV713" s="64"/>
      <c r="CW713" s="64"/>
      <c r="CX713" s="64"/>
      <c r="CY713" s="64"/>
      <c r="CZ713" s="64"/>
      <c r="DA713" s="64"/>
      <c r="DB713" s="64"/>
      <c r="DC713" s="64"/>
      <c r="DD713" s="64"/>
      <c r="DE713" s="64"/>
      <c r="DF713" s="64"/>
      <c r="DG713" s="64"/>
      <c r="DH713" s="64"/>
      <c r="DI713" s="64"/>
      <c r="DJ713" s="64"/>
      <c r="DK713" s="64"/>
      <c r="DL713" s="64"/>
      <c r="DM713" s="64"/>
      <c r="DN713" s="64"/>
      <c r="DO713" s="64"/>
      <c r="DP713" s="64"/>
      <c r="DQ713" s="64"/>
      <c r="DR713" s="64"/>
      <c r="DS713" s="64"/>
      <c r="DT713" s="64"/>
      <c r="DU713" s="64"/>
      <c r="DV713" s="64"/>
      <c r="DW713" s="64"/>
      <c r="DX713" s="64"/>
      <c r="DY713" s="64"/>
      <c r="DZ713" s="64"/>
      <c r="EA713" s="64"/>
      <c r="EB713" s="64"/>
      <c r="EC713" s="64"/>
      <c r="ED713" s="64"/>
      <c r="EE713" s="64"/>
      <c r="EF713" s="64"/>
      <c r="EG713" s="64"/>
      <c r="EH713" s="64"/>
      <c r="EI713" s="64"/>
      <c r="EJ713" s="64"/>
      <c r="EK713" s="64"/>
      <c r="EL713" s="64"/>
      <c r="EM713" s="64"/>
      <c r="EN713" s="64"/>
      <c r="EO713" s="64"/>
      <c r="EP713" s="64"/>
      <c r="EQ713" s="64"/>
      <c r="ER713" s="64"/>
      <c r="ES713" s="64"/>
      <c r="ET713" s="64"/>
      <c r="EU713" s="64"/>
      <c r="EV713" s="64"/>
      <c r="EW713" s="64"/>
      <c r="EX713" s="64"/>
      <c r="EY713" s="64"/>
      <c r="EZ713" s="64"/>
      <c r="FA713" s="64"/>
      <c r="FB713" s="64"/>
      <c r="FC713" s="64"/>
      <c r="FD713" s="64"/>
      <c r="FE713" s="64"/>
      <c r="FF713" s="64"/>
      <c r="FG713" s="64"/>
      <c r="FH713" s="64"/>
      <c r="FI713" s="64"/>
      <c r="FJ713" s="64"/>
      <c r="FK713" s="64"/>
      <c r="FL713" s="64"/>
      <c r="FM713" s="64"/>
      <c r="FN713" s="64"/>
      <c r="FO713" s="64"/>
      <c r="FP713" s="64"/>
      <c r="FQ713" s="64"/>
      <c r="FR713" s="64"/>
      <c r="FS713" s="64"/>
      <c r="FT713" s="64"/>
      <c r="FU713" s="64"/>
      <c r="FV713" s="64"/>
      <c r="FW713" s="64"/>
      <c r="FX713" s="64"/>
      <c r="FY713" s="64"/>
      <c r="FZ713" s="64"/>
      <c r="GA713" s="64"/>
      <c r="GB713" s="64"/>
      <c r="GC713" s="64"/>
      <c r="GD713" s="64"/>
      <c r="GE713" s="64"/>
      <c r="GF713" s="64"/>
      <c r="GG713" s="64"/>
      <c r="GH713" s="64"/>
      <c r="GI713" s="64"/>
      <c r="GJ713" s="64"/>
      <c r="GK713" s="64"/>
      <c r="GL713" s="64"/>
      <c r="GM713" s="64"/>
      <c r="GN713" s="64"/>
      <c r="GO713" s="64"/>
      <c r="GP713" s="64"/>
      <c r="GQ713" s="64"/>
      <c r="GR713" s="64"/>
      <c r="GS713" s="64"/>
      <c r="GT713" s="64"/>
      <c r="GU713" s="64"/>
      <c r="GV713" s="64"/>
      <c r="GW713" s="64"/>
      <c r="GX713" s="64"/>
      <c r="GY713" s="64"/>
      <c r="GZ713" s="64"/>
      <c r="HA713" s="64"/>
      <c r="HB713" s="64"/>
      <c r="HC713" s="64"/>
      <c r="HD713" s="64"/>
      <c r="HE713" s="64"/>
      <c r="HF713" s="64"/>
      <c r="HG713" s="64"/>
      <c r="HH713" s="64"/>
      <c r="HI713" s="64"/>
      <c r="HJ713" s="64"/>
      <c r="HK713" s="64"/>
      <c r="HL713" s="64"/>
      <c r="HM713" s="64"/>
      <c r="HN713" s="64"/>
      <c r="HO713" s="64"/>
      <c r="HP713" s="64"/>
      <c r="HQ713" s="64"/>
      <c r="HR713" s="64"/>
      <c r="HS713" s="64"/>
      <c r="HT713" s="64"/>
      <c r="HU713" s="64"/>
      <c r="HV713" s="64"/>
      <c r="HW713" s="64"/>
      <c r="HX713" s="64"/>
      <c r="HY713" s="64"/>
      <c r="HZ713" s="64"/>
      <c r="IA713" s="64"/>
      <c r="IB713" s="64"/>
      <c r="IC713" s="64"/>
      <c r="ID713" s="64"/>
      <c r="IE713" s="64"/>
      <c r="IF713" s="64"/>
      <c r="IG713" s="64"/>
      <c r="IH713" s="64"/>
      <c r="II713" s="64"/>
      <c r="IJ713" s="64"/>
      <c r="IK713" s="64"/>
      <c r="IL713" s="64"/>
      <c r="IM713" s="64"/>
      <c r="IN713" s="64"/>
      <c r="IO713" s="64"/>
      <c r="IP713" s="64"/>
      <c r="IQ713" s="64"/>
      <c r="IR713" s="64"/>
      <c r="IS713" s="64"/>
      <c r="IT713" s="64"/>
      <c r="IU713" s="64"/>
      <c r="IV713" s="64"/>
      <c r="IW713" s="64"/>
      <c r="IX713" s="64"/>
      <c r="IY713" s="64"/>
      <c r="IZ713" s="64"/>
      <c r="JA713" s="64"/>
      <c r="JB713" s="64"/>
      <c r="JC713" s="64"/>
      <c r="JD713" s="64"/>
      <c r="JE713" s="64"/>
      <c r="JF713" s="64"/>
      <c r="JG713" s="64"/>
      <c r="JH713" s="64"/>
      <c r="JI713" s="64"/>
      <c r="JJ713" s="64"/>
      <c r="JK713" s="64"/>
      <c r="JL713" s="64"/>
      <c r="JM713" s="64"/>
      <c r="JN713" s="64"/>
      <c r="JO713" s="64"/>
      <c r="JP713" s="64"/>
      <c r="JQ713" s="64"/>
      <c r="JR713" s="64"/>
      <c r="JS713" s="64"/>
      <c r="JT713" s="64"/>
      <c r="JU713" s="64"/>
      <c r="JV713" s="64"/>
      <c r="JW713" s="64"/>
      <c r="JX713" s="64"/>
      <c r="JY713" s="64"/>
      <c r="JZ713" s="64"/>
      <c r="KA713" s="64"/>
      <c r="KB713" s="64"/>
      <c r="KC713" s="64"/>
      <c r="KD713" s="64"/>
      <c r="KE713" s="64"/>
      <c r="KF713" s="64"/>
      <c r="KG713" s="64"/>
      <c r="KH713" s="64"/>
      <c r="KI713" s="64"/>
      <c r="KJ713" s="64"/>
      <c r="KK713" s="64"/>
      <c r="KL713" s="64"/>
      <c r="KM713" s="64"/>
      <c r="KN713" s="64"/>
      <c r="KO713" s="64"/>
      <c r="KP713" s="64"/>
      <c r="KQ713" s="64"/>
      <c r="KR713" s="64"/>
      <c r="KS713" s="64"/>
      <c r="KT713" s="64"/>
      <c r="KU713" s="64"/>
      <c r="KV713" s="64"/>
      <c r="KW713" s="64"/>
      <c r="KX713" s="64"/>
      <c r="KY713" s="64"/>
      <c r="KZ713" s="64"/>
      <c r="LA713" s="64"/>
      <c r="LB713" s="64"/>
      <c r="LC713" s="64"/>
      <c r="LD713" s="64"/>
      <c r="LE713" s="64"/>
      <c r="LF713" s="64"/>
      <c r="LG713" s="64"/>
      <c r="LH713" s="64"/>
      <c r="LI713" s="64"/>
      <c r="LJ713" s="64"/>
      <c r="LK713" s="64"/>
      <c r="LL713" s="64"/>
      <c r="LM713" s="64"/>
      <c r="LN713" s="64"/>
      <c r="LO713" s="64"/>
      <c r="LP713" s="64"/>
      <c r="LQ713" s="64"/>
      <c r="LR713" s="64"/>
      <c r="LS713" s="64"/>
      <c r="LT713" s="64"/>
      <c r="LU713" s="64"/>
      <c r="LV713" s="64"/>
      <c r="LW713" s="64"/>
      <c r="LX713" s="64"/>
      <c r="LY713" s="64"/>
      <c r="LZ713" s="64"/>
      <c r="MA713" s="64"/>
      <c r="MB713" s="64"/>
      <c r="MC713" s="64"/>
      <c r="MD713" s="64"/>
      <c r="ME713" s="64"/>
      <c r="MF713" s="64"/>
      <c r="MG713" s="64"/>
      <c r="MH713" s="64"/>
      <c r="MI713" s="64"/>
      <c r="MJ713" s="64"/>
      <c r="MK713" s="64"/>
      <c r="ML713" s="64"/>
      <c r="MM713" s="64"/>
      <c r="MN713" s="64"/>
      <c r="MO713" s="64"/>
      <c r="MP713" s="64"/>
      <c r="MQ713" s="64"/>
      <c r="MR713" s="64"/>
      <c r="MS713" s="64"/>
      <c r="MT713" s="64"/>
      <c r="MU713" s="64"/>
      <c r="MV713" s="64"/>
      <c r="MW713" s="64"/>
      <c r="MX713" s="64"/>
      <c r="MY713" s="64"/>
      <c r="MZ713" s="64"/>
      <c r="NA713" s="64"/>
      <c r="NB713" s="64"/>
      <c r="NC713" s="64"/>
      <c r="ND713" s="64"/>
      <c r="NE713" s="64"/>
      <c r="NF713" s="64"/>
      <c r="NG713" s="64"/>
      <c r="NH713" s="64"/>
      <c r="NI713" s="64"/>
      <c r="NJ713" s="64"/>
      <c r="NK713" s="64"/>
      <c r="NL713" s="64"/>
      <c r="NM713" s="64"/>
      <c r="NN713" s="64"/>
      <c r="NO713" s="64"/>
      <c r="NP713" s="64"/>
      <c r="NQ713" s="64"/>
      <c r="NR713" s="64"/>
      <c r="NS713" s="64"/>
      <c r="NT713" s="64"/>
      <c r="NU713" s="64"/>
      <c r="NV713" s="64"/>
      <c r="NW713" s="64"/>
      <c r="NX713" s="64"/>
      <c r="NY713" s="64"/>
      <c r="NZ713" s="64"/>
      <c r="OA713" s="64"/>
      <c r="OB713" s="64"/>
      <c r="OC713" s="64"/>
      <c r="OD713" s="64"/>
      <c r="OE713" s="64"/>
      <c r="OF713" s="64"/>
      <c r="OG713" s="64"/>
      <c r="OH713" s="64"/>
      <c r="OI713" s="64"/>
      <c r="OJ713" s="64"/>
      <c r="OK713" s="64"/>
      <c r="OL713" s="64"/>
      <c r="OM713" s="64"/>
      <c r="ON713" s="64"/>
      <c r="OO713" s="64"/>
      <c r="OP713" s="64"/>
      <c r="OQ713" s="64"/>
      <c r="OR713" s="64"/>
      <c r="OS713" s="64"/>
      <c r="OT713" s="64"/>
      <c r="OU713" s="64"/>
      <c r="OV713" s="64"/>
      <c r="OW713" s="64"/>
      <c r="OX713" s="64"/>
      <c r="OY713" s="64"/>
      <c r="OZ713" s="64"/>
      <c r="PA713" s="64"/>
      <c r="PB713" s="64"/>
      <c r="PC713" s="64"/>
      <c r="PD713" s="64"/>
      <c r="PE713" s="64"/>
      <c r="PF713" s="64"/>
      <c r="PG713" s="64"/>
      <c r="PH713" s="64"/>
      <c r="PI713" s="64"/>
    </row>
    <row r="714" spans="1:425" s="85" customFormat="1">
      <c r="A714" s="70"/>
      <c r="B714" s="70"/>
      <c r="C714" s="279" t="s">
        <v>1260</v>
      </c>
      <c r="D714" s="279"/>
      <c r="E714" s="279"/>
      <c r="F714" s="279"/>
      <c r="G714" s="279"/>
      <c r="H714" s="279"/>
      <c r="I714" s="279"/>
      <c r="J714" s="279"/>
      <c r="K714" s="279"/>
      <c r="L714" s="279"/>
      <c r="M714" s="279"/>
      <c r="N714" s="9" t="s">
        <v>1261</v>
      </c>
      <c r="O714" s="74">
        <v>0</v>
      </c>
      <c r="P714" s="67"/>
      <c r="Q714" s="67"/>
      <c r="R714" s="67"/>
      <c r="S714" s="61" t="str">
        <f t="shared" si="134"/>
        <v>853</v>
      </c>
      <c r="T714" s="64" t="str">
        <f t="shared" si="136"/>
        <v>CONCILIACIÓN TRIBUTARIA</v>
      </c>
      <c r="U714" s="64" t="str">
        <f t="shared" si="137"/>
        <v>_</v>
      </c>
      <c r="V714" s="64" t="str">
        <f t="shared" si="129"/>
        <v>(=) Anticipo reducido correspondiente al ejercicio fiscal declarado (aplica para únicamente para el ejercicio 2017)                                                   (851-852)</v>
      </c>
      <c r="W714" s="64" t="str">
        <f t="shared" si="130"/>
        <v/>
      </c>
      <c r="X714" s="64" t="str">
        <f t="shared" si="138"/>
        <v/>
      </c>
      <c r="Y714" s="64" t="str">
        <f t="shared" si="139"/>
        <v/>
      </c>
      <c r="Z714" s="64" t="str">
        <f t="shared" si="140"/>
        <v/>
      </c>
      <c r="AA714" s="64" t="str">
        <f t="shared" si="135"/>
        <v>(=) Anticipo reducido correspondiente al ejercicio fiscal declarado (aplica para únicamente para el ejercicio 2017)                                                   (851-852)_</v>
      </c>
      <c r="AB714" s="64"/>
      <c r="AC714" s="64"/>
      <c r="AD714" s="64"/>
      <c r="AE714" s="64"/>
      <c r="AF714" s="64"/>
      <c r="AG714" s="64"/>
      <c r="AH714" s="64"/>
      <c r="AI714" s="64"/>
      <c r="AJ714" s="64"/>
      <c r="AK714" s="64"/>
      <c r="AL714" s="64"/>
      <c r="AM714" s="64"/>
      <c r="AN714" s="64"/>
      <c r="AO714" s="64"/>
      <c r="AP714" s="64"/>
      <c r="AQ714" s="64"/>
      <c r="AR714" s="64"/>
      <c r="AS714" s="64"/>
      <c r="AT714" s="64"/>
      <c r="AU714" s="64"/>
      <c r="AV714" s="64"/>
      <c r="AW714" s="64"/>
      <c r="AX714" s="64"/>
      <c r="AY714" s="64"/>
      <c r="AZ714" s="64"/>
      <c r="BA714" s="64"/>
      <c r="BB714" s="64"/>
      <c r="BC714" s="64"/>
      <c r="BD714" s="64"/>
      <c r="BE714" s="64"/>
      <c r="BF714" s="64"/>
      <c r="BG714" s="64"/>
      <c r="BH714" s="64"/>
      <c r="BI714" s="64"/>
      <c r="BJ714" s="64"/>
      <c r="BK714" s="64"/>
      <c r="BL714" s="64"/>
      <c r="BM714" s="64"/>
      <c r="BN714" s="64"/>
      <c r="BO714" s="64"/>
      <c r="BP714" s="64"/>
      <c r="BQ714" s="64"/>
      <c r="BR714" s="64"/>
      <c r="BS714" s="64"/>
      <c r="BT714" s="64"/>
      <c r="BU714" s="64"/>
      <c r="BV714" s="64"/>
      <c r="BW714" s="64"/>
      <c r="BX714" s="64"/>
      <c r="BY714" s="64"/>
      <c r="BZ714" s="64"/>
      <c r="CA714" s="64"/>
      <c r="CB714" s="64"/>
      <c r="CC714" s="64"/>
      <c r="CD714" s="64"/>
      <c r="CE714" s="64"/>
      <c r="CF714" s="64"/>
      <c r="CG714" s="64"/>
      <c r="CH714" s="64"/>
      <c r="CI714" s="64"/>
      <c r="CJ714" s="64"/>
      <c r="CK714" s="64"/>
      <c r="CL714" s="64"/>
      <c r="CM714" s="64"/>
      <c r="CN714" s="64"/>
      <c r="CO714" s="64"/>
      <c r="CP714" s="64"/>
      <c r="CQ714" s="64"/>
      <c r="CR714" s="64"/>
      <c r="CS714" s="64"/>
      <c r="CT714" s="64"/>
      <c r="CU714" s="64"/>
      <c r="CV714" s="64"/>
      <c r="CW714" s="64"/>
      <c r="CX714" s="64"/>
      <c r="CY714" s="64"/>
      <c r="CZ714" s="64"/>
      <c r="DA714" s="64"/>
      <c r="DB714" s="64"/>
      <c r="DC714" s="64"/>
      <c r="DD714" s="64"/>
      <c r="DE714" s="64"/>
      <c r="DF714" s="64"/>
      <c r="DG714" s="64"/>
      <c r="DH714" s="64"/>
      <c r="DI714" s="64"/>
      <c r="DJ714" s="64"/>
      <c r="DK714" s="64"/>
      <c r="DL714" s="64"/>
      <c r="DM714" s="64"/>
      <c r="DN714" s="64"/>
      <c r="DO714" s="64"/>
      <c r="DP714" s="64"/>
      <c r="DQ714" s="64"/>
      <c r="DR714" s="64"/>
      <c r="DS714" s="64"/>
      <c r="DT714" s="64"/>
      <c r="DU714" s="64"/>
      <c r="DV714" s="64"/>
      <c r="DW714" s="64"/>
      <c r="DX714" s="64"/>
      <c r="DY714" s="64"/>
      <c r="DZ714" s="64"/>
      <c r="EA714" s="64"/>
      <c r="EB714" s="64"/>
      <c r="EC714" s="64"/>
      <c r="ED714" s="64"/>
      <c r="EE714" s="64"/>
      <c r="EF714" s="64"/>
      <c r="EG714" s="64"/>
      <c r="EH714" s="64"/>
      <c r="EI714" s="64"/>
      <c r="EJ714" s="64"/>
      <c r="EK714" s="64"/>
      <c r="EL714" s="64"/>
      <c r="EM714" s="64"/>
      <c r="EN714" s="64"/>
      <c r="EO714" s="64"/>
      <c r="EP714" s="64"/>
      <c r="EQ714" s="64"/>
      <c r="ER714" s="64"/>
      <c r="ES714" s="64"/>
      <c r="ET714" s="64"/>
      <c r="EU714" s="64"/>
      <c r="EV714" s="64"/>
      <c r="EW714" s="64"/>
      <c r="EX714" s="64"/>
      <c r="EY714" s="64"/>
      <c r="EZ714" s="64"/>
      <c r="FA714" s="64"/>
      <c r="FB714" s="64"/>
      <c r="FC714" s="64"/>
      <c r="FD714" s="64"/>
      <c r="FE714" s="64"/>
      <c r="FF714" s="64"/>
      <c r="FG714" s="64"/>
      <c r="FH714" s="64"/>
      <c r="FI714" s="64"/>
      <c r="FJ714" s="64"/>
      <c r="FK714" s="64"/>
      <c r="FL714" s="64"/>
      <c r="FM714" s="64"/>
      <c r="FN714" s="64"/>
      <c r="FO714" s="64"/>
      <c r="FP714" s="64"/>
      <c r="FQ714" s="64"/>
      <c r="FR714" s="64"/>
      <c r="FS714" s="64"/>
      <c r="FT714" s="64"/>
      <c r="FU714" s="64"/>
      <c r="FV714" s="64"/>
      <c r="FW714" s="64"/>
      <c r="FX714" s="64"/>
      <c r="FY714" s="64"/>
      <c r="FZ714" s="64"/>
      <c r="GA714" s="64"/>
      <c r="GB714" s="64"/>
      <c r="GC714" s="64"/>
      <c r="GD714" s="64"/>
      <c r="GE714" s="64"/>
      <c r="GF714" s="64"/>
      <c r="GG714" s="64"/>
      <c r="GH714" s="64"/>
      <c r="GI714" s="64"/>
      <c r="GJ714" s="64"/>
      <c r="GK714" s="64"/>
      <c r="GL714" s="64"/>
      <c r="GM714" s="64"/>
      <c r="GN714" s="64"/>
      <c r="GO714" s="64"/>
      <c r="GP714" s="64"/>
      <c r="GQ714" s="64"/>
      <c r="GR714" s="64"/>
      <c r="GS714" s="64"/>
      <c r="GT714" s="64"/>
      <c r="GU714" s="64"/>
      <c r="GV714" s="64"/>
      <c r="GW714" s="64"/>
      <c r="GX714" s="64"/>
      <c r="GY714" s="64"/>
      <c r="GZ714" s="64"/>
      <c r="HA714" s="64"/>
      <c r="HB714" s="64"/>
      <c r="HC714" s="64"/>
      <c r="HD714" s="64"/>
      <c r="HE714" s="64"/>
      <c r="HF714" s="64"/>
      <c r="HG714" s="64"/>
      <c r="HH714" s="64"/>
      <c r="HI714" s="64"/>
      <c r="HJ714" s="64"/>
      <c r="HK714" s="64"/>
      <c r="HL714" s="64"/>
      <c r="HM714" s="64"/>
      <c r="HN714" s="64"/>
      <c r="HO714" s="64"/>
      <c r="HP714" s="64"/>
      <c r="HQ714" s="64"/>
      <c r="HR714" s="64"/>
      <c r="HS714" s="64"/>
      <c r="HT714" s="64"/>
      <c r="HU714" s="64"/>
      <c r="HV714" s="64"/>
      <c r="HW714" s="64"/>
      <c r="HX714" s="64"/>
      <c r="HY714" s="64"/>
      <c r="HZ714" s="64"/>
      <c r="IA714" s="64"/>
      <c r="IB714" s="64"/>
      <c r="IC714" s="64"/>
      <c r="ID714" s="64"/>
      <c r="IE714" s="64"/>
      <c r="IF714" s="64"/>
      <c r="IG714" s="64"/>
      <c r="IH714" s="64"/>
      <c r="II714" s="64"/>
      <c r="IJ714" s="64"/>
      <c r="IK714" s="64"/>
      <c r="IL714" s="64"/>
      <c r="IM714" s="64"/>
      <c r="IN714" s="64"/>
      <c r="IO714" s="64"/>
      <c r="IP714" s="64"/>
      <c r="IQ714" s="64"/>
      <c r="IR714" s="64"/>
      <c r="IS714" s="64"/>
      <c r="IT714" s="64"/>
      <c r="IU714" s="64"/>
      <c r="IV714" s="64"/>
      <c r="IW714" s="64"/>
      <c r="IX714" s="64"/>
      <c r="IY714" s="64"/>
      <c r="IZ714" s="64"/>
      <c r="JA714" s="64"/>
      <c r="JB714" s="64"/>
      <c r="JC714" s="64"/>
      <c r="JD714" s="64"/>
      <c r="JE714" s="64"/>
      <c r="JF714" s="64"/>
      <c r="JG714" s="64"/>
      <c r="JH714" s="64"/>
      <c r="JI714" s="64"/>
      <c r="JJ714" s="64"/>
      <c r="JK714" s="64"/>
      <c r="JL714" s="64"/>
      <c r="JM714" s="64"/>
      <c r="JN714" s="64"/>
      <c r="JO714" s="64"/>
      <c r="JP714" s="64"/>
      <c r="JQ714" s="64"/>
      <c r="JR714" s="64"/>
      <c r="JS714" s="64"/>
      <c r="JT714" s="64"/>
      <c r="JU714" s="64"/>
      <c r="JV714" s="64"/>
      <c r="JW714" s="64"/>
      <c r="JX714" s="64"/>
      <c r="JY714" s="64"/>
      <c r="JZ714" s="64"/>
      <c r="KA714" s="64"/>
      <c r="KB714" s="64"/>
      <c r="KC714" s="64"/>
      <c r="KD714" s="64"/>
      <c r="KE714" s="64"/>
      <c r="KF714" s="64"/>
      <c r="KG714" s="64"/>
      <c r="KH714" s="64"/>
      <c r="KI714" s="64"/>
      <c r="KJ714" s="64"/>
      <c r="KK714" s="64"/>
      <c r="KL714" s="64"/>
      <c r="KM714" s="64"/>
      <c r="KN714" s="64"/>
      <c r="KO714" s="64"/>
      <c r="KP714" s="64"/>
      <c r="KQ714" s="64"/>
      <c r="KR714" s="64"/>
      <c r="KS714" s="64"/>
      <c r="KT714" s="64"/>
      <c r="KU714" s="64"/>
      <c r="KV714" s="64"/>
      <c r="KW714" s="64"/>
      <c r="KX714" s="64"/>
      <c r="KY714" s="64"/>
      <c r="KZ714" s="64"/>
      <c r="LA714" s="64"/>
      <c r="LB714" s="64"/>
      <c r="LC714" s="64"/>
      <c r="LD714" s="64"/>
      <c r="LE714" s="64"/>
      <c r="LF714" s="64"/>
      <c r="LG714" s="64"/>
      <c r="LH714" s="64"/>
      <c r="LI714" s="64"/>
      <c r="LJ714" s="64"/>
      <c r="LK714" s="64"/>
      <c r="LL714" s="64"/>
      <c r="LM714" s="64"/>
      <c r="LN714" s="64"/>
      <c r="LO714" s="64"/>
      <c r="LP714" s="64"/>
      <c r="LQ714" s="64"/>
      <c r="LR714" s="64"/>
      <c r="LS714" s="64"/>
      <c r="LT714" s="64"/>
      <c r="LU714" s="64"/>
      <c r="LV714" s="64"/>
      <c r="LW714" s="64"/>
      <c r="LX714" s="64"/>
      <c r="LY714" s="64"/>
      <c r="LZ714" s="64"/>
      <c r="MA714" s="64"/>
      <c r="MB714" s="64"/>
      <c r="MC714" s="64"/>
      <c r="MD714" s="64"/>
      <c r="ME714" s="64"/>
      <c r="MF714" s="64"/>
      <c r="MG714" s="64"/>
      <c r="MH714" s="64"/>
      <c r="MI714" s="64"/>
      <c r="MJ714" s="64"/>
      <c r="MK714" s="64"/>
      <c r="ML714" s="64"/>
      <c r="MM714" s="64"/>
      <c r="MN714" s="64"/>
      <c r="MO714" s="64"/>
      <c r="MP714" s="64"/>
      <c r="MQ714" s="64"/>
      <c r="MR714" s="64"/>
      <c r="MS714" s="64"/>
      <c r="MT714" s="64"/>
      <c r="MU714" s="64"/>
      <c r="MV714" s="64"/>
      <c r="MW714" s="64"/>
      <c r="MX714" s="64"/>
      <c r="MY714" s="64"/>
      <c r="MZ714" s="64"/>
      <c r="NA714" s="64"/>
      <c r="NB714" s="64"/>
      <c r="NC714" s="64"/>
      <c r="ND714" s="64"/>
      <c r="NE714" s="64"/>
      <c r="NF714" s="64"/>
      <c r="NG714" s="64"/>
      <c r="NH714" s="64"/>
      <c r="NI714" s="64"/>
      <c r="NJ714" s="64"/>
      <c r="NK714" s="64"/>
      <c r="NL714" s="64"/>
      <c r="NM714" s="64"/>
      <c r="NN714" s="64"/>
      <c r="NO714" s="64"/>
      <c r="NP714" s="64"/>
      <c r="NQ714" s="64"/>
      <c r="NR714" s="64"/>
      <c r="NS714" s="64"/>
      <c r="NT714" s="64"/>
      <c r="NU714" s="64"/>
      <c r="NV714" s="64"/>
      <c r="NW714" s="64"/>
      <c r="NX714" s="64"/>
      <c r="NY714" s="64"/>
      <c r="NZ714" s="64"/>
      <c r="OA714" s="64"/>
      <c r="OB714" s="64"/>
      <c r="OC714" s="64"/>
      <c r="OD714" s="64"/>
      <c r="OE714" s="64"/>
      <c r="OF714" s="64"/>
      <c r="OG714" s="64"/>
      <c r="OH714" s="64"/>
      <c r="OI714" s="64"/>
      <c r="OJ714" s="64"/>
      <c r="OK714" s="64"/>
      <c r="OL714" s="64"/>
      <c r="OM714" s="64"/>
      <c r="ON714" s="64"/>
      <c r="OO714" s="64"/>
      <c r="OP714" s="64"/>
      <c r="OQ714" s="64"/>
      <c r="OR714" s="64"/>
      <c r="OS714" s="64"/>
      <c r="OT714" s="64"/>
      <c r="OU714" s="64"/>
      <c r="OV714" s="64"/>
      <c r="OW714" s="64"/>
      <c r="OX714" s="64"/>
      <c r="OY714" s="64"/>
      <c r="OZ714" s="64"/>
      <c r="PA714" s="64"/>
      <c r="PB714" s="64"/>
      <c r="PC714" s="64"/>
      <c r="PD714" s="64"/>
      <c r="PE714" s="64"/>
      <c r="PF714" s="64"/>
      <c r="PG714" s="64"/>
      <c r="PH714" s="64"/>
      <c r="PI714" s="64"/>
    </row>
    <row r="715" spans="1:425" s="85" customFormat="1">
      <c r="A715" s="70"/>
      <c r="B715" s="70"/>
      <c r="C715" s="279" t="s">
        <v>1262</v>
      </c>
      <c r="D715" s="279"/>
      <c r="E715" s="279"/>
      <c r="F715" s="279"/>
      <c r="G715" s="279"/>
      <c r="H715" s="279"/>
      <c r="I715" s="279"/>
      <c r="J715" s="279"/>
      <c r="K715" s="279"/>
      <c r="L715" s="279"/>
      <c r="M715" s="279"/>
      <c r="N715" s="9" t="s">
        <v>1263</v>
      </c>
      <c r="O715" s="114" t="e">
        <f>+O707</f>
        <v>#REF!</v>
      </c>
      <c r="P715" s="67"/>
      <c r="Q715" s="67"/>
      <c r="R715" s="67"/>
      <c r="S715" s="61" t="str">
        <f t="shared" si="134"/>
        <v>854</v>
      </c>
      <c r="T715" s="64" t="str">
        <f t="shared" si="136"/>
        <v>CONCILIACIÓN TRIBUTARIA</v>
      </c>
      <c r="U715" s="64" t="str">
        <f t="shared" si="137"/>
        <v>_</v>
      </c>
      <c r="V715" s="64" t="str">
        <f t="shared" si="129"/>
        <v xml:space="preserve">(=) Impuesto a la renta causado mayor al anticipo reducido                                                                                                                                                            </v>
      </c>
      <c r="W715" s="64" t="str">
        <f t="shared" si="130"/>
        <v/>
      </c>
      <c r="X715" s="64" t="str">
        <f t="shared" si="138"/>
        <v/>
      </c>
      <c r="Y715" s="64" t="str">
        <f t="shared" si="139"/>
        <v/>
      </c>
      <c r="Z715" s="64" t="str">
        <f t="shared" si="140"/>
        <v/>
      </c>
      <c r="AA715" s="64" t="str">
        <f t="shared" si="135"/>
        <v>(=) Impuesto a la renta causado mayor al anticipo reducido                                                                                                                                                            _</v>
      </c>
      <c r="AB715" s="64"/>
      <c r="AC715" s="64"/>
      <c r="AD715" s="64"/>
      <c r="AE715" s="64"/>
      <c r="AF715" s="64"/>
      <c r="AG715" s="64"/>
      <c r="AH715" s="64"/>
      <c r="AI715" s="64"/>
      <c r="AJ715" s="64"/>
      <c r="AK715" s="64"/>
      <c r="AL715" s="64"/>
      <c r="AM715" s="64"/>
      <c r="AN715" s="64"/>
      <c r="AO715" s="64"/>
      <c r="AP715" s="64"/>
      <c r="AQ715" s="64"/>
      <c r="AR715" s="64"/>
      <c r="AS715" s="64"/>
      <c r="AT715" s="64"/>
      <c r="AU715" s="64"/>
      <c r="AV715" s="64"/>
      <c r="AW715" s="64"/>
      <c r="AX715" s="64"/>
      <c r="AY715" s="64"/>
      <c r="AZ715" s="64"/>
      <c r="BA715" s="64"/>
      <c r="BB715" s="64"/>
      <c r="BC715" s="64"/>
      <c r="BD715" s="64"/>
      <c r="BE715" s="64"/>
      <c r="BF715" s="64"/>
      <c r="BG715" s="64"/>
      <c r="BH715" s="64"/>
      <c r="BI715" s="64"/>
      <c r="BJ715" s="64"/>
      <c r="BK715" s="64"/>
      <c r="BL715" s="64"/>
      <c r="BM715" s="64"/>
      <c r="BN715" s="64"/>
      <c r="BO715" s="64"/>
      <c r="BP715" s="64"/>
      <c r="BQ715" s="64"/>
      <c r="BR715" s="64"/>
      <c r="BS715" s="64"/>
      <c r="BT715" s="64"/>
      <c r="BU715" s="64"/>
      <c r="BV715" s="64"/>
      <c r="BW715" s="64"/>
      <c r="BX715" s="64"/>
      <c r="BY715" s="64"/>
      <c r="BZ715" s="64"/>
      <c r="CA715" s="64"/>
      <c r="CB715" s="64"/>
      <c r="CC715" s="64"/>
      <c r="CD715" s="64"/>
      <c r="CE715" s="64"/>
      <c r="CF715" s="64"/>
      <c r="CG715" s="64"/>
      <c r="CH715" s="64"/>
      <c r="CI715" s="64"/>
      <c r="CJ715" s="64"/>
      <c r="CK715" s="64"/>
      <c r="CL715" s="64"/>
      <c r="CM715" s="64"/>
      <c r="CN715" s="64"/>
      <c r="CO715" s="64"/>
      <c r="CP715" s="64"/>
      <c r="CQ715" s="64"/>
      <c r="CR715" s="64"/>
      <c r="CS715" s="64"/>
      <c r="CT715" s="64"/>
      <c r="CU715" s="64"/>
      <c r="CV715" s="64"/>
      <c r="CW715" s="64"/>
      <c r="CX715" s="64"/>
      <c r="CY715" s="64"/>
      <c r="CZ715" s="64"/>
      <c r="DA715" s="64"/>
      <c r="DB715" s="64"/>
      <c r="DC715" s="64"/>
      <c r="DD715" s="64"/>
      <c r="DE715" s="64"/>
      <c r="DF715" s="64"/>
      <c r="DG715" s="64"/>
      <c r="DH715" s="64"/>
      <c r="DI715" s="64"/>
      <c r="DJ715" s="64"/>
      <c r="DK715" s="64"/>
      <c r="DL715" s="64"/>
      <c r="DM715" s="64"/>
      <c r="DN715" s="64"/>
      <c r="DO715" s="64"/>
      <c r="DP715" s="64"/>
      <c r="DQ715" s="64"/>
      <c r="DR715" s="64"/>
      <c r="DS715" s="64"/>
      <c r="DT715" s="64"/>
      <c r="DU715" s="64"/>
      <c r="DV715" s="64"/>
      <c r="DW715" s="64"/>
      <c r="DX715" s="64"/>
      <c r="DY715" s="64"/>
      <c r="DZ715" s="64"/>
      <c r="EA715" s="64"/>
      <c r="EB715" s="64"/>
      <c r="EC715" s="64"/>
      <c r="ED715" s="64"/>
      <c r="EE715" s="64"/>
      <c r="EF715" s="64"/>
      <c r="EG715" s="64"/>
      <c r="EH715" s="64"/>
      <c r="EI715" s="64"/>
      <c r="EJ715" s="64"/>
      <c r="EK715" s="64"/>
      <c r="EL715" s="64"/>
      <c r="EM715" s="64"/>
      <c r="EN715" s="64"/>
      <c r="EO715" s="64"/>
      <c r="EP715" s="64"/>
      <c r="EQ715" s="64"/>
      <c r="ER715" s="64"/>
      <c r="ES715" s="64"/>
      <c r="ET715" s="64"/>
      <c r="EU715" s="64"/>
      <c r="EV715" s="64"/>
      <c r="EW715" s="64"/>
      <c r="EX715" s="64"/>
      <c r="EY715" s="64"/>
      <c r="EZ715" s="64"/>
      <c r="FA715" s="64"/>
      <c r="FB715" s="64"/>
      <c r="FC715" s="64"/>
      <c r="FD715" s="64"/>
      <c r="FE715" s="64"/>
      <c r="FF715" s="64"/>
      <c r="FG715" s="64"/>
      <c r="FH715" s="64"/>
      <c r="FI715" s="64"/>
      <c r="FJ715" s="64"/>
      <c r="FK715" s="64"/>
      <c r="FL715" s="64"/>
      <c r="FM715" s="64"/>
      <c r="FN715" s="64"/>
      <c r="FO715" s="64"/>
      <c r="FP715" s="64"/>
      <c r="FQ715" s="64"/>
      <c r="FR715" s="64"/>
      <c r="FS715" s="64"/>
      <c r="FT715" s="64"/>
      <c r="FU715" s="64"/>
      <c r="FV715" s="64"/>
      <c r="FW715" s="64"/>
      <c r="FX715" s="64"/>
      <c r="FY715" s="64"/>
      <c r="FZ715" s="64"/>
      <c r="GA715" s="64"/>
      <c r="GB715" s="64"/>
      <c r="GC715" s="64"/>
      <c r="GD715" s="64"/>
      <c r="GE715" s="64"/>
      <c r="GF715" s="64"/>
      <c r="GG715" s="64"/>
      <c r="GH715" s="64"/>
      <c r="GI715" s="64"/>
      <c r="GJ715" s="64"/>
      <c r="GK715" s="64"/>
      <c r="GL715" s="64"/>
      <c r="GM715" s="64"/>
      <c r="GN715" s="64"/>
      <c r="GO715" s="64"/>
      <c r="GP715" s="64"/>
      <c r="GQ715" s="64"/>
      <c r="GR715" s="64"/>
      <c r="GS715" s="64"/>
      <c r="GT715" s="64"/>
      <c r="GU715" s="64"/>
      <c r="GV715" s="64"/>
      <c r="GW715" s="64"/>
      <c r="GX715" s="64"/>
      <c r="GY715" s="64"/>
      <c r="GZ715" s="64"/>
      <c r="HA715" s="64"/>
      <c r="HB715" s="64"/>
      <c r="HC715" s="64"/>
      <c r="HD715" s="64"/>
      <c r="HE715" s="64"/>
      <c r="HF715" s="64"/>
      <c r="HG715" s="64"/>
      <c r="HH715" s="64"/>
      <c r="HI715" s="64"/>
      <c r="HJ715" s="64"/>
      <c r="HK715" s="64"/>
      <c r="HL715" s="64"/>
      <c r="HM715" s="64"/>
      <c r="HN715" s="64"/>
      <c r="HO715" s="64"/>
      <c r="HP715" s="64"/>
      <c r="HQ715" s="64"/>
      <c r="HR715" s="64"/>
      <c r="HS715" s="64"/>
      <c r="HT715" s="64"/>
      <c r="HU715" s="64"/>
      <c r="HV715" s="64"/>
      <c r="HW715" s="64"/>
      <c r="HX715" s="64"/>
      <c r="HY715" s="64"/>
      <c r="HZ715" s="64"/>
      <c r="IA715" s="64"/>
      <c r="IB715" s="64"/>
      <c r="IC715" s="64"/>
      <c r="ID715" s="64"/>
      <c r="IE715" s="64"/>
      <c r="IF715" s="64"/>
      <c r="IG715" s="64"/>
      <c r="IH715" s="64"/>
      <c r="II715" s="64"/>
      <c r="IJ715" s="64"/>
      <c r="IK715" s="64"/>
      <c r="IL715" s="64"/>
      <c r="IM715" s="64"/>
      <c r="IN715" s="64"/>
      <c r="IO715" s="64"/>
      <c r="IP715" s="64"/>
      <c r="IQ715" s="64"/>
      <c r="IR715" s="64"/>
      <c r="IS715" s="64"/>
      <c r="IT715" s="64"/>
      <c r="IU715" s="64"/>
      <c r="IV715" s="64"/>
      <c r="IW715" s="64"/>
      <c r="IX715" s="64"/>
      <c r="IY715" s="64"/>
      <c r="IZ715" s="64"/>
      <c r="JA715" s="64"/>
      <c r="JB715" s="64"/>
      <c r="JC715" s="64"/>
      <c r="JD715" s="64"/>
      <c r="JE715" s="64"/>
      <c r="JF715" s="64"/>
      <c r="JG715" s="64"/>
      <c r="JH715" s="64"/>
      <c r="JI715" s="64"/>
      <c r="JJ715" s="64"/>
      <c r="JK715" s="64"/>
      <c r="JL715" s="64"/>
      <c r="JM715" s="64"/>
      <c r="JN715" s="64"/>
      <c r="JO715" s="64"/>
      <c r="JP715" s="64"/>
      <c r="JQ715" s="64"/>
      <c r="JR715" s="64"/>
      <c r="JS715" s="64"/>
      <c r="JT715" s="64"/>
      <c r="JU715" s="64"/>
      <c r="JV715" s="64"/>
      <c r="JW715" s="64"/>
      <c r="JX715" s="64"/>
      <c r="JY715" s="64"/>
      <c r="JZ715" s="64"/>
      <c r="KA715" s="64"/>
      <c r="KB715" s="64"/>
      <c r="KC715" s="64"/>
      <c r="KD715" s="64"/>
      <c r="KE715" s="64"/>
      <c r="KF715" s="64"/>
      <c r="KG715" s="64"/>
      <c r="KH715" s="64"/>
      <c r="KI715" s="64"/>
      <c r="KJ715" s="64"/>
      <c r="KK715" s="64"/>
      <c r="KL715" s="64"/>
      <c r="KM715" s="64"/>
      <c r="KN715" s="64"/>
      <c r="KO715" s="64"/>
      <c r="KP715" s="64"/>
      <c r="KQ715" s="64"/>
      <c r="KR715" s="64"/>
      <c r="KS715" s="64"/>
      <c r="KT715" s="64"/>
      <c r="KU715" s="64"/>
      <c r="KV715" s="64"/>
      <c r="KW715" s="64"/>
      <c r="KX715" s="64"/>
      <c r="KY715" s="64"/>
      <c r="KZ715" s="64"/>
      <c r="LA715" s="64"/>
      <c r="LB715" s="64"/>
      <c r="LC715" s="64"/>
      <c r="LD715" s="64"/>
      <c r="LE715" s="64"/>
      <c r="LF715" s="64"/>
      <c r="LG715" s="64"/>
      <c r="LH715" s="64"/>
      <c r="LI715" s="64"/>
      <c r="LJ715" s="64"/>
      <c r="LK715" s="64"/>
      <c r="LL715" s="64"/>
      <c r="LM715" s="64"/>
      <c r="LN715" s="64"/>
      <c r="LO715" s="64"/>
      <c r="LP715" s="64"/>
      <c r="LQ715" s="64"/>
      <c r="LR715" s="64"/>
      <c r="LS715" s="64"/>
      <c r="LT715" s="64"/>
      <c r="LU715" s="64"/>
      <c r="LV715" s="64"/>
      <c r="LW715" s="64"/>
      <c r="LX715" s="64"/>
      <c r="LY715" s="64"/>
      <c r="LZ715" s="64"/>
      <c r="MA715" s="64"/>
      <c r="MB715" s="64"/>
      <c r="MC715" s="64"/>
      <c r="MD715" s="64"/>
      <c r="ME715" s="64"/>
      <c r="MF715" s="64"/>
      <c r="MG715" s="64"/>
      <c r="MH715" s="64"/>
      <c r="MI715" s="64"/>
      <c r="MJ715" s="64"/>
      <c r="MK715" s="64"/>
      <c r="ML715" s="64"/>
      <c r="MM715" s="64"/>
      <c r="MN715" s="64"/>
      <c r="MO715" s="64"/>
      <c r="MP715" s="64"/>
      <c r="MQ715" s="64"/>
      <c r="MR715" s="64"/>
      <c r="MS715" s="64"/>
      <c r="MT715" s="64"/>
      <c r="MU715" s="64"/>
      <c r="MV715" s="64"/>
      <c r="MW715" s="64"/>
      <c r="MX715" s="64"/>
      <c r="MY715" s="64"/>
      <c r="MZ715" s="64"/>
      <c r="NA715" s="64"/>
      <c r="NB715" s="64"/>
      <c r="NC715" s="64"/>
      <c r="ND715" s="64"/>
      <c r="NE715" s="64"/>
      <c r="NF715" s="64"/>
      <c r="NG715" s="64"/>
      <c r="NH715" s="64"/>
      <c r="NI715" s="64"/>
      <c r="NJ715" s="64"/>
      <c r="NK715" s="64"/>
      <c r="NL715" s="64"/>
      <c r="NM715" s="64"/>
      <c r="NN715" s="64"/>
      <c r="NO715" s="64"/>
      <c r="NP715" s="64"/>
      <c r="NQ715" s="64"/>
      <c r="NR715" s="64"/>
      <c r="NS715" s="64"/>
      <c r="NT715" s="64"/>
      <c r="NU715" s="64"/>
      <c r="NV715" s="64"/>
      <c r="NW715" s="64"/>
      <c r="NX715" s="64"/>
      <c r="NY715" s="64"/>
      <c r="NZ715" s="64"/>
      <c r="OA715" s="64"/>
      <c r="OB715" s="64"/>
      <c r="OC715" s="64"/>
      <c r="OD715" s="64"/>
      <c r="OE715" s="64"/>
      <c r="OF715" s="64"/>
      <c r="OG715" s="64"/>
      <c r="OH715" s="64"/>
      <c r="OI715" s="64"/>
      <c r="OJ715" s="64"/>
      <c r="OK715" s="64"/>
      <c r="OL715" s="64"/>
      <c r="OM715" s="64"/>
      <c r="ON715" s="64"/>
      <c r="OO715" s="64"/>
      <c r="OP715" s="64"/>
      <c r="OQ715" s="64"/>
      <c r="OR715" s="64"/>
      <c r="OS715" s="64"/>
      <c r="OT715" s="64"/>
      <c r="OU715" s="64"/>
      <c r="OV715" s="64"/>
      <c r="OW715" s="64"/>
      <c r="OX715" s="64"/>
      <c r="OY715" s="64"/>
      <c r="OZ715" s="64"/>
      <c r="PA715" s="64"/>
      <c r="PB715" s="64"/>
      <c r="PC715" s="64"/>
      <c r="PD715" s="64"/>
      <c r="PE715" s="64"/>
      <c r="PF715" s="64"/>
      <c r="PG715" s="64"/>
      <c r="PH715" s="64"/>
      <c r="PI715" s="64"/>
    </row>
    <row r="716" spans="1:425" s="85" customFormat="1">
      <c r="A716" s="70"/>
      <c r="B716" s="70"/>
      <c r="C716" s="279" t="s">
        <v>1264</v>
      </c>
      <c r="D716" s="279"/>
      <c r="E716" s="279"/>
      <c r="F716" s="279"/>
      <c r="G716" s="279"/>
      <c r="H716" s="279"/>
      <c r="I716" s="279"/>
      <c r="J716" s="279"/>
      <c r="K716" s="279"/>
      <c r="L716" s="279"/>
      <c r="M716" s="279"/>
      <c r="N716" s="9" t="s">
        <v>1265</v>
      </c>
      <c r="O716" s="74"/>
      <c r="P716" s="67"/>
      <c r="Q716" s="67"/>
      <c r="R716" s="67"/>
      <c r="S716" s="61" t="str">
        <f t="shared" si="134"/>
        <v>855</v>
      </c>
      <c r="T716" s="64" t="str">
        <f t="shared" si="136"/>
        <v>CONCILIACIÓN TRIBUTARIA</v>
      </c>
      <c r="U716" s="64" t="str">
        <f t="shared" si="137"/>
        <v>_</v>
      </c>
      <c r="V716" s="64" t="str">
        <f t="shared" si="129"/>
        <v>(=) Crédito tributario generado por anticipo</v>
      </c>
      <c r="W716" s="64" t="str">
        <f t="shared" si="130"/>
        <v/>
      </c>
      <c r="X716" s="64" t="str">
        <f t="shared" si="138"/>
        <v/>
      </c>
      <c r="Y716" s="64" t="str">
        <f t="shared" si="139"/>
        <v/>
      </c>
      <c r="Z716" s="64" t="str">
        <f t="shared" si="140"/>
        <v/>
      </c>
      <c r="AA716" s="64" t="str">
        <f t="shared" si="135"/>
        <v>(=) Crédito tributario generado por anticipo_</v>
      </c>
      <c r="AB716" s="64"/>
      <c r="AC716" s="64"/>
      <c r="AD716" s="64"/>
      <c r="AE716" s="64"/>
      <c r="AF716" s="64"/>
      <c r="AG716" s="64"/>
      <c r="AH716" s="64"/>
      <c r="AI716" s="64"/>
      <c r="AJ716" s="64"/>
      <c r="AK716" s="64"/>
      <c r="AL716" s="64"/>
      <c r="AM716" s="64"/>
      <c r="AN716" s="64"/>
      <c r="AO716" s="64"/>
      <c r="AP716" s="64"/>
      <c r="AQ716" s="64"/>
      <c r="AR716" s="64"/>
      <c r="AS716" s="64"/>
      <c r="AT716" s="64"/>
      <c r="AU716" s="64"/>
      <c r="AV716" s="64"/>
      <c r="AW716" s="64"/>
      <c r="AX716" s="64"/>
      <c r="AY716" s="64"/>
      <c r="AZ716" s="64"/>
      <c r="BA716" s="64"/>
      <c r="BB716" s="64"/>
      <c r="BC716" s="64"/>
      <c r="BD716" s="64"/>
      <c r="BE716" s="64"/>
      <c r="BF716" s="64"/>
      <c r="BG716" s="64"/>
      <c r="BH716" s="64"/>
      <c r="BI716" s="64"/>
      <c r="BJ716" s="64"/>
      <c r="BK716" s="64"/>
      <c r="BL716" s="64"/>
      <c r="BM716" s="64"/>
      <c r="BN716" s="64"/>
      <c r="BO716" s="64"/>
      <c r="BP716" s="64"/>
      <c r="BQ716" s="64"/>
      <c r="BR716" s="64"/>
      <c r="BS716" s="64"/>
      <c r="BT716" s="64"/>
      <c r="BU716" s="64"/>
      <c r="BV716" s="64"/>
      <c r="BW716" s="64"/>
      <c r="BX716" s="64"/>
      <c r="BY716" s="64"/>
      <c r="BZ716" s="64"/>
      <c r="CA716" s="64"/>
      <c r="CB716" s="64"/>
      <c r="CC716" s="64"/>
      <c r="CD716" s="64"/>
      <c r="CE716" s="64"/>
      <c r="CF716" s="64"/>
      <c r="CG716" s="64"/>
      <c r="CH716" s="64"/>
      <c r="CI716" s="64"/>
      <c r="CJ716" s="64"/>
      <c r="CK716" s="64"/>
      <c r="CL716" s="64"/>
      <c r="CM716" s="64"/>
      <c r="CN716" s="64"/>
      <c r="CO716" s="64"/>
      <c r="CP716" s="64"/>
      <c r="CQ716" s="64"/>
      <c r="CR716" s="64"/>
      <c r="CS716" s="64"/>
      <c r="CT716" s="64"/>
      <c r="CU716" s="64"/>
      <c r="CV716" s="64"/>
      <c r="CW716" s="64"/>
      <c r="CX716" s="64"/>
      <c r="CY716" s="64"/>
      <c r="CZ716" s="64"/>
      <c r="DA716" s="64"/>
      <c r="DB716" s="64"/>
      <c r="DC716" s="64"/>
      <c r="DD716" s="64"/>
      <c r="DE716" s="64"/>
      <c r="DF716" s="64"/>
      <c r="DG716" s="64"/>
      <c r="DH716" s="64"/>
      <c r="DI716" s="64"/>
      <c r="DJ716" s="64"/>
      <c r="DK716" s="64"/>
      <c r="DL716" s="64"/>
      <c r="DM716" s="64"/>
      <c r="DN716" s="64"/>
      <c r="DO716" s="64"/>
      <c r="DP716" s="64"/>
      <c r="DQ716" s="64"/>
      <c r="DR716" s="64"/>
      <c r="DS716" s="64"/>
      <c r="DT716" s="64"/>
      <c r="DU716" s="64"/>
      <c r="DV716" s="64"/>
      <c r="DW716" s="64"/>
      <c r="DX716" s="64"/>
      <c r="DY716" s="64"/>
      <c r="DZ716" s="64"/>
      <c r="EA716" s="64"/>
      <c r="EB716" s="64"/>
      <c r="EC716" s="64"/>
      <c r="ED716" s="64"/>
      <c r="EE716" s="64"/>
      <c r="EF716" s="64"/>
      <c r="EG716" s="64"/>
      <c r="EH716" s="64"/>
      <c r="EI716" s="64"/>
      <c r="EJ716" s="64"/>
      <c r="EK716" s="64"/>
      <c r="EL716" s="64"/>
      <c r="EM716" s="64"/>
      <c r="EN716" s="64"/>
      <c r="EO716" s="64"/>
      <c r="EP716" s="64"/>
      <c r="EQ716" s="64"/>
      <c r="ER716" s="64"/>
      <c r="ES716" s="64"/>
      <c r="ET716" s="64"/>
      <c r="EU716" s="64"/>
      <c r="EV716" s="64"/>
      <c r="EW716" s="64"/>
      <c r="EX716" s="64"/>
      <c r="EY716" s="64"/>
      <c r="EZ716" s="64"/>
      <c r="FA716" s="64"/>
      <c r="FB716" s="64"/>
      <c r="FC716" s="64"/>
      <c r="FD716" s="64"/>
      <c r="FE716" s="64"/>
      <c r="FF716" s="64"/>
      <c r="FG716" s="64"/>
      <c r="FH716" s="64"/>
      <c r="FI716" s="64"/>
      <c r="FJ716" s="64"/>
      <c r="FK716" s="64"/>
      <c r="FL716" s="64"/>
      <c r="FM716" s="64"/>
      <c r="FN716" s="64"/>
      <c r="FO716" s="64"/>
      <c r="FP716" s="64"/>
      <c r="FQ716" s="64"/>
      <c r="FR716" s="64"/>
      <c r="FS716" s="64"/>
      <c r="FT716" s="64"/>
      <c r="FU716" s="64"/>
      <c r="FV716" s="64"/>
      <c r="FW716" s="64"/>
      <c r="FX716" s="64"/>
      <c r="FY716" s="64"/>
      <c r="FZ716" s="64"/>
      <c r="GA716" s="64"/>
      <c r="GB716" s="64"/>
      <c r="GC716" s="64"/>
      <c r="GD716" s="64"/>
      <c r="GE716" s="64"/>
      <c r="GF716" s="64"/>
      <c r="GG716" s="64"/>
      <c r="GH716" s="64"/>
      <c r="GI716" s="64"/>
      <c r="GJ716" s="64"/>
      <c r="GK716" s="64"/>
      <c r="GL716" s="64"/>
      <c r="GM716" s="64"/>
      <c r="GN716" s="64"/>
      <c r="GO716" s="64"/>
      <c r="GP716" s="64"/>
      <c r="GQ716" s="64"/>
      <c r="GR716" s="64"/>
      <c r="GS716" s="64"/>
      <c r="GT716" s="64"/>
      <c r="GU716" s="64"/>
      <c r="GV716" s="64"/>
      <c r="GW716" s="64"/>
      <c r="GX716" s="64"/>
      <c r="GY716" s="64"/>
      <c r="GZ716" s="64"/>
      <c r="HA716" s="64"/>
      <c r="HB716" s="64"/>
      <c r="HC716" s="64"/>
      <c r="HD716" s="64"/>
      <c r="HE716" s="64"/>
      <c r="HF716" s="64"/>
      <c r="HG716" s="64"/>
      <c r="HH716" s="64"/>
      <c r="HI716" s="64"/>
      <c r="HJ716" s="64"/>
      <c r="HK716" s="64"/>
      <c r="HL716" s="64"/>
      <c r="HM716" s="64"/>
      <c r="HN716" s="64"/>
      <c r="HO716" s="64"/>
      <c r="HP716" s="64"/>
      <c r="HQ716" s="64"/>
      <c r="HR716" s="64"/>
      <c r="HS716" s="64"/>
      <c r="HT716" s="64"/>
      <c r="HU716" s="64"/>
      <c r="HV716" s="64"/>
      <c r="HW716" s="64"/>
      <c r="HX716" s="64"/>
      <c r="HY716" s="64"/>
      <c r="HZ716" s="64"/>
      <c r="IA716" s="64"/>
      <c r="IB716" s="64"/>
      <c r="IC716" s="64"/>
      <c r="ID716" s="64"/>
      <c r="IE716" s="64"/>
      <c r="IF716" s="64"/>
      <c r="IG716" s="64"/>
      <c r="IH716" s="64"/>
      <c r="II716" s="64"/>
      <c r="IJ716" s="64"/>
      <c r="IK716" s="64"/>
      <c r="IL716" s="64"/>
      <c r="IM716" s="64"/>
      <c r="IN716" s="64"/>
      <c r="IO716" s="64"/>
      <c r="IP716" s="64"/>
      <c r="IQ716" s="64"/>
      <c r="IR716" s="64"/>
      <c r="IS716" s="64"/>
      <c r="IT716" s="64"/>
      <c r="IU716" s="64"/>
      <c r="IV716" s="64"/>
      <c r="IW716" s="64"/>
      <c r="IX716" s="64"/>
      <c r="IY716" s="64"/>
      <c r="IZ716" s="64"/>
      <c r="JA716" s="64"/>
      <c r="JB716" s="64"/>
      <c r="JC716" s="64"/>
      <c r="JD716" s="64"/>
      <c r="JE716" s="64"/>
      <c r="JF716" s="64"/>
      <c r="JG716" s="64"/>
      <c r="JH716" s="64"/>
      <c r="JI716" s="64"/>
      <c r="JJ716" s="64"/>
      <c r="JK716" s="64"/>
      <c r="JL716" s="64"/>
      <c r="JM716" s="64"/>
      <c r="JN716" s="64"/>
      <c r="JO716" s="64"/>
      <c r="JP716" s="64"/>
      <c r="JQ716" s="64"/>
      <c r="JR716" s="64"/>
      <c r="JS716" s="64"/>
      <c r="JT716" s="64"/>
      <c r="JU716" s="64"/>
      <c r="JV716" s="64"/>
      <c r="JW716" s="64"/>
      <c r="JX716" s="64"/>
      <c r="JY716" s="64"/>
      <c r="JZ716" s="64"/>
      <c r="KA716" s="64"/>
      <c r="KB716" s="64"/>
      <c r="KC716" s="64"/>
      <c r="KD716" s="64"/>
      <c r="KE716" s="64"/>
      <c r="KF716" s="64"/>
      <c r="KG716" s="64"/>
      <c r="KH716" s="64"/>
      <c r="KI716" s="64"/>
      <c r="KJ716" s="64"/>
      <c r="KK716" s="64"/>
      <c r="KL716" s="64"/>
      <c r="KM716" s="64"/>
      <c r="KN716" s="64"/>
      <c r="KO716" s="64"/>
      <c r="KP716" s="64"/>
      <c r="KQ716" s="64"/>
      <c r="KR716" s="64"/>
      <c r="KS716" s="64"/>
      <c r="KT716" s="64"/>
      <c r="KU716" s="64"/>
      <c r="KV716" s="64"/>
      <c r="KW716" s="64"/>
      <c r="KX716" s="64"/>
      <c r="KY716" s="64"/>
      <c r="KZ716" s="64"/>
      <c r="LA716" s="64"/>
      <c r="LB716" s="64"/>
      <c r="LC716" s="64"/>
      <c r="LD716" s="64"/>
      <c r="LE716" s="64"/>
      <c r="LF716" s="64"/>
      <c r="LG716" s="64"/>
      <c r="LH716" s="64"/>
      <c r="LI716" s="64"/>
      <c r="LJ716" s="64"/>
      <c r="LK716" s="64"/>
      <c r="LL716" s="64"/>
      <c r="LM716" s="64"/>
      <c r="LN716" s="64"/>
      <c r="LO716" s="64"/>
      <c r="LP716" s="64"/>
      <c r="LQ716" s="64"/>
      <c r="LR716" s="64"/>
      <c r="LS716" s="64"/>
      <c r="LT716" s="64"/>
      <c r="LU716" s="64"/>
      <c r="LV716" s="64"/>
      <c r="LW716" s="64"/>
      <c r="LX716" s="64"/>
      <c r="LY716" s="64"/>
      <c r="LZ716" s="64"/>
      <c r="MA716" s="64"/>
      <c r="MB716" s="64"/>
      <c r="MC716" s="64"/>
      <c r="MD716" s="64"/>
      <c r="ME716" s="64"/>
      <c r="MF716" s="64"/>
      <c r="MG716" s="64"/>
      <c r="MH716" s="64"/>
      <c r="MI716" s="64"/>
      <c r="MJ716" s="64"/>
      <c r="MK716" s="64"/>
      <c r="ML716" s="64"/>
      <c r="MM716" s="64"/>
      <c r="MN716" s="64"/>
      <c r="MO716" s="64"/>
      <c r="MP716" s="64"/>
      <c r="MQ716" s="64"/>
      <c r="MR716" s="64"/>
      <c r="MS716" s="64"/>
      <c r="MT716" s="64"/>
      <c r="MU716" s="64"/>
      <c r="MV716" s="64"/>
      <c r="MW716" s="64"/>
      <c r="MX716" s="64"/>
      <c r="MY716" s="64"/>
      <c r="MZ716" s="64"/>
      <c r="NA716" s="64"/>
      <c r="NB716" s="64"/>
      <c r="NC716" s="64"/>
      <c r="ND716" s="64"/>
      <c r="NE716" s="64"/>
      <c r="NF716" s="64"/>
      <c r="NG716" s="64"/>
      <c r="NH716" s="64"/>
      <c r="NI716" s="64"/>
      <c r="NJ716" s="64"/>
      <c r="NK716" s="64"/>
      <c r="NL716" s="64"/>
      <c r="NM716" s="64"/>
      <c r="NN716" s="64"/>
      <c r="NO716" s="64"/>
      <c r="NP716" s="64"/>
      <c r="NQ716" s="64"/>
      <c r="NR716" s="64"/>
      <c r="NS716" s="64"/>
      <c r="NT716" s="64"/>
      <c r="NU716" s="64"/>
      <c r="NV716" s="64"/>
      <c r="NW716" s="64"/>
      <c r="NX716" s="64"/>
      <c r="NY716" s="64"/>
      <c r="NZ716" s="64"/>
      <c r="OA716" s="64"/>
      <c r="OB716" s="64"/>
      <c r="OC716" s="64"/>
      <c r="OD716" s="64"/>
      <c r="OE716" s="64"/>
      <c r="OF716" s="64"/>
      <c r="OG716" s="64"/>
      <c r="OH716" s="64"/>
      <c r="OI716" s="64"/>
      <c r="OJ716" s="64"/>
      <c r="OK716" s="64"/>
      <c r="OL716" s="64"/>
      <c r="OM716" s="64"/>
      <c r="ON716" s="64"/>
      <c r="OO716" s="64"/>
      <c r="OP716" s="64"/>
      <c r="OQ716" s="64"/>
      <c r="OR716" s="64"/>
      <c r="OS716" s="64"/>
      <c r="OT716" s="64"/>
      <c r="OU716" s="64"/>
      <c r="OV716" s="64"/>
      <c r="OW716" s="64"/>
      <c r="OX716" s="64"/>
      <c r="OY716" s="64"/>
      <c r="OZ716" s="64"/>
      <c r="PA716" s="64"/>
      <c r="PB716" s="64"/>
      <c r="PC716" s="64"/>
      <c r="PD716" s="64"/>
      <c r="PE716" s="64"/>
      <c r="PF716" s="64"/>
      <c r="PG716" s="64"/>
      <c r="PH716" s="64"/>
      <c r="PI716" s="64"/>
    </row>
    <row r="717" spans="1:425" s="85" customFormat="1">
      <c r="A717" s="70"/>
      <c r="B717" s="70"/>
      <c r="C717" s="266" t="s">
        <v>1266</v>
      </c>
      <c r="D717" s="266"/>
      <c r="E717" s="266"/>
      <c r="F717" s="266"/>
      <c r="G717" s="266"/>
      <c r="H717" s="266"/>
      <c r="I717" s="266"/>
      <c r="J717" s="266"/>
      <c r="K717" s="266"/>
      <c r="L717" s="266"/>
      <c r="M717" s="266"/>
      <c r="N717" s="9" t="s">
        <v>1267</v>
      </c>
      <c r="O717" s="74"/>
      <c r="P717" s="67"/>
      <c r="Q717" s="67"/>
      <c r="R717" s="67"/>
      <c r="S717" s="61" t="str">
        <f t="shared" si="134"/>
        <v>856</v>
      </c>
      <c r="T717" s="64" t="str">
        <f t="shared" si="136"/>
        <v>CONCILIACIÓN TRIBUTARIA</v>
      </c>
      <c r="U717" s="64" t="str">
        <f t="shared" si="137"/>
        <v>_</v>
      </c>
      <c r="V717" s="64" t="str">
        <f t="shared" si="129"/>
        <v>(+) Saldo del anticipo pendiente de pago</v>
      </c>
      <c r="W717" s="64" t="str">
        <f t="shared" si="130"/>
        <v/>
      </c>
      <c r="X717" s="64" t="str">
        <f t="shared" si="138"/>
        <v/>
      </c>
      <c r="Y717" s="64" t="str">
        <f t="shared" si="139"/>
        <v/>
      </c>
      <c r="Z717" s="64" t="str">
        <f t="shared" si="140"/>
        <v/>
      </c>
      <c r="AA717" s="64" t="str">
        <f t="shared" si="135"/>
        <v>(+) Saldo del anticipo pendiente de pago_</v>
      </c>
      <c r="AB717" s="64"/>
      <c r="AC717" s="64"/>
      <c r="AD717" s="64"/>
      <c r="AE717" s="64"/>
      <c r="AF717" s="64"/>
      <c r="AG717" s="64"/>
      <c r="AH717" s="64"/>
      <c r="AI717" s="64"/>
      <c r="AJ717" s="64"/>
      <c r="AK717" s="64"/>
      <c r="AL717" s="64"/>
      <c r="AM717" s="64"/>
      <c r="AN717" s="64"/>
      <c r="AO717" s="64"/>
      <c r="AP717" s="64"/>
      <c r="AQ717" s="64"/>
      <c r="AR717" s="64"/>
      <c r="AS717" s="64"/>
      <c r="AT717" s="64"/>
      <c r="AU717" s="64"/>
      <c r="AV717" s="64"/>
      <c r="AW717" s="64"/>
      <c r="AX717" s="64"/>
      <c r="AY717" s="64"/>
      <c r="AZ717" s="64"/>
      <c r="BA717" s="64"/>
      <c r="BB717" s="64"/>
      <c r="BC717" s="64"/>
      <c r="BD717" s="64"/>
      <c r="BE717" s="64"/>
      <c r="BF717" s="64"/>
      <c r="BG717" s="64"/>
      <c r="BH717" s="64"/>
      <c r="BI717" s="64"/>
      <c r="BJ717" s="64"/>
      <c r="BK717" s="64"/>
      <c r="BL717" s="64"/>
      <c r="BM717" s="64"/>
      <c r="BN717" s="64"/>
      <c r="BO717" s="64"/>
      <c r="BP717" s="64"/>
      <c r="BQ717" s="64"/>
      <c r="BR717" s="64"/>
      <c r="BS717" s="64"/>
      <c r="BT717" s="64"/>
      <c r="BU717" s="64"/>
      <c r="BV717" s="64"/>
      <c r="BW717" s="64"/>
      <c r="BX717" s="64"/>
      <c r="BY717" s="64"/>
      <c r="BZ717" s="64"/>
      <c r="CA717" s="64"/>
      <c r="CB717" s="64"/>
      <c r="CC717" s="64"/>
      <c r="CD717" s="64"/>
      <c r="CE717" s="64"/>
      <c r="CF717" s="64"/>
      <c r="CG717" s="64"/>
      <c r="CH717" s="64"/>
      <c r="CI717" s="64"/>
      <c r="CJ717" s="64"/>
      <c r="CK717" s="64"/>
      <c r="CL717" s="64"/>
      <c r="CM717" s="64"/>
      <c r="CN717" s="64"/>
      <c r="CO717" s="64"/>
      <c r="CP717" s="64"/>
      <c r="CQ717" s="64"/>
      <c r="CR717" s="64"/>
      <c r="CS717" s="64"/>
      <c r="CT717" s="64"/>
      <c r="CU717" s="64"/>
      <c r="CV717" s="64"/>
      <c r="CW717" s="64"/>
      <c r="CX717" s="64"/>
      <c r="CY717" s="64"/>
      <c r="CZ717" s="64"/>
      <c r="DA717" s="64"/>
      <c r="DB717" s="64"/>
      <c r="DC717" s="64"/>
      <c r="DD717" s="64"/>
      <c r="DE717" s="64"/>
      <c r="DF717" s="64"/>
      <c r="DG717" s="64"/>
      <c r="DH717" s="64"/>
      <c r="DI717" s="64"/>
      <c r="DJ717" s="64"/>
      <c r="DK717" s="64"/>
      <c r="DL717" s="64"/>
      <c r="DM717" s="64"/>
      <c r="DN717" s="64"/>
      <c r="DO717" s="64"/>
      <c r="DP717" s="64"/>
      <c r="DQ717" s="64"/>
      <c r="DR717" s="64"/>
      <c r="DS717" s="64"/>
      <c r="DT717" s="64"/>
      <c r="DU717" s="64"/>
      <c r="DV717" s="64"/>
      <c r="DW717" s="64"/>
      <c r="DX717" s="64"/>
      <c r="DY717" s="64"/>
      <c r="DZ717" s="64"/>
      <c r="EA717" s="64"/>
      <c r="EB717" s="64"/>
      <c r="EC717" s="64"/>
      <c r="ED717" s="64"/>
      <c r="EE717" s="64"/>
      <c r="EF717" s="64"/>
      <c r="EG717" s="64"/>
      <c r="EH717" s="64"/>
      <c r="EI717" s="64"/>
      <c r="EJ717" s="64"/>
      <c r="EK717" s="64"/>
      <c r="EL717" s="64"/>
      <c r="EM717" s="64"/>
      <c r="EN717" s="64"/>
      <c r="EO717" s="64"/>
      <c r="EP717" s="64"/>
      <c r="EQ717" s="64"/>
      <c r="ER717" s="64"/>
      <c r="ES717" s="64"/>
      <c r="ET717" s="64"/>
      <c r="EU717" s="64"/>
      <c r="EV717" s="64"/>
      <c r="EW717" s="64"/>
      <c r="EX717" s="64"/>
      <c r="EY717" s="64"/>
      <c r="EZ717" s="64"/>
      <c r="FA717" s="64"/>
      <c r="FB717" s="64"/>
      <c r="FC717" s="64"/>
      <c r="FD717" s="64"/>
      <c r="FE717" s="64"/>
      <c r="FF717" s="64"/>
      <c r="FG717" s="64"/>
      <c r="FH717" s="64"/>
      <c r="FI717" s="64"/>
      <c r="FJ717" s="64"/>
      <c r="FK717" s="64"/>
      <c r="FL717" s="64"/>
      <c r="FM717" s="64"/>
      <c r="FN717" s="64"/>
      <c r="FO717" s="64"/>
      <c r="FP717" s="64"/>
      <c r="FQ717" s="64"/>
      <c r="FR717" s="64"/>
      <c r="FS717" s="64"/>
      <c r="FT717" s="64"/>
      <c r="FU717" s="64"/>
      <c r="FV717" s="64"/>
      <c r="FW717" s="64"/>
      <c r="FX717" s="64"/>
      <c r="FY717" s="64"/>
      <c r="FZ717" s="64"/>
      <c r="GA717" s="64"/>
      <c r="GB717" s="64"/>
      <c r="GC717" s="64"/>
      <c r="GD717" s="64"/>
      <c r="GE717" s="64"/>
      <c r="GF717" s="64"/>
      <c r="GG717" s="64"/>
      <c r="GH717" s="64"/>
      <c r="GI717" s="64"/>
      <c r="GJ717" s="64"/>
      <c r="GK717" s="64"/>
      <c r="GL717" s="64"/>
      <c r="GM717" s="64"/>
      <c r="GN717" s="64"/>
      <c r="GO717" s="64"/>
      <c r="GP717" s="64"/>
      <c r="GQ717" s="64"/>
      <c r="GR717" s="64"/>
      <c r="GS717" s="64"/>
      <c r="GT717" s="64"/>
      <c r="GU717" s="64"/>
      <c r="GV717" s="64"/>
      <c r="GW717" s="64"/>
      <c r="GX717" s="64"/>
      <c r="GY717" s="64"/>
      <c r="GZ717" s="64"/>
      <c r="HA717" s="64"/>
      <c r="HB717" s="64"/>
      <c r="HC717" s="64"/>
      <c r="HD717" s="64"/>
      <c r="HE717" s="64"/>
      <c r="HF717" s="64"/>
      <c r="HG717" s="64"/>
      <c r="HH717" s="64"/>
      <c r="HI717" s="64"/>
      <c r="HJ717" s="64"/>
      <c r="HK717" s="64"/>
      <c r="HL717" s="64"/>
      <c r="HM717" s="64"/>
      <c r="HN717" s="64"/>
      <c r="HO717" s="64"/>
      <c r="HP717" s="64"/>
      <c r="HQ717" s="64"/>
      <c r="HR717" s="64"/>
      <c r="HS717" s="64"/>
      <c r="HT717" s="64"/>
      <c r="HU717" s="64"/>
      <c r="HV717" s="64"/>
      <c r="HW717" s="64"/>
      <c r="HX717" s="64"/>
      <c r="HY717" s="64"/>
      <c r="HZ717" s="64"/>
      <c r="IA717" s="64"/>
      <c r="IB717" s="64"/>
      <c r="IC717" s="64"/>
      <c r="ID717" s="64"/>
      <c r="IE717" s="64"/>
      <c r="IF717" s="64"/>
      <c r="IG717" s="64"/>
      <c r="IH717" s="64"/>
      <c r="II717" s="64"/>
      <c r="IJ717" s="64"/>
      <c r="IK717" s="64"/>
      <c r="IL717" s="64"/>
      <c r="IM717" s="64"/>
      <c r="IN717" s="64"/>
      <c r="IO717" s="64"/>
      <c r="IP717" s="64"/>
      <c r="IQ717" s="64"/>
      <c r="IR717" s="64"/>
      <c r="IS717" s="64"/>
      <c r="IT717" s="64"/>
      <c r="IU717" s="64"/>
      <c r="IV717" s="64"/>
      <c r="IW717" s="64"/>
      <c r="IX717" s="64"/>
      <c r="IY717" s="64"/>
      <c r="IZ717" s="64"/>
      <c r="JA717" s="64"/>
      <c r="JB717" s="64"/>
      <c r="JC717" s="64"/>
      <c r="JD717" s="64"/>
      <c r="JE717" s="64"/>
      <c r="JF717" s="64"/>
      <c r="JG717" s="64"/>
      <c r="JH717" s="64"/>
      <c r="JI717" s="64"/>
      <c r="JJ717" s="64"/>
      <c r="JK717" s="64"/>
      <c r="JL717" s="64"/>
      <c r="JM717" s="64"/>
      <c r="JN717" s="64"/>
      <c r="JO717" s="64"/>
      <c r="JP717" s="64"/>
      <c r="JQ717" s="64"/>
      <c r="JR717" s="64"/>
      <c r="JS717" s="64"/>
      <c r="JT717" s="64"/>
      <c r="JU717" s="64"/>
      <c r="JV717" s="64"/>
      <c r="JW717" s="64"/>
      <c r="JX717" s="64"/>
      <c r="JY717" s="64"/>
      <c r="JZ717" s="64"/>
      <c r="KA717" s="64"/>
      <c r="KB717" s="64"/>
      <c r="KC717" s="64"/>
      <c r="KD717" s="64"/>
      <c r="KE717" s="64"/>
      <c r="KF717" s="64"/>
      <c r="KG717" s="64"/>
      <c r="KH717" s="64"/>
      <c r="KI717" s="64"/>
      <c r="KJ717" s="64"/>
      <c r="KK717" s="64"/>
      <c r="KL717" s="64"/>
      <c r="KM717" s="64"/>
      <c r="KN717" s="64"/>
      <c r="KO717" s="64"/>
      <c r="KP717" s="64"/>
      <c r="KQ717" s="64"/>
      <c r="KR717" s="64"/>
      <c r="KS717" s="64"/>
      <c r="KT717" s="64"/>
      <c r="KU717" s="64"/>
      <c r="KV717" s="64"/>
      <c r="KW717" s="64"/>
      <c r="KX717" s="64"/>
      <c r="KY717" s="64"/>
      <c r="KZ717" s="64"/>
      <c r="LA717" s="64"/>
      <c r="LB717" s="64"/>
      <c r="LC717" s="64"/>
      <c r="LD717" s="64"/>
      <c r="LE717" s="64"/>
      <c r="LF717" s="64"/>
      <c r="LG717" s="64"/>
      <c r="LH717" s="64"/>
      <c r="LI717" s="64"/>
      <c r="LJ717" s="64"/>
      <c r="LK717" s="64"/>
      <c r="LL717" s="64"/>
      <c r="LM717" s="64"/>
      <c r="LN717" s="64"/>
      <c r="LO717" s="64"/>
      <c r="LP717" s="64"/>
      <c r="LQ717" s="64"/>
      <c r="LR717" s="64"/>
      <c r="LS717" s="64"/>
      <c r="LT717" s="64"/>
      <c r="LU717" s="64"/>
      <c r="LV717" s="64"/>
      <c r="LW717" s="64"/>
      <c r="LX717" s="64"/>
      <c r="LY717" s="64"/>
      <c r="LZ717" s="64"/>
      <c r="MA717" s="64"/>
      <c r="MB717" s="64"/>
      <c r="MC717" s="64"/>
      <c r="MD717" s="64"/>
      <c r="ME717" s="64"/>
      <c r="MF717" s="64"/>
      <c r="MG717" s="64"/>
      <c r="MH717" s="64"/>
      <c r="MI717" s="64"/>
      <c r="MJ717" s="64"/>
      <c r="MK717" s="64"/>
      <c r="ML717" s="64"/>
      <c r="MM717" s="64"/>
      <c r="MN717" s="64"/>
      <c r="MO717" s="64"/>
      <c r="MP717" s="64"/>
      <c r="MQ717" s="64"/>
      <c r="MR717" s="64"/>
      <c r="MS717" s="64"/>
      <c r="MT717" s="64"/>
      <c r="MU717" s="64"/>
      <c r="MV717" s="64"/>
      <c r="MW717" s="64"/>
      <c r="MX717" s="64"/>
      <c r="MY717" s="64"/>
      <c r="MZ717" s="64"/>
      <c r="NA717" s="64"/>
      <c r="NB717" s="64"/>
      <c r="NC717" s="64"/>
      <c r="ND717" s="64"/>
      <c r="NE717" s="64"/>
      <c r="NF717" s="64"/>
      <c r="NG717" s="64"/>
      <c r="NH717" s="64"/>
      <c r="NI717" s="64"/>
      <c r="NJ717" s="64"/>
      <c r="NK717" s="64"/>
      <c r="NL717" s="64"/>
      <c r="NM717" s="64"/>
      <c r="NN717" s="64"/>
      <c r="NO717" s="64"/>
      <c r="NP717" s="64"/>
      <c r="NQ717" s="64"/>
      <c r="NR717" s="64"/>
      <c r="NS717" s="64"/>
      <c r="NT717" s="64"/>
      <c r="NU717" s="64"/>
      <c r="NV717" s="64"/>
      <c r="NW717" s="64"/>
      <c r="NX717" s="64"/>
      <c r="NY717" s="64"/>
      <c r="NZ717" s="64"/>
      <c r="OA717" s="64"/>
      <c r="OB717" s="64"/>
      <c r="OC717" s="64"/>
      <c r="OD717" s="64"/>
      <c r="OE717" s="64"/>
      <c r="OF717" s="64"/>
      <c r="OG717" s="64"/>
      <c r="OH717" s="64"/>
      <c r="OI717" s="64"/>
      <c r="OJ717" s="64"/>
      <c r="OK717" s="64"/>
      <c r="OL717" s="64"/>
      <c r="OM717" s="64"/>
      <c r="ON717" s="64"/>
      <c r="OO717" s="64"/>
      <c r="OP717" s="64"/>
      <c r="OQ717" s="64"/>
      <c r="OR717" s="64"/>
      <c r="OS717" s="64"/>
      <c r="OT717" s="64"/>
      <c r="OU717" s="64"/>
      <c r="OV717" s="64"/>
      <c r="OW717" s="64"/>
      <c r="OX717" s="64"/>
      <c r="OY717" s="64"/>
      <c r="OZ717" s="64"/>
      <c r="PA717" s="64"/>
      <c r="PB717" s="64"/>
      <c r="PC717" s="64"/>
      <c r="PD717" s="64"/>
      <c r="PE717" s="64"/>
      <c r="PF717" s="64"/>
      <c r="PG717" s="64"/>
      <c r="PH717" s="64"/>
      <c r="PI717" s="64"/>
    </row>
    <row r="718" spans="1:425" s="85" customFormat="1">
      <c r="A718" s="70"/>
      <c r="B718" s="70"/>
      <c r="C718" s="266" t="s">
        <v>1268</v>
      </c>
      <c r="D718" s="266"/>
      <c r="E718" s="266"/>
      <c r="F718" s="266"/>
      <c r="G718" s="266"/>
      <c r="H718" s="266"/>
      <c r="I718" s="266"/>
      <c r="J718" s="266"/>
      <c r="K718" s="266"/>
      <c r="L718" s="266"/>
      <c r="M718" s="266"/>
      <c r="N718" s="9" t="s">
        <v>1269</v>
      </c>
      <c r="O718" s="87" t="e">
        <f>-#REF!</f>
        <v>#REF!</v>
      </c>
      <c r="P718" s="67"/>
      <c r="Q718" s="67"/>
      <c r="R718" s="67"/>
      <c r="S718" s="61" t="str">
        <f t="shared" si="134"/>
        <v>857</v>
      </c>
      <c r="T718" s="64" t="str">
        <f t="shared" si="136"/>
        <v>CONCILIACIÓN TRIBUTARIA</v>
      </c>
      <c r="U718" s="64" t="str">
        <f t="shared" si="137"/>
        <v>_</v>
      </c>
      <c r="V718" s="64" t="str">
        <f t="shared" si="129"/>
        <v>(-) Retenciones en la fuente que le realizaron en el ejercicio fiscal</v>
      </c>
      <c r="W718" s="64" t="str">
        <f t="shared" si="130"/>
        <v/>
      </c>
      <c r="X718" s="64" t="str">
        <f t="shared" si="138"/>
        <v/>
      </c>
      <c r="Y718" s="64" t="str">
        <f t="shared" si="139"/>
        <v/>
      </c>
      <c r="Z718" s="64" t="str">
        <f t="shared" si="140"/>
        <v/>
      </c>
      <c r="AA718" s="64" t="str">
        <f t="shared" si="135"/>
        <v>(-) Retenciones en la fuente que le realizaron en el ejercicio fiscal_</v>
      </c>
      <c r="AB718" s="64"/>
      <c r="AC718" s="64"/>
      <c r="AD718" s="64"/>
      <c r="AE718" s="64"/>
      <c r="AF718" s="64"/>
      <c r="AG718" s="64"/>
      <c r="AH718" s="64"/>
      <c r="AI718" s="64"/>
      <c r="AJ718" s="64"/>
      <c r="AK718" s="64"/>
      <c r="AL718" s="64"/>
      <c r="AM718" s="64"/>
      <c r="AN718" s="64"/>
      <c r="AO718" s="64"/>
      <c r="AP718" s="64"/>
      <c r="AQ718" s="64"/>
      <c r="AR718" s="64"/>
      <c r="AS718" s="64"/>
      <c r="AT718" s="64"/>
      <c r="AU718" s="64"/>
      <c r="AV718" s="64"/>
      <c r="AW718" s="64"/>
      <c r="AX718" s="64"/>
      <c r="AY718" s="64"/>
      <c r="AZ718" s="64"/>
      <c r="BA718" s="64"/>
      <c r="BB718" s="64"/>
      <c r="BC718" s="64"/>
      <c r="BD718" s="64"/>
      <c r="BE718" s="64"/>
      <c r="BF718" s="64"/>
      <c r="BG718" s="64"/>
      <c r="BH718" s="64"/>
      <c r="BI718" s="64"/>
      <c r="BJ718" s="64"/>
      <c r="BK718" s="64"/>
      <c r="BL718" s="64"/>
      <c r="BM718" s="64"/>
      <c r="BN718" s="64"/>
      <c r="BO718" s="64"/>
      <c r="BP718" s="64"/>
      <c r="BQ718" s="64"/>
      <c r="BR718" s="64"/>
      <c r="BS718" s="64"/>
      <c r="BT718" s="64"/>
      <c r="BU718" s="64"/>
      <c r="BV718" s="64"/>
      <c r="BW718" s="64"/>
      <c r="BX718" s="64"/>
      <c r="BY718" s="64"/>
      <c r="BZ718" s="64"/>
      <c r="CA718" s="64"/>
      <c r="CB718" s="64"/>
      <c r="CC718" s="64"/>
      <c r="CD718" s="64"/>
      <c r="CE718" s="64"/>
      <c r="CF718" s="64"/>
      <c r="CG718" s="64"/>
      <c r="CH718" s="64"/>
      <c r="CI718" s="64"/>
      <c r="CJ718" s="64"/>
      <c r="CK718" s="64"/>
      <c r="CL718" s="64"/>
      <c r="CM718" s="64"/>
      <c r="CN718" s="64"/>
      <c r="CO718" s="64"/>
      <c r="CP718" s="64"/>
      <c r="CQ718" s="64"/>
      <c r="CR718" s="64"/>
      <c r="CS718" s="64"/>
      <c r="CT718" s="64"/>
      <c r="CU718" s="64"/>
      <c r="CV718" s="64"/>
      <c r="CW718" s="64"/>
      <c r="CX718" s="64"/>
      <c r="CY718" s="64"/>
      <c r="CZ718" s="64"/>
      <c r="DA718" s="64"/>
      <c r="DB718" s="64"/>
      <c r="DC718" s="64"/>
      <c r="DD718" s="64"/>
      <c r="DE718" s="64"/>
      <c r="DF718" s="64"/>
      <c r="DG718" s="64"/>
      <c r="DH718" s="64"/>
      <c r="DI718" s="64"/>
      <c r="DJ718" s="64"/>
      <c r="DK718" s="64"/>
      <c r="DL718" s="64"/>
      <c r="DM718" s="64"/>
      <c r="DN718" s="64"/>
      <c r="DO718" s="64"/>
      <c r="DP718" s="64"/>
      <c r="DQ718" s="64"/>
      <c r="DR718" s="64"/>
      <c r="DS718" s="64"/>
      <c r="DT718" s="64"/>
      <c r="DU718" s="64"/>
      <c r="DV718" s="64"/>
      <c r="DW718" s="64"/>
      <c r="DX718" s="64"/>
      <c r="DY718" s="64"/>
      <c r="DZ718" s="64"/>
      <c r="EA718" s="64"/>
      <c r="EB718" s="64"/>
      <c r="EC718" s="64"/>
      <c r="ED718" s="64"/>
      <c r="EE718" s="64"/>
      <c r="EF718" s="64"/>
      <c r="EG718" s="64"/>
      <c r="EH718" s="64"/>
      <c r="EI718" s="64"/>
      <c r="EJ718" s="64"/>
      <c r="EK718" s="64"/>
      <c r="EL718" s="64"/>
      <c r="EM718" s="64"/>
      <c r="EN718" s="64"/>
      <c r="EO718" s="64"/>
      <c r="EP718" s="64"/>
      <c r="EQ718" s="64"/>
      <c r="ER718" s="64"/>
      <c r="ES718" s="64"/>
      <c r="ET718" s="64"/>
      <c r="EU718" s="64"/>
      <c r="EV718" s="64"/>
      <c r="EW718" s="64"/>
      <c r="EX718" s="64"/>
      <c r="EY718" s="64"/>
      <c r="EZ718" s="64"/>
      <c r="FA718" s="64"/>
      <c r="FB718" s="64"/>
      <c r="FC718" s="64"/>
      <c r="FD718" s="64"/>
      <c r="FE718" s="64"/>
      <c r="FF718" s="64"/>
      <c r="FG718" s="64"/>
      <c r="FH718" s="64"/>
      <c r="FI718" s="64"/>
      <c r="FJ718" s="64"/>
      <c r="FK718" s="64"/>
      <c r="FL718" s="64"/>
      <c r="FM718" s="64"/>
      <c r="FN718" s="64"/>
      <c r="FO718" s="64"/>
      <c r="FP718" s="64"/>
      <c r="FQ718" s="64"/>
      <c r="FR718" s="64"/>
      <c r="FS718" s="64"/>
      <c r="FT718" s="64"/>
      <c r="FU718" s="64"/>
      <c r="FV718" s="64"/>
      <c r="FW718" s="64"/>
      <c r="FX718" s="64"/>
      <c r="FY718" s="64"/>
      <c r="FZ718" s="64"/>
      <c r="GA718" s="64"/>
      <c r="GB718" s="64"/>
      <c r="GC718" s="64"/>
      <c r="GD718" s="64"/>
      <c r="GE718" s="64"/>
      <c r="GF718" s="64"/>
      <c r="GG718" s="64"/>
      <c r="GH718" s="64"/>
      <c r="GI718" s="64"/>
      <c r="GJ718" s="64"/>
      <c r="GK718" s="64"/>
      <c r="GL718" s="64"/>
      <c r="GM718" s="64"/>
      <c r="GN718" s="64"/>
      <c r="GO718" s="64"/>
      <c r="GP718" s="64"/>
      <c r="GQ718" s="64"/>
      <c r="GR718" s="64"/>
      <c r="GS718" s="64"/>
      <c r="GT718" s="64"/>
      <c r="GU718" s="64"/>
      <c r="GV718" s="64"/>
      <c r="GW718" s="64"/>
      <c r="GX718" s="64"/>
      <c r="GY718" s="64"/>
      <c r="GZ718" s="64"/>
      <c r="HA718" s="64"/>
      <c r="HB718" s="64"/>
      <c r="HC718" s="64"/>
      <c r="HD718" s="64"/>
      <c r="HE718" s="64"/>
      <c r="HF718" s="64"/>
      <c r="HG718" s="64"/>
      <c r="HH718" s="64"/>
      <c r="HI718" s="64"/>
      <c r="HJ718" s="64"/>
      <c r="HK718" s="64"/>
      <c r="HL718" s="64"/>
      <c r="HM718" s="64"/>
      <c r="HN718" s="64"/>
      <c r="HO718" s="64"/>
      <c r="HP718" s="64"/>
      <c r="HQ718" s="64"/>
      <c r="HR718" s="64"/>
      <c r="HS718" s="64"/>
      <c r="HT718" s="64"/>
      <c r="HU718" s="64"/>
      <c r="HV718" s="64"/>
      <c r="HW718" s="64"/>
      <c r="HX718" s="64"/>
      <c r="HY718" s="64"/>
      <c r="HZ718" s="64"/>
      <c r="IA718" s="64"/>
      <c r="IB718" s="64"/>
      <c r="IC718" s="64"/>
      <c r="ID718" s="64"/>
      <c r="IE718" s="64"/>
      <c r="IF718" s="64"/>
      <c r="IG718" s="64"/>
      <c r="IH718" s="64"/>
      <c r="II718" s="64"/>
      <c r="IJ718" s="64"/>
      <c r="IK718" s="64"/>
      <c r="IL718" s="64"/>
      <c r="IM718" s="64"/>
      <c r="IN718" s="64"/>
      <c r="IO718" s="64"/>
      <c r="IP718" s="64"/>
      <c r="IQ718" s="64"/>
      <c r="IR718" s="64"/>
      <c r="IS718" s="64"/>
      <c r="IT718" s="64"/>
      <c r="IU718" s="64"/>
      <c r="IV718" s="64"/>
      <c r="IW718" s="64"/>
      <c r="IX718" s="64"/>
      <c r="IY718" s="64"/>
      <c r="IZ718" s="64"/>
      <c r="JA718" s="64"/>
      <c r="JB718" s="64"/>
      <c r="JC718" s="64"/>
      <c r="JD718" s="64"/>
      <c r="JE718" s="64"/>
      <c r="JF718" s="64"/>
      <c r="JG718" s="64"/>
      <c r="JH718" s="64"/>
      <c r="JI718" s="64"/>
      <c r="JJ718" s="64"/>
      <c r="JK718" s="64"/>
      <c r="JL718" s="64"/>
      <c r="JM718" s="64"/>
      <c r="JN718" s="64"/>
      <c r="JO718" s="64"/>
      <c r="JP718" s="64"/>
      <c r="JQ718" s="64"/>
      <c r="JR718" s="64"/>
      <c r="JS718" s="64"/>
      <c r="JT718" s="64"/>
      <c r="JU718" s="64"/>
      <c r="JV718" s="64"/>
      <c r="JW718" s="64"/>
      <c r="JX718" s="64"/>
      <c r="JY718" s="64"/>
      <c r="JZ718" s="64"/>
      <c r="KA718" s="64"/>
      <c r="KB718" s="64"/>
      <c r="KC718" s="64"/>
      <c r="KD718" s="64"/>
      <c r="KE718" s="64"/>
      <c r="KF718" s="64"/>
      <c r="KG718" s="64"/>
      <c r="KH718" s="64"/>
      <c r="KI718" s="64"/>
      <c r="KJ718" s="64"/>
      <c r="KK718" s="64"/>
      <c r="KL718" s="64"/>
      <c r="KM718" s="64"/>
      <c r="KN718" s="64"/>
      <c r="KO718" s="64"/>
      <c r="KP718" s="64"/>
      <c r="KQ718" s="64"/>
      <c r="KR718" s="64"/>
      <c r="KS718" s="64"/>
      <c r="KT718" s="64"/>
      <c r="KU718" s="64"/>
      <c r="KV718" s="64"/>
      <c r="KW718" s="64"/>
      <c r="KX718" s="64"/>
      <c r="KY718" s="64"/>
      <c r="KZ718" s="64"/>
      <c r="LA718" s="64"/>
      <c r="LB718" s="64"/>
      <c r="LC718" s="64"/>
      <c r="LD718" s="64"/>
      <c r="LE718" s="64"/>
      <c r="LF718" s="64"/>
      <c r="LG718" s="64"/>
      <c r="LH718" s="64"/>
      <c r="LI718" s="64"/>
      <c r="LJ718" s="64"/>
      <c r="LK718" s="64"/>
      <c r="LL718" s="64"/>
      <c r="LM718" s="64"/>
      <c r="LN718" s="64"/>
      <c r="LO718" s="64"/>
      <c r="LP718" s="64"/>
      <c r="LQ718" s="64"/>
      <c r="LR718" s="64"/>
      <c r="LS718" s="64"/>
      <c r="LT718" s="64"/>
      <c r="LU718" s="64"/>
      <c r="LV718" s="64"/>
      <c r="LW718" s="64"/>
      <c r="LX718" s="64"/>
      <c r="LY718" s="64"/>
      <c r="LZ718" s="64"/>
      <c r="MA718" s="64"/>
      <c r="MB718" s="64"/>
      <c r="MC718" s="64"/>
      <c r="MD718" s="64"/>
      <c r="ME718" s="64"/>
      <c r="MF718" s="64"/>
      <c r="MG718" s="64"/>
      <c r="MH718" s="64"/>
      <c r="MI718" s="64"/>
      <c r="MJ718" s="64"/>
      <c r="MK718" s="64"/>
      <c r="ML718" s="64"/>
      <c r="MM718" s="64"/>
      <c r="MN718" s="64"/>
      <c r="MO718" s="64"/>
      <c r="MP718" s="64"/>
      <c r="MQ718" s="64"/>
      <c r="MR718" s="64"/>
      <c r="MS718" s="64"/>
      <c r="MT718" s="64"/>
      <c r="MU718" s="64"/>
      <c r="MV718" s="64"/>
      <c r="MW718" s="64"/>
      <c r="MX718" s="64"/>
      <c r="MY718" s="64"/>
      <c r="MZ718" s="64"/>
      <c r="NA718" s="64"/>
      <c r="NB718" s="64"/>
      <c r="NC718" s="64"/>
      <c r="ND718" s="64"/>
      <c r="NE718" s="64"/>
      <c r="NF718" s="64"/>
      <c r="NG718" s="64"/>
      <c r="NH718" s="64"/>
      <c r="NI718" s="64"/>
      <c r="NJ718" s="64"/>
      <c r="NK718" s="64"/>
      <c r="NL718" s="64"/>
      <c r="NM718" s="64"/>
      <c r="NN718" s="64"/>
      <c r="NO718" s="64"/>
      <c r="NP718" s="64"/>
      <c r="NQ718" s="64"/>
      <c r="NR718" s="64"/>
      <c r="NS718" s="64"/>
      <c r="NT718" s="64"/>
      <c r="NU718" s="64"/>
      <c r="NV718" s="64"/>
      <c r="NW718" s="64"/>
      <c r="NX718" s="64"/>
      <c r="NY718" s="64"/>
      <c r="NZ718" s="64"/>
      <c r="OA718" s="64"/>
      <c r="OB718" s="64"/>
      <c r="OC718" s="64"/>
      <c r="OD718" s="64"/>
      <c r="OE718" s="64"/>
      <c r="OF718" s="64"/>
      <c r="OG718" s="64"/>
      <c r="OH718" s="64"/>
      <c r="OI718" s="64"/>
      <c r="OJ718" s="64"/>
      <c r="OK718" s="64"/>
      <c r="OL718" s="64"/>
      <c r="OM718" s="64"/>
      <c r="ON718" s="64"/>
      <c r="OO718" s="64"/>
      <c r="OP718" s="64"/>
      <c r="OQ718" s="64"/>
      <c r="OR718" s="64"/>
      <c r="OS718" s="64"/>
      <c r="OT718" s="64"/>
      <c r="OU718" s="64"/>
      <c r="OV718" s="64"/>
      <c r="OW718" s="64"/>
      <c r="OX718" s="64"/>
      <c r="OY718" s="64"/>
      <c r="OZ718" s="64"/>
      <c r="PA718" s="64"/>
      <c r="PB718" s="64"/>
      <c r="PC718" s="64"/>
      <c r="PD718" s="64"/>
      <c r="PE718" s="64"/>
      <c r="PF718" s="64"/>
      <c r="PG718" s="64"/>
      <c r="PH718" s="64"/>
      <c r="PI718" s="64"/>
    </row>
    <row r="719" spans="1:425" s="85" customFormat="1">
      <c r="A719" s="70"/>
      <c r="B719" s="70"/>
      <c r="C719" s="266" t="s">
        <v>1270</v>
      </c>
      <c r="D719" s="266"/>
      <c r="E719" s="266"/>
      <c r="F719" s="266"/>
      <c r="G719" s="266"/>
      <c r="H719" s="266"/>
      <c r="I719" s="266"/>
      <c r="J719" s="266"/>
      <c r="K719" s="266"/>
      <c r="L719" s="266"/>
      <c r="M719" s="266"/>
      <c r="N719" s="9" t="s">
        <v>1271</v>
      </c>
      <c r="O719" s="74"/>
      <c r="P719" s="67"/>
      <c r="Q719" s="67"/>
      <c r="R719" s="67"/>
      <c r="S719" s="61" t="str">
        <f t="shared" si="134"/>
        <v>858</v>
      </c>
      <c r="T719" s="64" t="str">
        <f t="shared" si="136"/>
        <v>CONCILIACIÓN TRIBUTARIA</v>
      </c>
      <c r="U719" s="64" t="str">
        <f t="shared" si="137"/>
        <v>_</v>
      </c>
      <c r="V719" s="64" t="str">
        <f t="shared" si="129"/>
        <v>(-) Retenciones por dividendos anticipados</v>
      </c>
      <c r="W719" s="64" t="str">
        <f t="shared" si="130"/>
        <v/>
      </c>
      <c r="X719" s="64" t="str">
        <f t="shared" si="138"/>
        <v/>
      </c>
      <c r="Y719" s="64" t="str">
        <f t="shared" si="139"/>
        <v/>
      </c>
      <c r="Z719" s="64" t="str">
        <f t="shared" si="140"/>
        <v/>
      </c>
      <c r="AA719" s="64" t="str">
        <f t="shared" si="135"/>
        <v>(-) Retenciones por dividendos anticipados_</v>
      </c>
      <c r="AB719" s="64"/>
      <c r="AC719" s="64"/>
      <c r="AD719" s="64"/>
      <c r="AE719" s="64"/>
      <c r="AF719" s="64"/>
      <c r="AG719" s="64"/>
      <c r="AH719" s="64"/>
      <c r="AI719" s="64"/>
      <c r="AJ719" s="64"/>
      <c r="AK719" s="64"/>
      <c r="AL719" s="64"/>
      <c r="AM719" s="64"/>
      <c r="AN719" s="64"/>
      <c r="AO719" s="64"/>
      <c r="AP719" s="64"/>
      <c r="AQ719" s="64"/>
      <c r="AR719" s="64"/>
      <c r="AS719" s="64"/>
      <c r="AT719" s="64"/>
      <c r="AU719" s="64"/>
      <c r="AV719" s="64"/>
      <c r="AW719" s="64"/>
      <c r="AX719" s="64"/>
      <c r="AY719" s="64"/>
      <c r="AZ719" s="64"/>
      <c r="BA719" s="64"/>
      <c r="BB719" s="64"/>
      <c r="BC719" s="64"/>
      <c r="BD719" s="64"/>
      <c r="BE719" s="64"/>
      <c r="BF719" s="64"/>
      <c r="BG719" s="64"/>
      <c r="BH719" s="64"/>
      <c r="BI719" s="64"/>
      <c r="BJ719" s="64"/>
      <c r="BK719" s="64"/>
      <c r="BL719" s="64"/>
      <c r="BM719" s="64"/>
      <c r="BN719" s="64"/>
      <c r="BO719" s="64"/>
      <c r="BP719" s="64"/>
      <c r="BQ719" s="64"/>
      <c r="BR719" s="64"/>
      <c r="BS719" s="64"/>
      <c r="BT719" s="64"/>
      <c r="BU719" s="64"/>
      <c r="BV719" s="64"/>
      <c r="BW719" s="64"/>
      <c r="BX719" s="64"/>
      <c r="BY719" s="64"/>
      <c r="BZ719" s="64"/>
      <c r="CA719" s="64"/>
      <c r="CB719" s="64"/>
      <c r="CC719" s="64"/>
      <c r="CD719" s="64"/>
      <c r="CE719" s="64"/>
      <c r="CF719" s="64"/>
      <c r="CG719" s="64"/>
      <c r="CH719" s="64"/>
      <c r="CI719" s="64"/>
      <c r="CJ719" s="64"/>
      <c r="CK719" s="64"/>
      <c r="CL719" s="64"/>
      <c r="CM719" s="64"/>
      <c r="CN719" s="64"/>
      <c r="CO719" s="64"/>
      <c r="CP719" s="64"/>
      <c r="CQ719" s="64"/>
      <c r="CR719" s="64"/>
      <c r="CS719" s="64"/>
      <c r="CT719" s="64"/>
      <c r="CU719" s="64"/>
      <c r="CV719" s="64"/>
      <c r="CW719" s="64"/>
      <c r="CX719" s="64"/>
      <c r="CY719" s="64"/>
      <c r="CZ719" s="64"/>
      <c r="DA719" s="64"/>
      <c r="DB719" s="64"/>
      <c r="DC719" s="64"/>
      <c r="DD719" s="64"/>
      <c r="DE719" s="64"/>
      <c r="DF719" s="64"/>
      <c r="DG719" s="64"/>
      <c r="DH719" s="64"/>
      <c r="DI719" s="64"/>
      <c r="DJ719" s="64"/>
      <c r="DK719" s="64"/>
      <c r="DL719" s="64"/>
      <c r="DM719" s="64"/>
      <c r="DN719" s="64"/>
      <c r="DO719" s="64"/>
      <c r="DP719" s="64"/>
      <c r="DQ719" s="64"/>
      <c r="DR719" s="64"/>
      <c r="DS719" s="64"/>
      <c r="DT719" s="64"/>
      <c r="DU719" s="64"/>
      <c r="DV719" s="64"/>
      <c r="DW719" s="64"/>
      <c r="DX719" s="64"/>
      <c r="DY719" s="64"/>
      <c r="DZ719" s="64"/>
      <c r="EA719" s="64"/>
      <c r="EB719" s="64"/>
      <c r="EC719" s="64"/>
      <c r="ED719" s="64"/>
      <c r="EE719" s="64"/>
      <c r="EF719" s="64"/>
      <c r="EG719" s="64"/>
      <c r="EH719" s="64"/>
      <c r="EI719" s="64"/>
      <c r="EJ719" s="64"/>
      <c r="EK719" s="64"/>
      <c r="EL719" s="64"/>
      <c r="EM719" s="64"/>
      <c r="EN719" s="64"/>
      <c r="EO719" s="64"/>
      <c r="EP719" s="64"/>
      <c r="EQ719" s="64"/>
      <c r="ER719" s="64"/>
      <c r="ES719" s="64"/>
      <c r="ET719" s="64"/>
      <c r="EU719" s="64"/>
      <c r="EV719" s="64"/>
      <c r="EW719" s="64"/>
      <c r="EX719" s="64"/>
      <c r="EY719" s="64"/>
      <c r="EZ719" s="64"/>
      <c r="FA719" s="64"/>
      <c r="FB719" s="64"/>
      <c r="FC719" s="64"/>
      <c r="FD719" s="64"/>
      <c r="FE719" s="64"/>
      <c r="FF719" s="64"/>
      <c r="FG719" s="64"/>
      <c r="FH719" s="64"/>
      <c r="FI719" s="64"/>
      <c r="FJ719" s="64"/>
      <c r="FK719" s="64"/>
      <c r="FL719" s="64"/>
      <c r="FM719" s="64"/>
      <c r="FN719" s="64"/>
      <c r="FO719" s="64"/>
      <c r="FP719" s="64"/>
      <c r="FQ719" s="64"/>
      <c r="FR719" s="64"/>
      <c r="FS719" s="64"/>
      <c r="FT719" s="64"/>
      <c r="FU719" s="64"/>
      <c r="FV719" s="64"/>
      <c r="FW719" s="64"/>
      <c r="FX719" s="64"/>
      <c r="FY719" s="64"/>
      <c r="FZ719" s="64"/>
      <c r="GA719" s="64"/>
      <c r="GB719" s="64"/>
      <c r="GC719" s="64"/>
      <c r="GD719" s="64"/>
      <c r="GE719" s="64"/>
      <c r="GF719" s="64"/>
      <c r="GG719" s="64"/>
      <c r="GH719" s="64"/>
      <c r="GI719" s="64"/>
      <c r="GJ719" s="64"/>
      <c r="GK719" s="64"/>
      <c r="GL719" s="64"/>
      <c r="GM719" s="64"/>
      <c r="GN719" s="64"/>
      <c r="GO719" s="64"/>
      <c r="GP719" s="64"/>
      <c r="GQ719" s="64"/>
      <c r="GR719" s="64"/>
      <c r="GS719" s="64"/>
      <c r="GT719" s="64"/>
      <c r="GU719" s="64"/>
      <c r="GV719" s="64"/>
      <c r="GW719" s="64"/>
      <c r="GX719" s="64"/>
      <c r="GY719" s="64"/>
      <c r="GZ719" s="64"/>
      <c r="HA719" s="64"/>
      <c r="HB719" s="64"/>
      <c r="HC719" s="64"/>
      <c r="HD719" s="64"/>
      <c r="HE719" s="64"/>
      <c r="HF719" s="64"/>
      <c r="HG719" s="64"/>
      <c r="HH719" s="64"/>
      <c r="HI719" s="64"/>
      <c r="HJ719" s="64"/>
      <c r="HK719" s="64"/>
      <c r="HL719" s="64"/>
      <c r="HM719" s="64"/>
      <c r="HN719" s="64"/>
      <c r="HO719" s="64"/>
      <c r="HP719" s="64"/>
      <c r="HQ719" s="64"/>
      <c r="HR719" s="64"/>
      <c r="HS719" s="64"/>
      <c r="HT719" s="64"/>
      <c r="HU719" s="64"/>
      <c r="HV719" s="64"/>
      <c r="HW719" s="64"/>
      <c r="HX719" s="64"/>
      <c r="HY719" s="64"/>
      <c r="HZ719" s="64"/>
      <c r="IA719" s="64"/>
      <c r="IB719" s="64"/>
      <c r="IC719" s="64"/>
      <c r="ID719" s="64"/>
      <c r="IE719" s="64"/>
      <c r="IF719" s="64"/>
      <c r="IG719" s="64"/>
      <c r="IH719" s="64"/>
      <c r="II719" s="64"/>
      <c r="IJ719" s="64"/>
      <c r="IK719" s="64"/>
      <c r="IL719" s="64"/>
      <c r="IM719" s="64"/>
      <c r="IN719" s="64"/>
      <c r="IO719" s="64"/>
      <c r="IP719" s="64"/>
      <c r="IQ719" s="64"/>
      <c r="IR719" s="64"/>
      <c r="IS719" s="64"/>
      <c r="IT719" s="64"/>
      <c r="IU719" s="64"/>
      <c r="IV719" s="64"/>
      <c r="IW719" s="64"/>
      <c r="IX719" s="64"/>
      <c r="IY719" s="64"/>
      <c r="IZ719" s="64"/>
      <c r="JA719" s="64"/>
      <c r="JB719" s="64"/>
      <c r="JC719" s="64"/>
      <c r="JD719" s="64"/>
      <c r="JE719" s="64"/>
      <c r="JF719" s="64"/>
      <c r="JG719" s="64"/>
      <c r="JH719" s="64"/>
      <c r="JI719" s="64"/>
      <c r="JJ719" s="64"/>
      <c r="JK719" s="64"/>
      <c r="JL719" s="64"/>
      <c r="JM719" s="64"/>
      <c r="JN719" s="64"/>
      <c r="JO719" s="64"/>
      <c r="JP719" s="64"/>
      <c r="JQ719" s="64"/>
      <c r="JR719" s="64"/>
      <c r="JS719" s="64"/>
      <c r="JT719" s="64"/>
      <c r="JU719" s="64"/>
      <c r="JV719" s="64"/>
      <c r="JW719" s="64"/>
      <c r="JX719" s="64"/>
      <c r="JY719" s="64"/>
      <c r="JZ719" s="64"/>
      <c r="KA719" s="64"/>
      <c r="KB719" s="64"/>
      <c r="KC719" s="64"/>
      <c r="KD719" s="64"/>
      <c r="KE719" s="64"/>
      <c r="KF719" s="64"/>
      <c r="KG719" s="64"/>
      <c r="KH719" s="64"/>
      <c r="KI719" s="64"/>
      <c r="KJ719" s="64"/>
      <c r="KK719" s="64"/>
      <c r="KL719" s="64"/>
      <c r="KM719" s="64"/>
      <c r="KN719" s="64"/>
      <c r="KO719" s="64"/>
      <c r="KP719" s="64"/>
      <c r="KQ719" s="64"/>
      <c r="KR719" s="64"/>
      <c r="KS719" s="64"/>
      <c r="KT719" s="64"/>
      <c r="KU719" s="64"/>
      <c r="KV719" s="64"/>
      <c r="KW719" s="64"/>
      <c r="KX719" s="64"/>
      <c r="KY719" s="64"/>
      <c r="KZ719" s="64"/>
      <c r="LA719" s="64"/>
      <c r="LB719" s="64"/>
      <c r="LC719" s="64"/>
      <c r="LD719" s="64"/>
      <c r="LE719" s="64"/>
      <c r="LF719" s="64"/>
      <c r="LG719" s="64"/>
      <c r="LH719" s="64"/>
      <c r="LI719" s="64"/>
      <c r="LJ719" s="64"/>
      <c r="LK719" s="64"/>
      <c r="LL719" s="64"/>
      <c r="LM719" s="64"/>
      <c r="LN719" s="64"/>
      <c r="LO719" s="64"/>
      <c r="LP719" s="64"/>
      <c r="LQ719" s="64"/>
      <c r="LR719" s="64"/>
      <c r="LS719" s="64"/>
      <c r="LT719" s="64"/>
      <c r="LU719" s="64"/>
      <c r="LV719" s="64"/>
      <c r="LW719" s="64"/>
      <c r="LX719" s="64"/>
      <c r="LY719" s="64"/>
      <c r="LZ719" s="64"/>
      <c r="MA719" s="64"/>
      <c r="MB719" s="64"/>
      <c r="MC719" s="64"/>
      <c r="MD719" s="64"/>
      <c r="ME719" s="64"/>
      <c r="MF719" s="64"/>
      <c r="MG719" s="64"/>
      <c r="MH719" s="64"/>
      <c r="MI719" s="64"/>
      <c r="MJ719" s="64"/>
      <c r="MK719" s="64"/>
      <c r="ML719" s="64"/>
      <c r="MM719" s="64"/>
      <c r="MN719" s="64"/>
      <c r="MO719" s="64"/>
      <c r="MP719" s="64"/>
      <c r="MQ719" s="64"/>
      <c r="MR719" s="64"/>
      <c r="MS719" s="64"/>
      <c r="MT719" s="64"/>
      <c r="MU719" s="64"/>
      <c r="MV719" s="64"/>
      <c r="MW719" s="64"/>
      <c r="MX719" s="64"/>
      <c r="MY719" s="64"/>
      <c r="MZ719" s="64"/>
      <c r="NA719" s="64"/>
      <c r="NB719" s="64"/>
      <c r="NC719" s="64"/>
      <c r="ND719" s="64"/>
      <c r="NE719" s="64"/>
      <c r="NF719" s="64"/>
      <c r="NG719" s="64"/>
      <c r="NH719" s="64"/>
      <c r="NI719" s="64"/>
      <c r="NJ719" s="64"/>
      <c r="NK719" s="64"/>
      <c r="NL719" s="64"/>
      <c r="NM719" s="64"/>
      <c r="NN719" s="64"/>
      <c r="NO719" s="64"/>
      <c r="NP719" s="64"/>
      <c r="NQ719" s="64"/>
      <c r="NR719" s="64"/>
      <c r="NS719" s="64"/>
      <c r="NT719" s="64"/>
      <c r="NU719" s="64"/>
      <c r="NV719" s="64"/>
      <c r="NW719" s="64"/>
      <c r="NX719" s="64"/>
      <c r="NY719" s="64"/>
      <c r="NZ719" s="64"/>
      <c r="OA719" s="64"/>
      <c r="OB719" s="64"/>
      <c r="OC719" s="64"/>
      <c r="OD719" s="64"/>
      <c r="OE719" s="64"/>
      <c r="OF719" s="64"/>
      <c r="OG719" s="64"/>
      <c r="OH719" s="64"/>
      <c r="OI719" s="64"/>
      <c r="OJ719" s="64"/>
      <c r="OK719" s="64"/>
      <c r="OL719" s="64"/>
      <c r="OM719" s="64"/>
      <c r="ON719" s="64"/>
      <c r="OO719" s="64"/>
      <c r="OP719" s="64"/>
      <c r="OQ719" s="64"/>
      <c r="OR719" s="64"/>
      <c r="OS719" s="64"/>
      <c r="OT719" s="64"/>
      <c r="OU719" s="64"/>
      <c r="OV719" s="64"/>
      <c r="OW719" s="64"/>
      <c r="OX719" s="64"/>
      <c r="OY719" s="64"/>
      <c r="OZ719" s="64"/>
      <c r="PA719" s="64"/>
      <c r="PB719" s="64"/>
      <c r="PC719" s="64"/>
      <c r="PD719" s="64"/>
      <c r="PE719" s="64"/>
      <c r="PF719" s="64"/>
      <c r="PG719" s="64"/>
      <c r="PH719" s="64"/>
      <c r="PI719" s="64"/>
    </row>
    <row r="720" spans="1:425" s="85" customFormat="1">
      <c r="A720" s="70"/>
      <c r="B720" s="70"/>
      <c r="C720" s="266" t="s">
        <v>1272</v>
      </c>
      <c r="D720" s="266"/>
      <c r="E720" s="266"/>
      <c r="F720" s="266"/>
      <c r="G720" s="266"/>
      <c r="H720" s="266"/>
      <c r="I720" s="266"/>
      <c r="J720" s="266"/>
      <c r="K720" s="266"/>
      <c r="L720" s="266"/>
      <c r="M720" s="266"/>
      <c r="N720" s="9" t="s">
        <v>1273</v>
      </c>
      <c r="O720" s="74"/>
      <c r="P720" s="67"/>
      <c r="Q720" s="67"/>
      <c r="R720" s="67"/>
      <c r="S720" s="61" t="str">
        <f t="shared" si="134"/>
        <v>859</v>
      </c>
      <c r="T720" s="64" t="str">
        <f t="shared" si="136"/>
        <v>CONCILIACIÓN TRIBUTARIA</v>
      </c>
      <c r="U720" s="64" t="str">
        <f t="shared" si="137"/>
        <v>_</v>
      </c>
      <c r="V720" s="64" t="str">
        <f t="shared" si="129"/>
        <v>(-) Retenciones por ingresos provenientes del exterior con derecho a crédito tributario</v>
      </c>
      <c r="W720" s="64" t="str">
        <f t="shared" si="130"/>
        <v/>
      </c>
      <c r="X720" s="64" t="str">
        <f t="shared" si="138"/>
        <v/>
      </c>
      <c r="Y720" s="64" t="str">
        <f t="shared" si="139"/>
        <v/>
      </c>
      <c r="Z720" s="64" t="str">
        <f t="shared" si="140"/>
        <v/>
      </c>
      <c r="AA720" s="64" t="str">
        <f t="shared" si="135"/>
        <v>(-) Retenciones por ingresos provenientes del exterior con derecho a crédito tributario_</v>
      </c>
      <c r="AB720" s="64"/>
      <c r="AC720" s="64"/>
      <c r="AD720" s="64"/>
      <c r="AE720" s="64"/>
      <c r="AF720" s="64"/>
      <c r="AG720" s="64"/>
      <c r="AH720" s="64"/>
      <c r="AI720" s="64"/>
      <c r="AJ720" s="64"/>
      <c r="AK720" s="64"/>
      <c r="AL720" s="64"/>
      <c r="AM720" s="64"/>
      <c r="AN720" s="64"/>
      <c r="AO720" s="64"/>
      <c r="AP720" s="64"/>
      <c r="AQ720" s="64"/>
      <c r="AR720" s="64"/>
      <c r="AS720" s="64"/>
      <c r="AT720" s="64"/>
      <c r="AU720" s="64"/>
      <c r="AV720" s="64"/>
      <c r="AW720" s="64"/>
      <c r="AX720" s="64"/>
      <c r="AY720" s="64"/>
      <c r="AZ720" s="64"/>
      <c r="BA720" s="64"/>
      <c r="BB720" s="64"/>
      <c r="BC720" s="64"/>
      <c r="BD720" s="64"/>
      <c r="BE720" s="64"/>
      <c r="BF720" s="64"/>
      <c r="BG720" s="64"/>
      <c r="BH720" s="64"/>
      <c r="BI720" s="64"/>
      <c r="BJ720" s="64"/>
      <c r="BK720" s="64"/>
      <c r="BL720" s="64"/>
      <c r="BM720" s="64"/>
      <c r="BN720" s="64"/>
      <c r="BO720" s="64"/>
      <c r="BP720" s="64"/>
      <c r="BQ720" s="64"/>
      <c r="BR720" s="64"/>
      <c r="BS720" s="64"/>
      <c r="BT720" s="64"/>
      <c r="BU720" s="64"/>
      <c r="BV720" s="64"/>
      <c r="BW720" s="64"/>
      <c r="BX720" s="64"/>
      <c r="BY720" s="64"/>
      <c r="BZ720" s="64"/>
      <c r="CA720" s="64"/>
      <c r="CB720" s="64"/>
      <c r="CC720" s="64"/>
      <c r="CD720" s="64"/>
      <c r="CE720" s="64"/>
      <c r="CF720" s="64"/>
      <c r="CG720" s="64"/>
      <c r="CH720" s="64"/>
      <c r="CI720" s="64"/>
      <c r="CJ720" s="64"/>
      <c r="CK720" s="64"/>
      <c r="CL720" s="64"/>
      <c r="CM720" s="64"/>
      <c r="CN720" s="64"/>
      <c r="CO720" s="64"/>
      <c r="CP720" s="64"/>
      <c r="CQ720" s="64"/>
      <c r="CR720" s="64"/>
      <c r="CS720" s="64"/>
      <c r="CT720" s="64"/>
      <c r="CU720" s="64"/>
      <c r="CV720" s="64"/>
      <c r="CW720" s="64"/>
      <c r="CX720" s="64"/>
      <c r="CY720" s="64"/>
      <c r="CZ720" s="64"/>
      <c r="DA720" s="64"/>
      <c r="DB720" s="64"/>
      <c r="DC720" s="64"/>
      <c r="DD720" s="64"/>
      <c r="DE720" s="64"/>
      <c r="DF720" s="64"/>
      <c r="DG720" s="64"/>
      <c r="DH720" s="64"/>
      <c r="DI720" s="64"/>
      <c r="DJ720" s="64"/>
      <c r="DK720" s="64"/>
      <c r="DL720" s="64"/>
      <c r="DM720" s="64"/>
      <c r="DN720" s="64"/>
      <c r="DO720" s="64"/>
      <c r="DP720" s="64"/>
      <c r="DQ720" s="64"/>
      <c r="DR720" s="64"/>
      <c r="DS720" s="64"/>
      <c r="DT720" s="64"/>
      <c r="DU720" s="64"/>
      <c r="DV720" s="64"/>
      <c r="DW720" s="64"/>
      <c r="DX720" s="64"/>
      <c r="DY720" s="64"/>
      <c r="DZ720" s="64"/>
      <c r="EA720" s="64"/>
      <c r="EB720" s="64"/>
      <c r="EC720" s="64"/>
      <c r="ED720" s="64"/>
      <c r="EE720" s="64"/>
      <c r="EF720" s="64"/>
      <c r="EG720" s="64"/>
      <c r="EH720" s="64"/>
      <c r="EI720" s="64"/>
      <c r="EJ720" s="64"/>
      <c r="EK720" s="64"/>
      <c r="EL720" s="64"/>
      <c r="EM720" s="64"/>
      <c r="EN720" s="64"/>
      <c r="EO720" s="64"/>
      <c r="EP720" s="64"/>
      <c r="EQ720" s="64"/>
      <c r="ER720" s="64"/>
      <c r="ES720" s="64"/>
      <c r="ET720" s="64"/>
      <c r="EU720" s="64"/>
      <c r="EV720" s="64"/>
      <c r="EW720" s="64"/>
      <c r="EX720" s="64"/>
      <c r="EY720" s="64"/>
      <c r="EZ720" s="64"/>
      <c r="FA720" s="64"/>
      <c r="FB720" s="64"/>
      <c r="FC720" s="64"/>
      <c r="FD720" s="64"/>
      <c r="FE720" s="64"/>
      <c r="FF720" s="64"/>
      <c r="FG720" s="64"/>
      <c r="FH720" s="64"/>
      <c r="FI720" s="64"/>
      <c r="FJ720" s="64"/>
      <c r="FK720" s="64"/>
      <c r="FL720" s="64"/>
      <c r="FM720" s="64"/>
      <c r="FN720" s="64"/>
      <c r="FO720" s="64"/>
      <c r="FP720" s="64"/>
      <c r="FQ720" s="64"/>
      <c r="FR720" s="64"/>
      <c r="FS720" s="64"/>
      <c r="FT720" s="64"/>
      <c r="FU720" s="64"/>
      <c r="FV720" s="64"/>
      <c r="FW720" s="64"/>
      <c r="FX720" s="64"/>
      <c r="FY720" s="64"/>
      <c r="FZ720" s="64"/>
      <c r="GA720" s="64"/>
      <c r="GB720" s="64"/>
      <c r="GC720" s="64"/>
      <c r="GD720" s="64"/>
      <c r="GE720" s="64"/>
      <c r="GF720" s="64"/>
      <c r="GG720" s="64"/>
      <c r="GH720" s="64"/>
      <c r="GI720" s="64"/>
      <c r="GJ720" s="64"/>
      <c r="GK720" s="64"/>
      <c r="GL720" s="64"/>
      <c r="GM720" s="64"/>
      <c r="GN720" s="64"/>
      <c r="GO720" s="64"/>
      <c r="GP720" s="64"/>
      <c r="GQ720" s="64"/>
      <c r="GR720" s="64"/>
      <c r="GS720" s="64"/>
      <c r="GT720" s="64"/>
      <c r="GU720" s="64"/>
      <c r="GV720" s="64"/>
      <c r="GW720" s="64"/>
      <c r="GX720" s="64"/>
      <c r="GY720" s="64"/>
      <c r="GZ720" s="64"/>
      <c r="HA720" s="64"/>
      <c r="HB720" s="64"/>
      <c r="HC720" s="64"/>
      <c r="HD720" s="64"/>
      <c r="HE720" s="64"/>
      <c r="HF720" s="64"/>
      <c r="HG720" s="64"/>
      <c r="HH720" s="64"/>
      <c r="HI720" s="64"/>
      <c r="HJ720" s="64"/>
      <c r="HK720" s="64"/>
      <c r="HL720" s="64"/>
      <c r="HM720" s="64"/>
      <c r="HN720" s="64"/>
      <c r="HO720" s="64"/>
      <c r="HP720" s="64"/>
      <c r="HQ720" s="64"/>
      <c r="HR720" s="64"/>
      <c r="HS720" s="64"/>
      <c r="HT720" s="64"/>
      <c r="HU720" s="64"/>
      <c r="HV720" s="64"/>
      <c r="HW720" s="64"/>
      <c r="HX720" s="64"/>
      <c r="HY720" s="64"/>
      <c r="HZ720" s="64"/>
      <c r="IA720" s="64"/>
      <c r="IB720" s="64"/>
      <c r="IC720" s="64"/>
      <c r="ID720" s="64"/>
      <c r="IE720" s="64"/>
      <c r="IF720" s="64"/>
      <c r="IG720" s="64"/>
      <c r="IH720" s="64"/>
      <c r="II720" s="64"/>
      <c r="IJ720" s="64"/>
      <c r="IK720" s="64"/>
      <c r="IL720" s="64"/>
      <c r="IM720" s="64"/>
      <c r="IN720" s="64"/>
      <c r="IO720" s="64"/>
      <c r="IP720" s="64"/>
      <c r="IQ720" s="64"/>
      <c r="IR720" s="64"/>
      <c r="IS720" s="64"/>
      <c r="IT720" s="64"/>
      <c r="IU720" s="64"/>
      <c r="IV720" s="64"/>
      <c r="IW720" s="64"/>
      <c r="IX720" s="64"/>
      <c r="IY720" s="64"/>
      <c r="IZ720" s="64"/>
      <c r="JA720" s="64"/>
      <c r="JB720" s="64"/>
      <c r="JC720" s="64"/>
      <c r="JD720" s="64"/>
      <c r="JE720" s="64"/>
      <c r="JF720" s="64"/>
      <c r="JG720" s="64"/>
      <c r="JH720" s="64"/>
      <c r="JI720" s="64"/>
      <c r="JJ720" s="64"/>
      <c r="JK720" s="64"/>
      <c r="JL720" s="64"/>
      <c r="JM720" s="64"/>
      <c r="JN720" s="64"/>
      <c r="JO720" s="64"/>
      <c r="JP720" s="64"/>
      <c r="JQ720" s="64"/>
      <c r="JR720" s="64"/>
      <c r="JS720" s="64"/>
      <c r="JT720" s="64"/>
      <c r="JU720" s="64"/>
      <c r="JV720" s="64"/>
      <c r="JW720" s="64"/>
      <c r="JX720" s="64"/>
      <c r="JY720" s="64"/>
      <c r="JZ720" s="64"/>
      <c r="KA720" s="64"/>
      <c r="KB720" s="64"/>
      <c r="KC720" s="64"/>
      <c r="KD720" s="64"/>
      <c r="KE720" s="64"/>
      <c r="KF720" s="64"/>
      <c r="KG720" s="64"/>
      <c r="KH720" s="64"/>
      <c r="KI720" s="64"/>
      <c r="KJ720" s="64"/>
      <c r="KK720" s="64"/>
      <c r="KL720" s="64"/>
      <c r="KM720" s="64"/>
      <c r="KN720" s="64"/>
      <c r="KO720" s="64"/>
      <c r="KP720" s="64"/>
      <c r="KQ720" s="64"/>
      <c r="KR720" s="64"/>
      <c r="KS720" s="64"/>
      <c r="KT720" s="64"/>
      <c r="KU720" s="64"/>
      <c r="KV720" s="64"/>
      <c r="KW720" s="64"/>
      <c r="KX720" s="64"/>
      <c r="KY720" s="64"/>
      <c r="KZ720" s="64"/>
      <c r="LA720" s="64"/>
      <c r="LB720" s="64"/>
      <c r="LC720" s="64"/>
      <c r="LD720" s="64"/>
      <c r="LE720" s="64"/>
      <c r="LF720" s="64"/>
      <c r="LG720" s="64"/>
      <c r="LH720" s="64"/>
      <c r="LI720" s="64"/>
      <c r="LJ720" s="64"/>
      <c r="LK720" s="64"/>
      <c r="LL720" s="64"/>
      <c r="LM720" s="64"/>
      <c r="LN720" s="64"/>
      <c r="LO720" s="64"/>
      <c r="LP720" s="64"/>
      <c r="LQ720" s="64"/>
      <c r="LR720" s="64"/>
      <c r="LS720" s="64"/>
      <c r="LT720" s="64"/>
      <c r="LU720" s="64"/>
      <c r="LV720" s="64"/>
      <c r="LW720" s="64"/>
      <c r="LX720" s="64"/>
      <c r="LY720" s="64"/>
      <c r="LZ720" s="64"/>
      <c r="MA720" s="64"/>
      <c r="MB720" s="64"/>
      <c r="MC720" s="64"/>
      <c r="MD720" s="64"/>
      <c r="ME720" s="64"/>
      <c r="MF720" s="64"/>
      <c r="MG720" s="64"/>
      <c r="MH720" s="64"/>
      <c r="MI720" s="64"/>
      <c r="MJ720" s="64"/>
      <c r="MK720" s="64"/>
      <c r="ML720" s="64"/>
      <c r="MM720" s="64"/>
      <c r="MN720" s="64"/>
      <c r="MO720" s="64"/>
      <c r="MP720" s="64"/>
      <c r="MQ720" s="64"/>
      <c r="MR720" s="64"/>
      <c r="MS720" s="64"/>
      <c r="MT720" s="64"/>
      <c r="MU720" s="64"/>
      <c r="MV720" s="64"/>
      <c r="MW720" s="64"/>
      <c r="MX720" s="64"/>
      <c r="MY720" s="64"/>
      <c r="MZ720" s="64"/>
      <c r="NA720" s="64"/>
      <c r="NB720" s="64"/>
      <c r="NC720" s="64"/>
      <c r="ND720" s="64"/>
      <c r="NE720" s="64"/>
      <c r="NF720" s="64"/>
      <c r="NG720" s="64"/>
      <c r="NH720" s="64"/>
      <c r="NI720" s="64"/>
      <c r="NJ720" s="64"/>
      <c r="NK720" s="64"/>
      <c r="NL720" s="64"/>
      <c r="NM720" s="64"/>
      <c r="NN720" s="64"/>
      <c r="NO720" s="64"/>
      <c r="NP720" s="64"/>
      <c r="NQ720" s="64"/>
      <c r="NR720" s="64"/>
      <c r="NS720" s="64"/>
      <c r="NT720" s="64"/>
      <c r="NU720" s="64"/>
      <c r="NV720" s="64"/>
      <c r="NW720" s="64"/>
      <c r="NX720" s="64"/>
      <c r="NY720" s="64"/>
      <c r="NZ720" s="64"/>
      <c r="OA720" s="64"/>
      <c r="OB720" s="64"/>
      <c r="OC720" s="64"/>
      <c r="OD720" s="64"/>
      <c r="OE720" s="64"/>
      <c r="OF720" s="64"/>
      <c r="OG720" s="64"/>
      <c r="OH720" s="64"/>
      <c r="OI720" s="64"/>
      <c r="OJ720" s="64"/>
      <c r="OK720" s="64"/>
      <c r="OL720" s="64"/>
      <c r="OM720" s="64"/>
      <c r="ON720" s="64"/>
      <c r="OO720" s="64"/>
      <c r="OP720" s="64"/>
      <c r="OQ720" s="64"/>
      <c r="OR720" s="64"/>
      <c r="OS720" s="64"/>
      <c r="OT720" s="64"/>
      <c r="OU720" s="64"/>
      <c r="OV720" s="64"/>
      <c r="OW720" s="64"/>
      <c r="OX720" s="64"/>
      <c r="OY720" s="64"/>
      <c r="OZ720" s="64"/>
      <c r="PA720" s="64"/>
      <c r="PB720" s="64"/>
      <c r="PC720" s="64"/>
      <c r="PD720" s="64"/>
      <c r="PE720" s="64"/>
      <c r="PF720" s="64"/>
      <c r="PG720" s="64"/>
      <c r="PH720" s="64"/>
      <c r="PI720" s="64"/>
    </row>
    <row r="721" spans="1:425" s="85" customFormat="1">
      <c r="A721" s="70"/>
      <c r="B721" s="70"/>
      <c r="C721" s="266" t="s">
        <v>1274</v>
      </c>
      <c r="D721" s="266"/>
      <c r="E721" s="266"/>
      <c r="F721" s="266"/>
      <c r="G721" s="266"/>
      <c r="H721" s="266"/>
      <c r="I721" s="266"/>
      <c r="J721" s="266"/>
      <c r="K721" s="266"/>
      <c r="L721" s="266"/>
      <c r="M721" s="266"/>
      <c r="N721" s="9" t="s">
        <v>1275</v>
      </c>
      <c r="O721" s="74"/>
      <c r="P721" s="67"/>
      <c r="Q721" s="67"/>
      <c r="R721" s="67"/>
      <c r="S721" s="61" t="str">
        <f t="shared" si="134"/>
        <v>860</v>
      </c>
      <c r="T721" s="64" t="str">
        <f t="shared" si="136"/>
        <v>CONCILIACIÓN TRIBUTARIA</v>
      </c>
      <c r="U721" s="64" t="str">
        <f t="shared" si="137"/>
        <v>_</v>
      </c>
      <c r="V721" s="64" t="str">
        <f t="shared" si="129"/>
        <v>(-) Anticipo de impuesto a la renta pagado por espectáculos públicos</v>
      </c>
      <c r="W721" s="64" t="str">
        <f t="shared" si="130"/>
        <v/>
      </c>
      <c r="X721" s="64" t="str">
        <f t="shared" si="138"/>
        <v/>
      </c>
      <c r="Y721" s="64" t="str">
        <f t="shared" si="139"/>
        <v/>
      </c>
      <c r="Z721" s="64" t="str">
        <f t="shared" si="140"/>
        <v/>
      </c>
      <c r="AA721" s="64" t="str">
        <f t="shared" si="135"/>
        <v>(-) Anticipo de impuesto a la renta pagado por espectáculos públicos_</v>
      </c>
      <c r="AB721" s="64"/>
      <c r="AC721" s="64"/>
      <c r="AD721" s="64"/>
      <c r="AE721" s="64"/>
      <c r="AF721" s="64"/>
      <c r="AG721" s="64"/>
      <c r="AH721" s="64"/>
      <c r="AI721" s="64"/>
      <c r="AJ721" s="64"/>
      <c r="AK721" s="64"/>
      <c r="AL721" s="64"/>
      <c r="AM721" s="64"/>
      <c r="AN721" s="64"/>
      <c r="AO721" s="64"/>
      <c r="AP721" s="64"/>
      <c r="AQ721" s="64"/>
      <c r="AR721" s="64"/>
      <c r="AS721" s="64"/>
      <c r="AT721" s="64"/>
      <c r="AU721" s="64"/>
      <c r="AV721" s="64"/>
      <c r="AW721" s="64"/>
      <c r="AX721" s="64"/>
      <c r="AY721" s="64"/>
      <c r="AZ721" s="64"/>
      <c r="BA721" s="64"/>
      <c r="BB721" s="64"/>
      <c r="BC721" s="64"/>
      <c r="BD721" s="64"/>
      <c r="BE721" s="64"/>
      <c r="BF721" s="64"/>
      <c r="BG721" s="64"/>
      <c r="BH721" s="64"/>
      <c r="BI721" s="64"/>
      <c r="BJ721" s="64"/>
      <c r="BK721" s="64"/>
      <c r="BL721" s="64"/>
      <c r="BM721" s="64"/>
      <c r="BN721" s="64"/>
      <c r="BO721" s="64"/>
      <c r="BP721" s="64"/>
      <c r="BQ721" s="64"/>
      <c r="BR721" s="64"/>
      <c r="BS721" s="64"/>
      <c r="BT721" s="64"/>
      <c r="BU721" s="64"/>
      <c r="BV721" s="64"/>
      <c r="BW721" s="64"/>
      <c r="BX721" s="64"/>
      <c r="BY721" s="64"/>
      <c r="BZ721" s="64"/>
      <c r="CA721" s="64"/>
      <c r="CB721" s="64"/>
      <c r="CC721" s="64"/>
      <c r="CD721" s="64"/>
      <c r="CE721" s="64"/>
      <c r="CF721" s="64"/>
      <c r="CG721" s="64"/>
      <c r="CH721" s="64"/>
      <c r="CI721" s="64"/>
      <c r="CJ721" s="64"/>
      <c r="CK721" s="64"/>
      <c r="CL721" s="64"/>
      <c r="CM721" s="64"/>
      <c r="CN721" s="64"/>
      <c r="CO721" s="64"/>
      <c r="CP721" s="64"/>
      <c r="CQ721" s="64"/>
      <c r="CR721" s="64"/>
      <c r="CS721" s="64"/>
      <c r="CT721" s="64"/>
      <c r="CU721" s="64"/>
      <c r="CV721" s="64"/>
      <c r="CW721" s="64"/>
      <c r="CX721" s="64"/>
      <c r="CY721" s="64"/>
      <c r="CZ721" s="64"/>
      <c r="DA721" s="64"/>
      <c r="DB721" s="64"/>
      <c r="DC721" s="64"/>
      <c r="DD721" s="64"/>
      <c r="DE721" s="64"/>
      <c r="DF721" s="64"/>
      <c r="DG721" s="64"/>
      <c r="DH721" s="64"/>
      <c r="DI721" s="64"/>
      <c r="DJ721" s="64"/>
      <c r="DK721" s="64"/>
      <c r="DL721" s="64"/>
      <c r="DM721" s="64"/>
      <c r="DN721" s="64"/>
      <c r="DO721" s="64"/>
      <c r="DP721" s="64"/>
      <c r="DQ721" s="64"/>
      <c r="DR721" s="64"/>
      <c r="DS721" s="64"/>
      <c r="DT721" s="64"/>
      <c r="DU721" s="64"/>
      <c r="DV721" s="64"/>
      <c r="DW721" s="64"/>
      <c r="DX721" s="64"/>
      <c r="DY721" s="64"/>
      <c r="DZ721" s="64"/>
      <c r="EA721" s="64"/>
      <c r="EB721" s="64"/>
      <c r="EC721" s="64"/>
      <c r="ED721" s="64"/>
      <c r="EE721" s="64"/>
      <c r="EF721" s="64"/>
      <c r="EG721" s="64"/>
      <c r="EH721" s="64"/>
      <c r="EI721" s="64"/>
      <c r="EJ721" s="64"/>
      <c r="EK721" s="64"/>
      <c r="EL721" s="64"/>
      <c r="EM721" s="64"/>
      <c r="EN721" s="64"/>
      <c r="EO721" s="64"/>
      <c r="EP721" s="64"/>
      <c r="EQ721" s="64"/>
      <c r="ER721" s="64"/>
      <c r="ES721" s="64"/>
      <c r="ET721" s="64"/>
      <c r="EU721" s="64"/>
      <c r="EV721" s="64"/>
      <c r="EW721" s="64"/>
      <c r="EX721" s="64"/>
      <c r="EY721" s="64"/>
      <c r="EZ721" s="64"/>
      <c r="FA721" s="64"/>
      <c r="FB721" s="64"/>
      <c r="FC721" s="64"/>
      <c r="FD721" s="64"/>
      <c r="FE721" s="64"/>
      <c r="FF721" s="64"/>
      <c r="FG721" s="64"/>
      <c r="FH721" s="64"/>
      <c r="FI721" s="64"/>
      <c r="FJ721" s="64"/>
      <c r="FK721" s="64"/>
      <c r="FL721" s="64"/>
      <c r="FM721" s="64"/>
      <c r="FN721" s="64"/>
      <c r="FO721" s="64"/>
      <c r="FP721" s="64"/>
      <c r="FQ721" s="64"/>
      <c r="FR721" s="64"/>
      <c r="FS721" s="64"/>
      <c r="FT721" s="64"/>
      <c r="FU721" s="64"/>
      <c r="FV721" s="64"/>
      <c r="FW721" s="64"/>
      <c r="FX721" s="64"/>
      <c r="FY721" s="64"/>
      <c r="FZ721" s="64"/>
      <c r="GA721" s="64"/>
      <c r="GB721" s="64"/>
      <c r="GC721" s="64"/>
      <c r="GD721" s="64"/>
      <c r="GE721" s="64"/>
      <c r="GF721" s="64"/>
      <c r="GG721" s="64"/>
      <c r="GH721" s="64"/>
      <c r="GI721" s="64"/>
      <c r="GJ721" s="64"/>
      <c r="GK721" s="64"/>
      <c r="GL721" s="64"/>
      <c r="GM721" s="64"/>
      <c r="GN721" s="64"/>
      <c r="GO721" s="64"/>
      <c r="GP721" s="64"/>
      <c r="GQ721" s="64"/>
      <c r="GR721" s="64"/>
      <c r="GS721" s="64"/>
      <c r="GT721" s="64"/>
      <c r="GU721" s="64"/>
      <c r="GV721" s="64"/>
      <c r="GW721" s="64"/>
      <c r="GX721" s="64"/>
      <c r="GY721" s="64"/>
      <c r="GZ721" s="64"/>
      <c r="HA721" s="64"/>
      <c r="HB721" s="64"/>
      <c r="HC721" s="64"/>
      <c r="HD721" s="64"/>
      <c r="HE721" s="64"/>
      <c r="HF721" s="64"/>
      <c r="HG721" s="64"/>
      <c r="HH721" s="64"/>
      <c r="HI721" s="64"/>
      <c r="HJ721" s="64"/>
      <c r="HK721" s="64"/>
      <c r="HL721" s="64"/>
      <c r="HM721" s="64"/>
      <c r="HN721" s="64"/>
      <c r="HO721" s="64"/>
      <c r="HP721" s="64"/>
      <c r="HQ721" s="64"/>
      <c r="HR721" s="64"/>
      <c r="HS721" s="64"/>
      <c r="HT721" s="64"/>
      <c r="HU721" s="64"/>
      <c r="HV721" s="64"/>
      <c r="HW721" s="64"/>
      <c r="HX721" s="64"/>
      <c r="HY721" s="64"/>
      <c r="HZ721" s="64"/>
      <c r="IA721" s="64"/>
      <c r="IB721" s="64"/>
      <c r="IC721" s="64"/>
      <c r="ID721" s="64"/>
      <c r="IE721" s="64"/>
      <c r="IF721" s="64"/>
      <c r="IG721" s="64"/>
      <c r="IH721" s="64"/>
      <c r="II721" s="64"/>
      <c r="IJ721" s="64"/>
      <c r="IK721" s="64"/>
      <c r="IL721" s="64"/>
      <c r="IM721" s="64"/>
      <c r="IN721" s="64"/>
      <c r="IO721" s="64"/>
      <c r="IP721" s="64"/>
      <c r="IQ721" s="64"/>
      <c r="IR721" s="64"/>
      <c r="IS721" s="64"/>
      <c r="IT721" s="64"/>
      <c r="IU721" s="64"/>
      <c r="IV721" s="64"/>
      <c r="IW721" s="64"/>
      <c r="IX721" s="64"/>
      <c r="IY721" s="64"/>
      <c r="IZ721" s="64"/>
      <c r="JA721" s="64"/>
      <c r="JB721" s="64"/>
      <c r="JC721" s="64"/>
      <c r="JD721" s="64"/>
      <c r="JE721" s="64"/>
      <c r="JF721" s="64"/>
      <c r="JG721" s="64"/>
      <c r="JH721" s="64"/>
      <c r="JI721" s="64"/>
      <c r="JJ721" s="64"/>
      <c r="JK721" s="64"/>
      <c r="JL721" s="64"/>
      <c r="JM721" s="64"/>
      <c r="JN721" s="64"/>
      <c r="JO721" s="64"/>
      <c r="JP721" s="64"/>
      <c r="JQ721" s="64"/>
      <c r="JR721" s="64"/>
      <c r="JS721" s="64"/>
      <c r="JT721" s="64"/>
      <c r="JU721" s="64"/>
      <c r="JV721" s="64"/>
      <c r="JW721" s="64"/>
      <c r="JX721" s="64"/>
      <c r="JY721" s="64"/>
      <c r="JZ721" s="64"/>
      <c r="KA721" s="64"/>
      <c r="KB721" s="64"/>
      <c r="KC721" s="64"/>
      <c r="KD721" s="64"/>
      <c r="KE721" s="64"/>
      <c r="KF721" s="64"/>
      <c r="KG721" s="64"/>
      <c r="KH721" s="64"/>
      <c r="KI721" s="64"/>
      <c r="KJ721" s="64"/>
      <c r="KK721" s="64"/>
      <c r="KL721" s="64"/>
      <c r="KM721" s="64"/>
      <c r="KN721" s="64"/>
      <c r="KO721" s="64"/>
      <c r="KP721" s="64"/>
      <c r="KQ721" s="64"/>
      <c r="KR721" s="64"/>
      <c r="KS721" s="64"/>
      <c r="KT721" s="64"/>
      <c r="KU721" s="64"/>
      <c r="KV721" s="64"/>
      <c r="KW721" s="64"/>
      <c r="KX721" s="64"/>
      <c r="KY721" s="64"/>
      <c r="KZ721" s="64"/>
      <c r="LA721" s="64"/>
      <c r="LB721" s="64"/>
      <c r="LC721" s="64"/>
      <c r="LD721" s="64"/>
      <c r="LE721" s="64"/>
      <c r="LF721" s="64"/>
      <c r="LG721" s="64"/>
      <c r="LH721" s="64"/>
      <c r="LI721" s="64"/>
      <c r="LJ721" s="64"/>
      <c r="LK721" s="64"/>
      <c r="LL721" s="64"/>
      <c r="LM721" s="64"/>
      <c r="LN721" s="64"/>
      <c r="LO721" s="64"/>
      <c r="LP721" s="64"/>
      <c r="LQ721" s="64"/>
      <c r="LR721" s="64"/>
      <c r="LS721" s="64"/>
      <c r="LT721" s="64"/>
      <c r="LU721" s="64"/>
      <c r="LV721" s="64"/>
      <c r="LW721" s="64"/>
      <c r="LX721" s="64"/>
      <c r="LY721" s="64"/>
      <c r="LZ721" s="64"/>
      <c r="MA721" s="64"/>
      <c r="MB721" s="64"/>
      <c r="MC721" s="64"/>
      <c r="MD721" s="64"/>
      <c r="ME721" s="64"/>
      <c r="MF721" s="64"/>
      <c r="MG721" s="64"/>
      <c r="MH721" s="64"/>
      <c r="MI721" s="64"/>
      <c r="MJ721" s="64"/>
      <c r="MK721" s="64"/>
      <c r="ML721" s="64"/>
      <c r="MM721" s="64"/>
      <c r="MN721" s="64"/>
      <c r="MO721" s="64"/>
      <c r="MP721" s="64"/>
      <c r="MQ721" s="64"/>
      <c r="MR721" s="64"/>
      <c r="MS721" s="64"/>
      <c r="MT721" s="64"/>
      <c r="MU721" s="64"/>
      <c r="MV721" s="64"/>
      <c r="MW721" s="64"/>
      <c r="MX721" s="64"/>
      <c r="MY721" s="64"/>
      <c r="MZ721" s="64"/>
      <c r="NA721" s="64"/>
      <c r="NB721" s="64"/>
      <c r="NC721" s="64"/>
      <c r="ND721" s="64"/>
      <c r="NE721" s="64"/>
      <c r="NF721" s="64"/>
      <c r="NG721" s="64"/>
      <c r="NH721" s="64"/>
      <c r="NI721" s="64"/>
      <c r="NJ721" s="64"/>
      <c r="NK721" s="64"/>
      <c r="NL721" s="64"/>
      <c r="NM721" s="64"/>
      <c r="NN721" s="64"/>
      <c r="NO721" s="64"/>
      <c r="NP721" s="64"/>
      <c r="NQ721" s="64"/>
      <c r="NR721" s="64"/>
      <c r="NS721" s="64"/>
      <c r="NT721" s="64"/>
      <c r="NU721" s="64"/>
      <c r="NV721" s="64"/>
      <c r="NW721" s="64"/>
      <c r="NX721" s="64"/>
      <c r="NY721" s="64"/>
      <c r="NZ721" s="64"/>
      <c r="OA721" s="64"/>
      <c r="OB721" s="64"/>
      <c r="OC721" s="64"/>
      <c r="OD721" s="64"/>
      <c r="OE721" s="64"/>
      <c r="OF721" s="64"/>
      <c r="OG721" s="64"/>
      <c r="OH721" s="64"/>
      <c r="OI721" s="64"/>
      <c r="OJ721" s="64"/>
      <c r="OK721" s="64"/>
      <c r="OL721" s="64"/>
      <c r="OM721" s="64"/>
      <c r="ON721" s="64"/>
      <c r="OO721" s="64"/>
      <c r="OP721" s="64"/>
      <c r="OQ721" s="64"/>
      <c r="OR721" s="64"/>
      <c r="OS721" s="64"/>
      <c r="OT721" s="64"/>
      <c r="OU721" s="64"/>
      <c r="OV721" s="64"/>
      <c r="OW721" s="64"/>
      <c r="OX721" s="64"/>
      <c r="OY721" s="64"/>
      <c r="OZ721" s="64"/>
      <c r="PA721" s="64"/>
      <c r="PB721" s="64"/>
      <c r="PC721" s="64"/>
      <c r="PD721" s="64"/>
      <c r="PE721" s="64"/>
      <c r="PF721" s="64"/>
      <c r="PG721" s="64"/>
      <c r="PH721" s="64"/>
      <c r="PI721" s="64"/>
    </row>
    <row r="722" spans="1:425" s="85" customFormat="1">
      <c r="A722" s="70"/>
      <c r="B722" s="70"/>
      <c r="C722" s="266" t="s">
        <v>1276</v>
      </c>
      <c r="D722" s="266"/>
      <c r="E722" s="266"/>
      <c r="F722" s="266"/>
      <c r="G722" s="266"/>
      <c r="H722" s="266"/>
      <c r="I722" s="266"/>
      <c r="J722" s="266"/>
      <c r="K722" s="266"/>
      <c r="L722" s="266"/>
      <c r="M722" s="266"/>
      <c r="N722" s="9" t="s">
        <v>1277</v>
      </c>
      <c r="O722" s="87" t="e">
        <f>-#REF!</f>
        <v>#REF!</v>
      </c>
      <c r="P722" s="67"/>
      <c r="Q722" s="67"/>
      <c r="R722" s="67"/>
      <c r="S722" s="61" t="str">
        <f t="shared" si="134"/>
        <v>861</v>
      </c>
      <c r="T722" s="64" t="str">
        <f t="shared" si="136"/>
        <v>CONCILIACIÓN TRIBUTARIA</v>
      </c>
      <c r="U722" s="64" t="str">
        <f t="shared" si="137"/>
        <v>_</v>
      </c>
      <c r="V722" s="64" t="str">
        <f t="shared" si="129"/>
        <v>(-) Crédito tributario de años anteriores</v>
      </c>
      <c r="W722" s="64" t="str">
        <f t="shared" si="130"/>
        <v/>
      </c>
      <c r="X722" s="64" t="str">
        <f t="shared" si="138"/>
        <v/>
      </c>
      <c r="Y722" s="64" t="str">
        <f t="shared" si="139"/>
        <v/>
      </c>
      <c r="Z722" s="64" t="str">
        <f t="shared" si="140"/>
        <v/>
      </c>
      <c r="AA722" s="64" t="str">
        <f t="shared" si="135"/>
        <v>(-) Crédito tributario de años anteriores_</v>
      </c>
      <c r="AB722" s="64"/>
      <c r="AC722" s="64"/>
      <c r="AD722" s="64"/>
      <c r="AE722" s="64"/>
      <c r="AF722" s="64"/>
      <c r="AG722" s="64"/>
      <c r="AH722" s="64"/>
      <c r="AI722" s="64"/>
      <c r="AJ722" s="64"/>
      <c r="AK722" s="64"/>
      <c r="AL722" s="64"/>
      <c r="AM722" s="64"/>
      <c r="AN722" s="64"/>
      <c r="AO722" s="64"/>
      <c r="AP722" s="64"/>
      <c r="AQ722" s="64"/>
      <c r="AR722" s="64"/>
      <c r="AS722" s="64"/>
      <c r="AT722" s="64"/>
      <c r="AU722" s="64"/>
      <c r="AV722" s="64"/>
      <c r="AW722" s="64"/>
      <c r="AX722" s="64"/>
      <c r="AY722" s="64"/>
      <c r="AZ722" s="64"/>
      <c r="BA722" s="64"/>
      <c r="BB722" s="64"/>
      <c r="BC722" s="64"/>
      <c r="BD722" s="64"/>
      <c r="BE722" s="64"/>
      <c r="BF722" s="64"/>
      <c r="BG722" s="64"/>
      <c r="BH722" s="64"/>
      <c r="BI722" s="64"/>
      <c r="BJ722" s="64"/>
      <c r="BK722" s="64"/>
      <c r="BL722" s="64"/>
      <c r="BM722" s="64"/>
      <c r="BN722" s="64"/>
      <c r="BO722" s="64"/>
      <c r="BP722" s="64"/>
      <c r="BQ722" s="64"/>
      <c r="BR722" s="64"/>
      <c r="BS722" s="64"/>
      <c r="BT722" s="64"/>
      <c r="BU722" s="64"/>
      <c r="BV722" s="64"/>
      <c r="BW722" s="64"/>
      <c r="BX722" s="64"/>
      <c r="BY722" s="64"/>
      <c r="BZ722" s="64"/>
      <c r="CA722" s="64"/>
      <c r="CB722" s="64"/>
      <c r="CC722" s="64"/>
      <c r="CD722" s="64"/>
      <c r="CE722" s="64"/>
      <c r="CF722" s="64"/>
      <c r="CG722" s="64"/>
      <c r="CH722" s="64"/>
      <c r="CI722" s="64"/>
      <c r="CJ722" s="64"/>
      <c r="CK722" s="64"/>
      <c r="CL722" s="64"/>
      <c r="CM722" s="64"/>
      <c r="CN722" s="64"/>
      <c r="CO722" s="64"/>
      <c r="CP722" s="64"/>
      <c r="CQ722" s="64"/>
      <c r="CR722" s="64"/>
      <c r="CS722" s="64"/>
      <c r="CT722" s="64"/>
      <c r="CU722" s="64"/>
      <c r="CV722" s="64"/>
      <c r="CW722" s="64"/>
      <c r="CX722" s="64"/>
      <c r="CY722" s="64"/>
      <c r="CZ722" s="64"/>
      <c r="DA722" s="64"/>
      <c r="DB722" s="64"/>
      <c r="DC722" s="64"/>
      <c r="DD722" s="64"/>
      <c r="DE722" s="64"/>
      <c r="DF722" s="64"/>
      <c r="DG722" s="64"/>
      <c r="DH722" s="64"/>
      <c r="DI722" s="64"/>
      <c r="DJ722" s="64"/>
      <c r="DK722" s="64"/>
      <c r="DL722" s="64"/>
      <c r="DM722" s="64"/>
      <c r="DN722" s="64"/>
      <c r="DO722" s="64"/>
      <c r="DP722" s="64"/>
      <c r="DQ722" s="64"/>
      <c r="DR722" s="64"/>
      <c r="DS722" s="64"/>
      <c r="DT722" s="64"/>
      <c r="DU722" s="64"/>
      <c r="DV722" s="64"/>
      <c r="DW722" s="64"/>
      <c r="DX722" s="64"/>
      <c r="DY722" s="64"/>
      <c r="DZ722" s="64"/>
      <c r="EA722" s="64"/>
      <c r="EB722" s="64"/>
      <c r="EC722" s="64"/>
      <c r="ED722" s="64"/>
      <c r="EE722" s="64"/>
      <c r="EF722" s="64"/>
      <c r="EG722" s="64"/>
      <c r="EH722" s="64"/>
      <c r="EI722" s="64"/>
      <c r="EJ722" s="64"/>
      <c r="EK722" s="64"/>
      <c r="EL722" s="64"/>
      <c r="EM722" s="64"/>
      <c r="EN722" s="64"/>
      <c r="EO722" s="64"/>
      <c r="EP722" s="64"/>
      <c r="EQ722" s="64"/>
      <c r="ER722" s="64"/>
      <c r="ES722" s="64"/>
      <c r="ET722" s="64"/>
      <c r="EU722" s="64"/>
      <c r="EV722" s="64"/>
      <c r="EW722" s="64"/>
      <c r="EX722" s="64"/>
      <c r="EY722" s="64"/>
      <c r="EZ722" s="64"/>
      <c r="FA722" s="64"/>
      <c r="FB722" s="64"/>
      <c r="FC722" s="64"/>
      <c r="FD722" s="64"/>
      <c r="FE722" s="64"/>
      <c r="FF722" s="64"/>
      <c r="FG722" s="64"/>
      <c r="FH722" s="64"/>
      <c r="FI722" s="64"/>
      <c r="FJ722" s="64"/>
      <c r="FK722" s="64"/>
      <c r="FL722" s="64"/>
      <c r="FM722" s="64"/>
      <c r="FN722" s="64"/>
      <c r="FO722" s="64"/>
      <c r="FP722" s="64"/>
      <c r="FQ722" s="64"/>
      <c r="FR722" s="64"/>
      <c r="FS722" s="64"/>
      <c r="FT722" s="64"/>
      <c r="FU722" s="64"/>
      <c r="FV722" s="64"/>
      <c r="FW722" s="64"/>
      <c r="FX722" s="64"/>
      <c r="FY722" s="64"/>
      <c r="FZ722" s="64"/>
      <c r="GA722" s="64"/>
      <c r="GB722" s="64"/>
      <c r="GC722" s="64"/>
      <c r="GD722" s="64"/>
      <c r="GE722" s="64"/>
      <c r="GF722" s="64"/>
      <c r="GG722" s="64"/>
      <c r="GH722" s="64"/>
      <c r="GI722" s="64"/>
      <c r="GJ722" s="64"/>
      <c r="GK722" s="64"/>
      <c r="GL722" s="64"/>
      <c r="GM722" s="64"/>
      <c r="GN722" s="64"/>
      <c r="GO722" s="64"/>
      <c r="GP722" s="64"/>
      <c r="GQ722" s="64"/>
      <c r="GR722" s="64"/>
      <c r="GS722" s="64"/>
      <c r="GT722" s="64"/>
      <c r="GU722" s="64"/>
      <c r="GV722" s="64"/>
      <c r="GW722" s="64"/>
      <c r="GX722" s="64"/>
      <c r="GY722" s="64"/>
      <c r="GZ722" s="64"/>
      <c r="HA722" s="64"/>
      <c r="HB722" s="64"/>
      <c r="HC722" s="64"/>
      <c r="HD722" s="64"/>
      <c r="HE722" s="64"/>
      <c r="HF722" s="64"/>
      <c r="HG722" s="64"/>
      <c r="HH722" s="64"/>
      <c r="HI722" s="64"/>
      <c r="HJ722" s="64"/>
      <c r="HK722" s="64"/>
      <c r="HL722" s="64"/>
      <c r="HM722" s="64"/>
      <c r="HN722" s="64"/>
      <c r="HO722" s="64"/>
      <c r="HP722" s="64"/>
      <c r="HQ722" s="64"/>
      <c r="HR722" s="64"/>
      <c r="HS722" s="64"/>
      <c r="HT722" s="64"/>
      <c r="HU722" s="64"/>
      <c r="HV722" s="64"/>
      <c r="HW722" s="64"/>
      <c r="HX722" s="64"/>
      <c r="HY722" s="64"/>
      <c r="HZ722" s="64"/>
      <c r="IA722" s="64"/>
      <c r="IB722" s="64"/>
      <c r="IC722" s="64"/>
      <c r="ID722" s="64"/>
      <c r="IE722" s="64"/>
      <c r="IF722" s="64"/>
      <c r="IG722" s="64"/>
      <c r="IH722" s="64"/>
      <c r="II722" s="64"/>
      <c r="IJ722" s="64"/>
      <c r="IK722" s="64"/>
      <c r="IL722" s="64"/>
      <c r="IM722" s="64"/>
      <c r="IN722" s="64"/>
      <c r="IO722" s="64"/>
      <c r="IP722" s="64"/>
      <c r="IQ722" s="64"/>
      <c r="IR722" s="64"/>
      <c r="IS722" s="64"/>
      <c r="IT722" s="64"/>
      <c r="IU722" s="64"/>
      <c r="IV722" s="64"/>
      <c r="IW722" s="64"/>
      <c r="IX722" s="64"/>
      <c r="IY722" s="64"/>
      <c r="IZ722" s="64"/>
      <c r="JA722" s="64"/>
      <c r="JB722" s="64"/>
      <c r="JC722" s="64"/>
      <c r="JD722" s="64"/>
      <c r="JE722" s="64"/>
      <c r="JF722" s="64"/>
      <c r="JG722" s="64"/>
      <c r="JH722" s="64"/>
      <c r="JI722" s="64"/>
      <c r="JJ722" s="64"/>
      <c r="JK722" s="64"/>
      <c r="JL722" s="64"/>
      <c r="JM722" s="64"/>
      <c r="JN722" s="64"/>
      <c r="JO722" s="64"/>
      <c r="JP722" s="64"/>
      <c r="JQ722" s="64"/>
      <c r="JR722" s="64"/>
      <c r="JS722" s="64"/>
      <c r="JT722" s="64"/>
      <c r="JU722" s="64"/>
      <c r="JV722" s="64"/>
      <c r="JW722" s="64"/>
      <c r="JX722" s="64"/>
      <c r="JY722" s="64"/>
      <c r="JZ722" s="64"/>
      <c r="KA722" s="64"/>
      <c r="KB722" s="64"/>
      <c r="KC722" s="64"/>
      <c r="KD722" s="64"/>
      <c r="KE722" s="64"/>
      <c r="KF722" s="64"/>
      <c r="KG722" s="64"/>
      <c r="KH722" s="64"/>
      <c r="KI722" s="64"/>
      <c r="KJ722" s="64"/>
      <c r="KK722" s="64"/>
      <c r="KL722" s="64"/>
      <c r="KM722" s="64"/>
      <c r="KN722" s="64"/>
      <c r="KO722" s="64"/>
      <c r="KP722" s="64"/>
      <c r="KQ722" s="64"/>
      <c r="KR722" s="64"/>
      <c r="KS722" s="64"/>
      <c r="KT722" s="64"/>
      <c r="KU722" s="64"/>
      <c r="KV722" s="64"/>
      <c r="KW722" s="64"/>
      <c r="KX722" s="64"/>
      <c r="KY722" s="64"/>
      <c r="KZ722" s="64"/>
      <c r="LA722" s="64"/>
      <c r="LB722" s="64"/>
      <c r="LC722" s="64"/>
      <c r="LD722" s="64"/>
      <c r="LE722" s="64"/>
      <c r="LF722" s="64"/>
      <c r="LG722" s="64"/>
      <c r="LH722" s="64"/>
      <c r="LI722" s="64"/>
      <c r="LJ722" s="64"/>
      <c r="LK722" s="64"/>
      <c r="LL722" s="64"/>
      <c r="LM722" s="64"/>
      <c r="LN722" s="64"/>
      <c r="LO722" s="64"/>
      <c r="LP722" s="64"/>
      <c r="LQ722" s="64"/>
      <c r="LR722" s="64"/>
      <c r="LS722" s="64"/>
      <c r="LT722" s="64"/>
      <c r="LU722" s="64"/>
      <c r="LV722" s="64"/>
      <c r="LW722" s="64"/>
      <c r="LX722" s="64"/>
      <c r="LY722" s="64"/>
      <c r="LZ722" s="64"/>
      <c r="MA722" s="64"/>
      <c r="MB722" s="64"/>
      <c r="MC722" s="64"/>
      <c r="MD722" s="64"/>
      <c r="ME722" s="64"/>
      <c r="MF722" s="64"/>
      <c r="MG722" s="64"/>
      <c r="MH722" s="64"/>
      <c r="MI722" s="64"/>
      <c r="MJ722" s="64"/>
      <c r="MK722" s="64"/>
      <c r="ML722" s="64"/>
      <c r="MM722" s="64"/>
      <c r="MN722" s="64"/>
      <c r="MO722" s="64"/>
      <c r="MP722" s="64"/>
      <c r="MQ722" s="64"/>
      <c r="MR722" s="64"/>
      <c r="MS722" s="64"/>
      <c r="MT722" s="64"/>
      <c r="MU722" s="64"/>
      <c r="MV722" s="64"/>
      <c r="MW722" s="64"/>
      <c r="MX722" s="64"/>
      <c r="MY722" s="64"/>
      <c r="MZ722" s="64"/>
      <c r="NA722" s="64"/>
      <c r="NB722" s="64"/>
      <c r="NC722" s="64"/>
      <c r="ND722" s="64"/>
      <c r="NE722" s="64"/>
      <c r="NF722" s="64"/>
      <c r="NG722" s="64"/>
      <c r="NH722" s="64"/>
      <c r="NI722" s="64"/>
      <c r="NJ722" s="64"/>
      <c r="NK722" s="64"/>
      <c r="NL722" s="64"/>
      <c r="NM722" s="64"/>
      <c r="NN722" s="64"/>
      <c r="NO722" s="64"/>
      <c r="NP722" s="64"/>
      <c r="NQ722" s="64"/>
      <c r="NR722" s="64"/>
      <c r="NS722" s="64"/>
      <c r="NT722" s="64"/>
      <c r="NU722" s="64"/>
      <c r="NV722" s="64"/>
      <c r="NW722" s="64"/>
      <c r="NX722" s="64"/>
      <c r="NY722" s="64"/>
      <c r="NZ722" s="64"/>
      <c r="OA722" s="64"/>
      <c r="OB722" s="64"/>
      <c r="OC722" s="64"/>
      <c r="OD722" s="64"/>
      <c r="OE722" s="64"/>
      <c r="OF722" s="64"/>
      <c r="OG722" s="64"/>
      <c r="OH722" s="64"/>
      <c r="OI722" s="64"/>
      <c r="OJ722" s="64"/>
      <c r="OK722" s="64"/>
      <c r="OL722" s="64"/>
      <c r="OM722" s="64"/>
      <c r="ON722" s="64"/>
      <c r="OO722" s="64"/>
      <c r="OP722" s="64"/>
      <c r="OQ722" s="64"/>
      <c r="OR722" s="64"/>
      <c r="OS722" s="64"/>
      <c r="OT722" s="64"/>
      <c r="OU722" s="64"/>
      <c r="OV722" s="64"/>
      <c r="OW722" s="64"/>
      <c r="OX722" s="64"/>
      <c r="OY722" s="64"/>
      <c r="OZ722" s="64"/>
      <c r="PA722" s="64"/>
      <c r="PB722" s="64"/>
      <c r="PC722" s="64"/>
      <c r="PD722" s="64"/>
      <c r="PE722" s="64"/>
      <c r="PF722" s="64"/>
      <c r="PG722" s="64"/>
      <c r="PH722" s="64"/>
      <c r="PI722" s="64"/>
    </row>
    <row r="723" spans="1:425">
      <c r="A723" s="53"/>
      <c r="B723" s="53"/>
      <c r="C723" s="236" t="s">
        <v>1278</v>
      </c>
      <c r="D723" s="236"/>
      <c r="E723" s="236"/>
      <c r="F723" s="236"/>
      <c r="G723" s="236"/>
      <c r="H723" s="236"/>
      <c r="I723" s="236"/>
      <c r="J723" s="236"/>
      <c r="K723" s="236"/>
      <c r="L723" s="236"/>
      <c r="M723" s="236"/>
      <c r="N723" s="236"/>
      <c r="O723" s="236"/>
      <c r="S723" s="61">
        <f t="shared" si="134"/>
        <v>0</v>
      </c>
      <c r="T723" s="64" t="str">
        <f t="shared" si="136"/>
        <v>CONCILIACIÓN TRIBUTARIA</v>
      </c>
      <c r="U723" s="64" t="str">
        <f t="shared" si="137"/>
        <v>_</v>
      </c>
      <c r="V723" s="64" t="str">
        <f t="shared" si="129"/>
        <v>(-) CRÉDITO TRIBUTARIO GENERADO POR IMPUESTO A LA SALIDA DE DIVISAS</v>
      </c>
      <c r="W723" s="64" t="str">
        <f t="shared" si="130"/>
        <v/>
      </c>
      <c r="X723" s="64" t="str">
        <f t="shared" si="138"/>
        <v/>
      </c>
      <c r="Y723" s="64" t="str">
        <f t="shared" si="139"/>
        <v/>
      </c>
      <c r="Z723" s="64" t="str">
        <f t="shared" si="140"/>
        <v/>
      </c>
      <c r="AA723" s="64" t="str">
        <f t="shared" si="135"/>
        <v>(-) CRÉDITO TRIBUTARIO GENERADO POR IMPUESTO A LA SALIDA DE DIVISAS_</v>
      </c>
    </row>
    <row r="724" spans="1:425">
      <c r="A724" s="86"/>
      <c r="B724" s="86"/>
      <c r="C724" s="86"/>
      <c r="D724" s="283" t="s">
        <v>1279</v>
      </c>
      <c r="E724" s="284"/>
      <c r="F724" s="284"/>
      <c r="G724" s="284"/>
      <c r="H724" s="284"/>
      <c r="I724" s="284"/>
      <c r="J724" s="284"/>
      <c r="K724" s="284"/>
      <c r="L724" s="284"/>
      <c r="M724" s="285"/>
      <c r="N724" s="9" t="s">
        <v>1280</v>
      </c>
      <c r="O724" s="55"/>
      <c r="S724" s="61" t="str">
        <f t="shared" si="134"/>
        <v>862</v>
      </c>
      <c r="T724" s="64" t="str">
        <f t="shared" si="136"/>
        <v>CONCILIACIÓN TRIBUTARIA</v>
      </c>
      <c r="U724" s="64" t="str">
        <f t="shared" si="137"/>
        <v>_</v>
      </c>
      <c r="V724" s="64" t="str">
        <f t="shared" si="129"/>
        <v>(-) CRÉDITO TRIBUTARIO GENERADO POR IMPUESTO A LA SALIDA DE DIVISAS</v>
      </c>
      <c r="W724" s="64" t="str">
        <f t="shared" si="130"/>
        <v>Generado en el ejercicio fiscal declarado</v>
      </c>
      <c r="X724" s="64" t="str">
        <f t="shared" si="138"/>
        <v/>
      </c>
      <c r="Y724" s="64" t="str">
        <f t="shared" si="139"/>
        <v/>
      </c>
      <c r="Z724" s="64" t="str">
        <f t="shared" si="140"/>
        <v/>
      </c>
      <c r="AA724" s="64" t="str">
        <f t="shared" si="135"/>
        <v>(-) CRÉDITO TRIBUTARIO GENERADO POR IMPUESTO A LA SALIDA DE DIVISAS_Generado en el ejercicio fiscal declarado</v>
      </c>
    </row>
    <row r="725" spans="1:425">
      <c r="A725" s="86"/>
      <c r="B725" s="86"/>
      <c r="C725" s="86"/>
      <c r="D725" s="283" t="s">
        <v>1281</v>
      </c>
      <c r="E725" s="284"/>
      <c r="F725" s="284"/>
      <c r="G725" s="284"/>
      <c r="H725" s="284"/>
      <c r="I725" s="284"/>
      <c r="J725" s="284"/>
      <c r="K725" s="284"/>
      <c r="L725" s="284"/>
      <c r="M725" s="285"/>
      <c r="N725" s="9" t="s">
        <v>1282</v>
      </c>
      <c r="O725" s="55"/>
      <c r="S725" s="61" t="str">
        <f t="shared" si="134"/>
        <v>863</v>
      </c>
      <c r="T725" s="64" t="str">
        <f t="shared" si="136"/>
        <v>CONCILIACIÓN TRIBUTARIA</v>
      </c>
      <c r="U725" s="64" t="str">
        <f t="shared" si="137"/>
        <v>_</v>
      </c>
      <c r="V725" s="64" t="str">
        <f t="shared" si="129"/>
        <v>(-) CRÉDITO TRIBUTARIO GENERADO POR IMPUESTO A LA SALIDA DE DIVISAS</v>
      </c>
      <c r="W725" s="64" t="str">
        <f t="shared" si="130"/>
        <v>Generado en ejercicios fiscales anteriores</v>
      </c>
      <c r="X725" s="64" t="str">
        <f t="shared" si="138"/>
        <v/>
      </c>
      <c r="Y725" s="64" t="str">
        <f t="shared" si="139"/>
        <v/>
      </c>
      <c r="Z725" s="64" t="str">
        <f t="shared" si="140"/>
        <v/>
      </c>
      <c r="AA725" s="64" t="str">
        <f t="shared" si="135"/>
        <v>(-) CRÉDITO TRIBUTARIO GENERADO POR IMPUESTO A LA SALIDA DE DIVISAS_Generado en ejercicios fiscales anteriores</v>
      </c>
    </row>
    <row r="726" spans="1:425" s="85" customFormat="1" ht="13.25" customHeight="1">
      <c r="A726" s="70"/>
      <c r="B726" s="70"/>
      <c r="C726" s="276" t="s">
        <v>1283</v>
      </c>
      <c r="D726" s="277"/>
      <c r="E726" s="277"/>
      <c r="F726" s="277"/>
      <c r="G726" s="277"/>
      <c r="H726" s="277"/>
      <c r="I726" s="277"/>
      <c r="J726" s="277"/>
      <c r="K726" s="277"/>
      <c r="L726" s="277"/>
      <c r="M726" s="278"/>
      <c r="N726" s="9" t="s">
        <v>1284</v>
      </c>
      <c r="O726" s="109">
        <f>VLOOKUP(N726,Casilleros!$A$4:$Q$830,16,FALSE)</f>
        <v>0</v>
      </c>
      <c r="P726" s="67"/>
      <c r="Q726" s="67"/>
      <c r="R726" s="67"/>
      <c r="S726" s="61" t="str">
        <f t="shared" si="134"/>
        <v>042</v>
      </c>
      <c r="T726" s="64" t="str">
        <f t="shared" si="136"/>
        <v>CONCILIACIÓN TRIBUTARIA</v>
      </c>
      <c r="U726" s="64" t="str">
        <f t="shared" si="137"/>
        <v>_</v>
      </c>
      <c r="V726" s="64" t="str">
        <f t="shared" si="129"/>
        <v>¿Tiene derecho a la exoneración del pago del saldo del Impuesto a la Renta del ejercicio fiscal 2015 dispuesta en la Ley Orgánica de Solidaridad y de Corresponsabilidad Ciudadana para la Reconstrucción y Reactivación de las Zonas Afectadas?</v>
      </c>
      <c r="W726" s="64" t="str">
        <f t="shared" si="130"/>
        <v/>
      </c>
      <c r="X726" s="64" t="str">
        <f t="shared" si="138"/>
        <v/>
      </c>
      <c r="Y726" s="64" t="str">
        <f t="shared" si="139"/>
        <v/>
      </c>
      <c r="Z726" s="64" t="str">
        <f t="shared" si="140"/>
        <v/>
      </c>
      <c r="AA726" s="64" t="str">
        <f t="shared" si="135"/>
        <v>¿Tiene derecho a la exoneración del pago del saldo del Impuesto a la Renta del ejercicio fiscal 2015 dispuesta en la Ley Orgánica de Solidaridad y de Corresponsabilidad Ciudadana para la Reconstrucción y Reactivación de las Zonas Afectadas?_</v>
      </c>
      <c r="AB726" s="64"/>
      <c r="AC726" s="64"/>
      <c r="AD726" s="64"/>
      <c r="AE726" s="64"/>
      <c r="AF726" s="64"/>
      <c r="AG726" s="64"/>
      <c r="AH726" s="64"/>
      <c r="AI726" s="64"/>
      <c r="AJ726" s="64"/>
      <c r="AK726" s="64"/>
      <c r="AL726" s="64"/>
      <c r="AM726" s="64"/>
      <c r="AN726" s="64"/>
      <c r="AO726" s="64"/>
      <c r="AP726" s="64"/>
      <c r="AQ726" s="64"/>
      <c r="AR726" s="64"/>
      <c r="AS726" s="64"/>
      <c r="AT726" s="64"/>
      <c r="AU726" s="64"/>
      <c r="AV726" s="64"/>
      <c r="AW726" s="64"/>
      <c r="AX726" s="64"/>
      <c r="AY726" s="64"/>
      <c r="AZ726" s="64"/>
      <c r="BA726" s="64"/>
      <c r="BB726" s="64"/>
      <c r="BC726" s="64"/>
      <c r="BD726" s="64"/>
      <c r="BE726" s="64"/>
      <c r="BF726" s="64"/>
      <c r="BG726" s="64"/>
      <c r="BH726" s="64"/>
      <c r="BI726" s="64"/>
      <c r="BJ726" s="64"/>
      <c r="BK726" s="64"/>
      <c r="BL726" s="64"/>
      <c r="BM726" s="64"/>
      <c r="BN726" s="64"/>
      <c r="BO726" s="64"/>
      <c r="BP726" s="64"/>
      <c r="BQ726" s="64"/>
      <c r="BR726" s="64"/>
      <c r="BS726" s="64"/>
      <c r="BT726" s="64"/>
      <c r="BU726" s="64"/>
      <c r="BV726" s="64"/>
      <c r="BW726" s="64"/>
      <c r="BX726" s="64"/>
      <c r="BY726" s="64"/>
      <c r="BZ726" s="64"/>
      <c r="CA726" s="64"/>
      <c r="CB726" s="64"/>
      <c r="CC726" s="64"/>
      <c r="CD726" s="64"/>
      <c r="CE726" s="64"/>
      <c r="CF726" s="64"/>
      <c r="CG726" s="64"/>
      <c r="CH726" s="64"/>
      <c r="CI726" s="64"/>
      <c r="CJ726" s="64"/>
      <c r="CK726" s="64"/>
      <c r="CL726" s="64"/>
      <c r="CM726" s="64"/>
      <c r="CN726" s="64"/>
      <c r="CO726" s="64"/>
      <c r="CP726" s="64"/>
      <c r="CQ726" s="64"/>
      <c r="CR726" s="64"/>
      <c r="CS726" s="64"/>
      <c r="CT726" s="64"/>
      <c r="CU726" s="64"/>
      <c r="CV726" s="64"/>
      <c r="CW726" s="64"/>
      <c r="CX726" s="64"/>
      <c r="CY726" s="64"/>
      <c r="CZ726" s="64"/>
      <c r="DA726" s="64"/>
      <c r="DB726" s="64"/>
      <c r="DC726" s="64"/>
      <c r="DD726" s="64"/>
      <c r="DE726" s="64"/>
      <c r="DF726" s="64"/>
      <c r="DG726" s="64"/>
      <c r="DH726" s="64"/>
      <c r="DI726" s="64"/>
      <c r="DJ726" s="64"/>
      <c r="DK726" s="64"/>
      <c r="DL726" s="64"/>
      <c r="DM726" s="64"/>
      <c r="DN726" s="64"/>
      <c r="DO726" s="64"/>
      <c r="DP726" s="64"/>
      <c r="DQ726" s="64"/>
      <c r="DR726" s="64"/>
      <c r="DS726" s="64"/>
      <c r="DT726" s="64"/>
      <c r="DU726" s="64"/>
      <c r="DV726" s="64"/>
      <c r="DW726" s="64"/>
      <c r="DX726" s="64"/>
      <c r="DY726" s="64"/>
      <c r="DZ726" s="64"/>
      <c r="EA726" s="64"/>
      <c r="EB726" s="64"/>
      <c r="EC726" s="64"/>
      <c r="ED726" s="64"/>
      <c r="EE726" s="64"/>
      <c r="EF726" s="64"/>
      <c r="EG726" s="64"/>
      <c r="EH726" s="64"/>
      <c r="EI726" s="64"/>
      <c r="EJ726" s="64"/>
      <c r="EK726" s="64"/>
      <c r="EL726" s="64"/>
      <c r="EM726" s="64"/>
      <c r="EN726" s="64"/>
      <c r="EO726" s="64"/>
      <c r="EP726" s="64"/>
      <c r="EQ726" s="64"/>
      <c r="ER726" s="64"/>
      <c r="ES726" s="64"/>
      <c r="ET726" s="64"/>
      <c r="EU726" s="64"/>
      <c r="EV726" s="64"/>
      <c r="EW726" s="64"/>
      <c r="EX726" s="64"/>
      <c r="EY726" s="64"/>
      <c r="EZ726" s="64"/>
      <c r="FA726" s="64"/>
      <c r="FB726" s="64"/>
      <c r="FC726" s="64"/>
      <c r="FD726" s="64"/>
      <c r="FE726" s="64"/>
      <c r="FF726" s="64"/>
      <c r="FG726" s="64"/>
      <c r="FH726" s="64"/>
      <c r="FI726" s="64"/>
      <c r="FJ726" s="64"/>
      <c r="FK726" s="64"/>
      <c r="FL726" s="64"/>
      <c r="FM726" s="64"/>
      <c r="FN726" s="64"/>
      <c r="FO726" s="64"/>
      <c r="FP726" s="64"/>
      <c r="FQ726" s="64"/>
      <c r="FR726" s="64"/>
      <c r="FS726" s="64"/>
      <c r="FT726" s="64"/>
      <c r="FU726" s="64"/>
      <c r="FV726" s="64"/>
      <c r="FW726" s="64"/>
      <c r="FX726" s="64"/>
      <c r="FY726" s="64"/>
      <c r="FZ726" s="64"/>
      <c r="GA726" s="64"/>
      <c r="GB726" s="64"/>
      <c r="GC726" s="64"/>
      <c r="GD726" s="64"/>
      <c r="GE726" s="64"/>
      <c r="GF726" s="64"/>
      <c r="GG726" s="64"/>
      <c r="GH726" s="64"/>
      <c r="GI726" s="64"/>
      <c r="GJ726" s="64"/>
      <c r="GK726" s="64"/>
      <c r="GL726" s="64"/>
      <c r="GM726" s="64"/>
      <c r="GN726" s="64"/>
      <c r="GO726" s="64"/>
      <c r="GP726" s="64"/>
      <c r="GQ726" s="64"/>
      <c r="GR726" s="64"/>
      <c r="GS726" s="64"/>
      <c r="GT726" s="64"/>
      <c r="GU726" s="64"/>
      <c r="GV726" s="64"/>
      <c r="GW726" s="64"/>
      <c r="GX726" s="64"/>
      <c r="GY726" s="64"/>
      <c r="GZ726" s="64"/>
      <c r="HA726" s="64"/>
      <c r="HB726" s="64"/>
      <c r="HC726" s="64"/>
      <c r="HD726" s="64"/>
      <c r="HE726" s="64"/>
      <c r="HF726" s="64"/>
      <c r="HG726" s="64"/>
      <c r="HH726" s="64"/>
      <c r="HI726" s="64"/>
      <c r="HJ726" s="64"/>
      <c r="HK726" s="64"/>
      <c r="HL726" s="64"/>
      <c r="HM726" s="64"/>
      <c r="HN726" s="64"/>
      <c r="HO726" s="64"/>
      <c r="HP726" s="64"/>
      <c r="HQ726" s="64"/>
      <c r="HR726" s="64"/>
      <c r="HS726" s="64"/>
      <c r="HT726" s="64"/>
      <c r="HU726" s="64"/>
      <c r="HV726" s="64"/>
      <c r="HW726" s="64"/>
      <c r="HX726" s="64"/>
      <c r="HY726" s="64"/>
      <c r="HZ726" s="64"/>
      <c r="IA726" s="64"/>
      <c r="IB726" s="64"/>
      <c r="IC726" s="64"/>
      <c r="ID726" s="64"/>
      <c r="IE726" s="64"/>
      <c r="IF726" s="64"/>
      <c r="IG726" s="64"/>
      <c r="IH726" s="64"/>
      <c r="II726" s="64"/>
      <c r="IJ726" s="64"/>
      <c r="IK726" s="64"/>
      <c r="IL726" s="64"/>
      <c r="IM726" s="64"/>
      <c r="IN726" s="64"/>
      <c r="IO726" s="64"/>
      <c r="IP726" s="64"/>
      <c r="IQ726" s="64"/>
      <c r="IR726" s="64"/>
      <c r="IS726" s="64"/>
      <c r="IT726" s="64"/>
      <c r="IU726" s="64"/>
      <c r="IV726" s="64"/>
      <c r="IW726" s="64"/>
      <c r="IX726" s="64"/>
      <c r="IY726" s="64"/>
      <c r="IZ726" s="64"/>
      <c r="JA726" s="64"/>
      <c r="JB726" s="64"/>
      <c r="JC726" s="64"/>
      <c r="JD726" s="64"/>
      <c r="JE726" s="64"/>
      <c r="JF726" s="64"/>
      <c r="JG726" s="64"/>
      <c r="JH726" s="64"/>
      <c r="JI726" s="64"/>
      <c r="JJ726" s="64"/>
      <c r="JK726" s="64"/>
      <c r="JL726" s="64"/>
      <c r="JM726" s="64"/>
      <c r="JN726" s="64"/>
      <c r="JO726" s="64"/>
      <c r="JP726" s="64"/>
      <c r="JQ726" s="64"/>
      <c r="JR726" s="64"/>
      <c r="JS726" s="64"/>
      <c r="JT726" s="64"/>
      <c r="JU726" s="64"/>
      <c r="JV726" s="64"/>
      <c r="JW726" s="64"/>
      <c r="JX726" s="64"/>
      <c r="JY726" s="64"/>
      <c r="JZ726" s="64"/>
      <c r="KA726" s="64"/>
      <c r="KB726" s="64"/>
      <c r="KC726" s="64"/>
      <c r="KD726" s="64"/>
      <c r="KE726" s="64"/>
      <c r="KF726" s="64"/>
      <c r="KG726" s="64"/>
      <c r="KH726" s="64"/>
      <c r="KI726" s="64"/>
      <c r="KJ726" s="64"/>
      <c r="KK726" s="64"/>
      <c r="KL726" s="64"/>
      <c r="KM726" s="64"/>
      <c r="KN726" s="64"/>
      <c r="KO726" s="64"/>
      <c r="KP726" s="64"/>
      <c r="KQ726" s="64"/>
      <c r="KR726" s="64"/>
      <c r="KS726" s="64"/>
      <c r="KT726" s="64"/>
      <c r="KU726" s="64"/>
      <c r="KV726" s="64"/>
      <c r="KW726" s="64"/>
      <c r="KX726" s="64"/>
      <c r="KY726" s="64"/>
      <c r="KZ726" s="64"/>
      <c r="LA726" s="64"/>
      <c r="LB726" s="64"/>
      <c r="LC726" s="64"/>
      <c r="LD726" s="64"/>
      <c r="LE726" s="64"/>
      <c r="LF726" s="64"/>
      <c r="LG726" s="64"/>
      <c r="LH726" s="64"/>
      <c r="LI726" s="64"/>
      <c r="LJ726" s="64"/>
      <c r="LK726" s="64"/>
      <c r="LL726" s="64"/>
      <c r="LM726" s="64"/>
      <c r="LN726" s="64"/>
      <c r="LO726" s="64"/>
      <c r="LP726" s="64"/>
      <c r="LQ726" s="64"/>
      <c r="LR726" s="64"/>
      <c r="LS726" s="64"/>
      <c r="LT726" s="64"/>
      <c r="LU726" s="64"/>
      <c r="LV726" s="64"/>
      <c r="LW726" s="64"/>
      <c r="LX726" s="64"/>
      <c r="LY726" s="64"/>
      <c r="LZ726" s="64"/>
      <c r="MA726" s="64"/>
      <c r="MB726" s="64"/>
      <c r="MC726" s="64"/>
      <c r="MD726" s="64"/>
      <c r="ME726" s="64"/>
      <c r="MF726" s="64"/>
      <c r="MG726" s="64"/>
      <c r="MH726" s="64"/>
      <c r="MI726" s="64"/>
      <c r="MJ726" s="64"/>
      <c r="MK726" s="64"/>
      <c r="ML726" s="64"/>
      <c r="MM726" s="64"/>
      <c r="MN726" s="64"/>
      <c r="MO726" s="64"/>
      <c r="MP726" s="64"/>
      <c r="MQ726" s="64"/>
      <c r="MR726" s="64"/>
      <c r="MS726" s="64"/>
      <c r="MT726" s="64"/>
      <c r="MU726" s="64"/>
      <c r="MV726" s="64"/>
      <c r="MW726" s="64"/>
      <c r="MX726" s="64"/>
      <c r="MY726" s="64"/>
      <c r="MZ726" s="64"/>
      <c r="NA726" s="64"/>
      <c r="NB726" s="64"/>
      <c r="NC726" s="64"/>
      <c r="ND726" s="64"/>
      <c r="NE726" s="64"/>
      <c r="NF726" s="64"/>
      <c r="NG726" s="64"/>
      <c r="NH726" s="64"/>
      <c r="NI726" s="64"/>
      <c r="NJ726" s="64"/>
      <c r="NK726" s="64"/>
      <c r="NL726" s="64"/>
      <c r="NM726" s="64"/>
      <c r="NN726" s="64"/>
      <c r="NO726" s="64"/>
      <c r="NP726" s="64"/>
      <c r="NQ726" s="64"/>
      <c r="NR726" s="64"/>
      <c r="NS726" s="64"/>
      <c r="NT726" s="64"/>
      <c r="NU726" s="64"/>
      <c r="NV726" s="64"/>
      <c r="NW726" s="64"/>
      <c r="NX726" s="64"/>
      <c r="NY726" s="64"/>
      <c r="NZ726" s="64"/>
      <c r="OA726" s="64"/>
      <c r="OB726" s="64"/>
      <c r="OC726" s="64"/>
      <c r="OD726" s="64"/>
      <c r="OE726" s="64"/>
      <c r="OF726" s="64"/>
      <c r="OG726" s="64"/>
      <c r="OH726" s="64"/>
      <c r="OI726" s="64"/>
      <c r="OJ726" s="64"/>
      <c r="OK726" s="64"/>
      <c r="OL726" s="64"/>
      <c r="OM726" s="64"/>
      <c r="ON726" s="64"/>
      <c r="OO726" s="64"/>
      <c r="OP726" s="64"/>
      <c r="OQ726" s="64"/>
      <c r="OR726" s="64"/>
      <c r="OS726" s="64"/>
      <c r="OT726" s="64"/>
      <c r="OU726" s="64"/>
      <c r="OV726" s="64"/>
      <c r="OW726" s="64"/>
      <c r="OX726" s="64"/>
      <c r="OY726" s="64"/>
      <c r="OZ726" s="64"/>
      <c r="PA726" s="64"/>
      <c r="PB726" s="64"/>
      <c r="PC726" s="64"/>
      <c r="PD726" s="64"/>
      <c r="PE726" s="64"/>
      <c r="PF726" s="64"/>
      <c r="PG726" s="64"/>
      <c r="PH726" s="64"/>
      <c r="PI726" s="64"/>
    </row>
    <row r="727" spans="1:425" s="85" customFormat="1" ht="13.25" customHeight="1">
      <c r="A727" s="70"/>
      <c r="B727" s="70"/>
      <c r="C727" s="276" t="s">
        <v>1285</v>
      </c>
      <c r="D727" s="277"/>
      <c r="E727" s="277"/>
      <c r="F727" s="277"/>
      <c r="G727" s="277"/>
      <c r="H727" s="277"/>
      <c r="I727" s="277"/>
      <c r="J727" s="277"/>
      <c r="K727" s="277"/>
      <c r="L727" s="277"/>
      <c r="M727" s="278"/>
      <c r="N727" s="9" t="s">
        <v>1286</v>
      </c>
      <c r="O727" s="116">
        <f>VLOOKUP(N727,Casilleros!$A$4:$Q$830,16,FALSE)</f>
        <v>0</v>
      </c>
      <c r="P727" s="67"/>
      <c r="Q727" s="67"/>
      <c r="R727" s="67"/>
      <c r="S727" s="61" t="str">
        <f t="shared" si="134"/>
        <v>043</v>
      </c>
      <c r="T727" s="64" t="str">
        <f t="shared" si="136"/>
        <v>CONCILIACIÓN TRIBUTARIA</v>
      </c>
      <c r="U727" s="64" t="str">
        <f t="shared" si="137"/>
        <v>_</v>
      </c>
      <c r="V727" s="64" t="str">
        <f t="shared" si="129"/>
        <v>(-) Exoneración del pago del saldo del impuesto a la renta del ejercicio fiscal 2015 dispuesta en la Ley Orgánica de Solidaridad y de Corresponsabilidad Ciudadana para la Reconstrucción y Reactivación de las Zonas Afectadas.</v>
      </c>
      <c r="W727" s="64" t="str">
        <f t="shared" si="130"/>
        <v/>
      </c>
      <c r="X727" s="64" t="str">
        <f t="shared" si="138"/>
        <v/>
      </c>
      <c r="Y727" s="64" t="str">
        <f t="shared" si="139"/>
        <v/>
      </c>
      <c r="Z727" s="64" t="str">
        <f t="shared" si="140"/>
        <v/>
      </c>
      <c r="AA727" s="64" t="str">
        <f t="shared" si="135"/>
        <v>(-) Exoneración del pago del saldo del impuesto a la renta del ejercicio fiscal 2015 dispuesta en la Ley Orgánica de Solidaridad y de Corresponsabilidad Ciudadana para la Reconstrucción y Reactivación de las Zonas Afectadas._</v>
      </c>
      <c r="AB727" s="64"/>
      <c r="AC727" s="64"/>
      <c r="AD727" s="64"/>
      <c r="AE727" s="64"/>
      <c r="AF727" s="64"/>
      <c r="AG727" s="64"/>
      <c r="AH727" s="64"/>
      <c r="AI727" s="64"/>
      <c r="AJ727" s="64"/>
      <c r="AK727" s="64"/>
      <c r="AL727" s="64"/>
      <c r="AM727" s="64"/>
      <c r="AN727" s="64"/>
      <c r="AO727" s="64"/>
      <c r="AP727" s="64"/>
      <c r="AQ727" s="64"/>
      <c r="AR727" s="64"/>
      <c r="AS727" s="64"/>
      <c r="AT727" s="64"/>
      <c r="AU727" s="64"/>
      <c r="AV727" s="64"/>
      <c r="AW727" s="64"/>
      <c r="AX727" s="64"/>
      <c r="AY727" s="64"/>
      <c r="AZ727" s="64"/>
      <c r="BA727" s="64"/>
      <c r="BB727" s="64"/>
      <c r="BC727" s="64"/>
      <c r="BD727" s="64"/>
      <c r="BE727" s="64"/>
      <c r="BF727" s="64"/>
      <c r="BG727" s="64"/>
      <c r="BH727" s="64"/>
      <c r="BI727" s="64"/>
      <c r="BJ727" s="64"/>
      <c r="BK727" s="64"/>
      <c r="BL727" s="64"/>
      <c r="BM727" s="64"/>
      <c r="BN727" s="64"/>
      <c r="BO727" s="64"/>
      <c r="BP727" s="64"/>
      <c r="BQ727" s="64"/>
      <c r="BR727" s="64"/>
      <c r="BS727" s="64"/>
      <c r="BT727" s="64"/>
      <c r="BU727" s="64"/>
      <c r="BV727" s="64"/>
      <c r="BW727" s="64"/>
      <c r="BX727" s="64"/>
      <c r="BY727" s="64"/>
      <c r="BZ727" s="64"/>
      <c r="CA727" s="64"/>
      <c r="CB727" s="64"/>
      <c r="CC727" s="64"/>
      <c r="CD727" s="64"/>
      <c r="CE727" s="64"/>
      <c r="CF727" s="64"/>
      <c r="CG727" s="64"/>
      <c r="CH727" s="64"/>
      <c r="CI727" s="64"/>
      <c r="CJ727" s="64"/>
      <c r="CK727" s="64"/>
      <c r="CL727" s="64"/>
      <c r="CM727" s="64"/>
      <c r="CN727" s="64"/>
      <c r="CO727" s="64"/>
      <c r="CP727" s="64"/>
      <c r="CQ727" s="64"/>
      <c r="CR727" s="64"/>
      <c r="CS727" s="64"/>
      <c r="CT727" s="64"/>
      <c r="CU727" s="64"/>
      <c r="CV727" s="64"/>
      <c r="CW727" s="64"/>
      <c r="CX727" s="64"/>
      <c r="CY727" s="64"/>
      <c r="CZ727" s="64"/>
      <c r="DA727" s="64"/>
      <c r="DB727" s="64"/>
      <c r="DC727" s="64"/>
      <c r="DD727" s="64"/>
      <c r="DE727" s="64"/>
      <c r="DF727" s="64"/>
      <c r="DG727" s="64"/>
      <c r="DH727" s="64"/>
      <c r="DI727" s="64"/>
      <c r="DJ727" s="64"/>
      <c r="DK727" s="64"/>
      <c r="DL727" s="64"/>
      <c r="DM727" s="64"/>
      <c r="DN727" s="64"/>
      <c r="DO727" s="64"/>
      <c r="DP727" s="64"/>
      <c r="DQ727" s="64"/>
      <c r="DR727" s="64"/>
      <c r="DS727" s="64"/>
      <c r="DT727" s="64"/>
      <c r="DU727" s="64"/>
      <c r="DV727" s="64"/>
      <c r="DW727" s="64"/>
      <c r="DX727" s="64"/>
      <c r="DY727" s="64"/>
      <c r="DZ727" s="64"/>
      <c r="EA727" s="64"/>
      <c r="EB727" s="64"/>
      <c r="EC727" s="64"/>
      <c r="ED727" s="64"/>
      <c r="EE727" s="64"/>
      <c r="EF727" s="64"/>
      <c r="EG727" s="64"/>
      <c r="EH727" s="64"/>
      <c r="EI727" s="64"/>
      <c r="EJ727" s="64"/>
      <c r="EK727" s="64"/>
      <c r="EL727" s="64"/>
      <c r="EM727" s="64"/>
      <c r="EN727" s="64"/>
      <c r="EO727" s="64"/>
      <c r="EP727" s="64"/>
      <c r="EQ727" s="64"/>
      <c r="ER727" s="64"/>
      <c r="ES727" s="64"/>
      <c r="ET727" s="64"/>
      <c r="EU727" s="64"/>
      <c r="EV727" s="64"/>
      <c r="EW727" s="64"/>
      <c r="EX727" s="64"/>
      <c r="EY727" s="64"/>
      <c r="EZ727" s="64"/>
      <c r="FA727" s="64"/>
      <c r="FB727" s="64"/>
      <c r="FC727" s="64"/>
      <c r="FD727" s="64"/>
      <c r="FE727" s="64"/>
      <c r="FF727" s="64"/>
      <c r="FG727" s="64"/>
      <c r="FH727" s="64"/>
      <c r="FI727" s="64"/>
      <c r="FJ727" s="64"/>
      <c r="FK727" s="64"/>
      <c r="FL727" s="64"/>
      <c r="FM727" s="64"/>
      <c r="FN727" s="64"/>
      <c r="FO727" s="64"/>
      <c r="FP727" s="64"/>
      <c r="FQ727" s="64"/>
      <c r="FR727" s="64"/>
      <c r="FS727" s="64"/>
      <c r="FT727" s="64"/>
      <c r="FU727" s="64"/>
      <c r="FV727" s="64"/>
      <c r="FW727" s="64"/>
      <c r="FX727" s="64"/>
      <c r="FY727" s="64"/>
      <c r="FZ727" s="64"/>
      <c r="GA727" s="64"/>
      <c r="GB727" s="64"/>
      <c r="GC727" s="64"/>
      <c r="GD727" s="64"/>
      <c r="GE727" s="64"/>
      <c r="GF727" s="64"/>
      <c r="GG727" s="64"/>
      <c r="GH727" s="64"/>
      <c r="GI727" s="64"/>
      <c r="GJ727" s="64"/>
      <c r="GK727" s="64"/>
      <c r="GL727" s="64"/>
      <c r="GM727" s="64"/>
      <c r="GN727" s="64"/>
      <c r="GO727" s="64"/>
      <c r="GP727" s="64"/>
      <c r="GQ727" s="64"/>
      <c r="GR727" s="64"/>
      <c r="GS727" s="64"/>
      <c r="GT727" s="64"/>
      <c r="GU727" s="64"/>
      <c r="GV727" s="64"/>
      <c r="GW727" s="64"/>
      <c r="GX727" s="64"/>
      <c r="GY727" s="64"/>
      <c r="GZ727" s="64"/>
      <c r="HA727" s="64"/>
      <c r="HB727" s="64"/>
      <c r="HC727" s="64"/>
      <c r="HD727" s="64"/>
      <c r="HE727" s="64"/>
      <c r="HF727" s="64"/>
      <c r="HG727" s="64"/>
      <c r="HH727" s="64"/>
      <c r="HI727" s="64"/>
      <c r="HJ727" s="64"/>
      <c r="HK727" s="64"/>
      <c r="HL727" s="64"/>
      <c r="HM727" s="64"/>
      <c r="HN727" s="64"/>
      <c r="HO727" s="64"/>
      <c r="HP727" s="64"/>
      <c r="HQ727" s="64"/>
      <c r="HR727" s="64"/>
      <c r="HS727" s="64"/>
      <c r="HT727" s="64"/>
      <c r="HU727" s="64"/>
      <c r="HV727" s="64"/>
      <c r="HW727" s="64"/>
      <c r="HX727" s="64"/>
      <c r="HY727" s="64"/>
      <c r="HZ727" s="64"/>
      <c r="IA727" s="64"/>
      <c r="IB727" s="64"/>
      <c r="IC727" s="64"/>
      <c r="ID727" s="64"/>
      <c r="IE727" s="64"/>
      <c r="IF727" s="64"/>
      <c r="IG727" s="64"/>
      <c r="IH727" s="64"/>
      <c r="II727" s="64"/>
      <c r="IJ727" s="64"/>
      <c r="IK727" s="64"/>
      <c r="IL727" s="64"/>
      <c r="IM727" s="64"/>
      <c r="IN727" s="64"/>
      <c r="IO727" s="64"/>
      <c r="IP727" s="64"/>
      <c r="IQ727" s="64"/>
      <c r="IR727" s="64"/>
      <c r="IS727" s="64"/>
      <c r="IT727" s="64"/>
      <c r="IU727" s="64"/>
      <c r="IV727" s="64"/>
      <c r="IW727" s="64"/>
      <c r="IX727" s="64"/>
      <c r="IY727" s="64"/>
      <c r="IZ727" s="64"/>
      <c r="JA727" s="64"/>
      <c r="JB727" s="64"/>
      <c r="JC727" s="64"/>
      <c r="JD727" s="64"/>
      <c r="JE727" s="64"/>
      <c r="JF727" s="64"/>
      <c r="JG727" s="64"/>
      <c r="JH727" s="64"/>
      <c r="JI727" s="64"/>
      <c r="JJ727" s="64"/>
      <c r="JK727" s="64"/>
      <c r="JL727" s="64"/>
      <c r="JM727" s="64"/>
      <c r="JN727" s="64"/>
      <c r="JO727" s="64"/>
      <c r="JP727" s="64"/>
      <c r="JQ727" s="64"/>
      <c r="JR727" s="64"/>
      <c r="JS727" s="64"/>
      <c r="JT727" s="64"/>
      <c r="JU727" s="64"/>
      <c r="JV727" s="64"/>
      <c r="JW727" s="64"/>
      <c r="JX727" s="64"/>
      <c r="JY727" s="64"/>
      <c r="JZ727" s="64"/>
      <c r="KA727" s="64"/>
      <c r="KB727" s="64"/>
      <c r="KC727" s="64"/>
      <c r="KD727" s="64"/>
      <c r="KE727" s="64"/>
      <c r="KF727" s="64"/>
      <c r="KG727" s="64"/>
      <c r="KH727" s="64"/>
      <c r="KI727" s="64"/>
      <c r="KJ727" s="64"/>
      <c r="KK727" s="64"/>
      <c r="KL727" s="64"/>
      <c r="KM727" s="64"/>
      <c r="KN727" s="64"/>
      <c r="KO727" s="64"/>
      <c r="KP727" s="64"/>
      <c r="KQ727" s="64"/>
      <c r="KR727" s="64"/>
      <c r="KS727" s="64"/>
      <c r="KT727" s="64"/>
      <c r="KU727" s="64"/>
      <c r="KV727" s="64"/>
      <c r="KW727" s="64"/>
      <c r="KX727" s="64"/>
      <c r="KY727" s="64"/>
      <c r="KZ727" s="64"/>
      <c r="LA727" s="64"/>
      <c r="LB727" s="64"/>
      <c r="LC727" s="64"/>
      <c r="LD727" s="64"/>
      <c r="LE727" s="64"/>
      <c r="LF727" s="64"/>
      <c r="LG727" s="64"/>
      <c r="LH727" s="64"/>
      <c r="LI727" s="64"/>
      <c r="LJ727" s="64"/>
      <c r="LK727" s="64"/>
      <c r="LL727" s="64"/>
      <c r="LM727" s="64"/>
      <c r="LN727" s="64"/>
      <c r="LO727" s="64"/>
      <c r="LP727" s="64"/>
      <c r="LQ727" s="64"/>
      <c r="LR727" s="64"/>
      <c r="LS727" s="64"/>
      <c r="LT727" s="64"/>
      <c r="LU727" s="64"/>
      <c r="LV727" s="64"/>
      <c r="LW727" s="64"/>
      <c r="LX727" s="64"/>
      <c r="LY727" s="64"/>
      <c r="LZ727" s="64"/>
      <c r="MA727" s="64"/>
      <c r="MB727" s="64"/>
      <c r="MC727" s="64"/>
      <c r="MD727" s="64"/>
      <c r="ME727" s="64"/>
      <c r="MF727" s="64"/>
      <c r="MG727" s="64"/>
      <c r="MH727" s="64"/>
      <c r="MI727" s="64"/>
      <c r="MJ727" s="64"/>
      <c r="MK727" s="64"/>
      <c r="ML727" s="64"/>
      <c r="MM727" s="64"/>
      <c r="MN727" s="64"/>
      <c r="MO727" s="64"/>
      <c r="MP727" s="64"/>
      <c r="MQ727" s="64"/>
      <c r="MR727" s="64"/>
      <c r="MS727" s="64"/>
      <c r="MT727" s="64"/>
      <c r="MU727" s="64"/>
      <c r="MV727" s="64"/>
      <c r="MW727" s="64"/>
      <c r="MX727" s="64"/>
      <c r="MY727" s="64"/>
      <c r="MZ727" s="64"/>
      <c r="NA727" s="64"/>
      <c r="NB727" s="64"/>
      <c r="NC727" s="64"/>
      <c r="ND727" s="64"/>
      <c r="NE727" s="64"/>
      <c r="NF727" s="64"/>
      <c r="NG727" s="64"/>
      <c r="NH727" s="64"/>
      <c r="NI727" s="64"/>
      <c r="NJ727" s="64"/>
      <c r="NK727" s="64"/>
      <c r="NL727" s="64"/>
      <c r="NM727" s="64"/>
      <c r="NN727" s="64"/>
      <c r="NO727" s="64"/>
      <c r="NP727" s="64"/>
      <c r="NQ727" s="64"/>
      <c r="NR727" s="64"/>
      <c r="NS727" s="64"/>
      <c r="NT727" s="64"/>
      <c r="NU727" s="64"/>
      <c r="NV727" s="64"/>
      <c r="NW727" s="64"/>
      <c r="NX727" s="64"/>
      <c r="NY727" s="64"/>
      <c r="NZ727" s="64"/>
      <c r="OA727" s="64"/>
      <c r="OB727" s="64"/>
      <c r="OC727" s="64"/>
      <c r="OD727" s="64"/>
      <c r="OE727" s="64"/>
      <c r="OF727" s="64"/>
      <c r="OG727" s="64"/>
      <c r="OH727" s="64"/>
      <c r="OI727" s="64"/>
      <c r="OJ727" s="64"/>
      <c r="OK727" s="64"/>
      <c r="OL727" s="64"/>
      <c r="OM727" s="64"/>
      <c r="ON727" s="64"/>
      <c r="OO727" s="64"/>
      <c r="OP727" s="64"/>
      <c r="OQ727" s="64"/>
      <c r="OR727" s="64"/>
      <c r="OS727" s="64"/>
      <c r="OT727" s="64"/>
      <c r="OU727" s="64"/>
      <c r="OV727" s="64"/>
      <c r="OW727" s="64"/>
      <c r="OX727" s="64"/>
      <c r="OY727" s="64"/>
      <c r="OZ727" s="64"/>
      <c r="PA727" s="64"/>
      <c r="PB727" s="64"/>
      <c r="PC727" s="64"/>
      <c r="PD727" s="64"/>
      <c r="PE727" s="64"/>
      <c r="PF727" s="64"/>
      <c r="PG727" s="64"/>
      <c r="PH727" s="64"/>
      <c r="PI727" s="64"/>
    </row>
    <row r="728" spans="1:425" s="85" customFormat="1" ht="13.25" customHeight="1">
      <c r="A728" s="70"/>
      <c r="B728" s="70"/>
      <c r="C728" s="276" t="s">
        <v>1287</v>
      </c>
      <c r="D728" s="277"/>
      <c r="E728" s="277"/>
      <c r="F728" s="277"/>
      <c r="G728" s="277"/>
      <c r="H728" s="277"/>
      <c r="I728" s="277"/>
      <c r="J728" s="277"/>
      <c r="K728" s="277"/>
      <c r="L728" s="277"/>
      <c r="M728" s="278"/>
      <c r="N728" s="9" t="s">
        <v>1288</v>
      </c>
      <c r="O728" s="109">
        <f>VLOOKUP(N728,Casilleros!$A$4:$Q$830,16,FALSE)</f>
        <v>0</v>
      </c>
      <c r="P728" s="67"/>
      <c r="Q728" s="67"/>
      <c r="R728" s="67"/>
      <c r="S728" s="61" t="str">
        <f t="shared" si="134"/>
        <v>044</v>
      </c>
      <c r="T728" s="64" t="str">
        <f t="shared" si="136"/>
        <v>CONCILIACIÓN TRIBUTARIA</v>
      </c>
      <c r="U728" s="64" t="str">
        <f t="shared" si="137"/>
        <v>_</v>
      </c>
      <c r="V728" s="64" t="str">
        <f t="shared" si="129"/>
        <v>¿Tiene derecho a la reducción de 10% del Impuesto a la Renta a pagar del ejercicio fiscal 2019 para contribuyentes domiciliados a septiembre de 2019 cuya actividad económica principal sea la agrícola, ganadera, agroindustrial y/o turismo en provincias afectadas por la paralización?</v>
      </c>
      <c r="W728" s="64" t="str">
        <f t="shared" si="130"/>
        <v/>
      </c>
      <c r="X728" s="64" t="str">
        <f t="shared" si="138"/>
        <v/>
      </c>
      <c r="Y728" s="64" t="str">
        <f t="shared" si="139"/>
        <v/>
      </c>
      <c r="Z728" s="64" t="str">
        <f t="shared" si="140"/>
        <v/>
      </c>
      <c r="AA728" s="64" t="str">
        <f t="shared" si="135"/>
        <v>¿Tiene derecho a la reducción de 10% del Impuesto a la Renta a pagar del ejercicio fiscal 2019 para contribuyentes domiciliados a septiembre de 2019 cuya actividad económica principal sea la agrícola, ganadera, agroindustrial y/o turismo en provincias afectadas por la paralización?_</v>
      </c>
      <c r="AB728" s="64"/>
      <c r="AC728" s="64"/>
      <c r="AD728" s="64"/>
      <c r="AE728" s="64"/>
      <c r="AF728" s="64"/>
      <c r="AG728" s="64"/>
      <c r="AH728" s="64"/>
      <c r="AI728" s="64"/>
      <c r="AJ728" s="64"/>
      <c r="AK728" s="64"/>
      <c r="AL728" s="64"/>
      <c r="AM728" s="64"/>
      <c r="AN728" s="64"/>
      <c r="AO728" s="64"/>
      <c r="AP728" s="64"/>
      <c r="AQ728" s="64"/>
      <c r="AR728" s="64"/>
      <c r="AS728" s="64"/>
      <c r="AT728" s="64"/>
      <c r="AU728" s="64"/>
      <c r="AV728" s="64"/>
      <c r="AW728" s="64"/>
      <c r="AX728" s="64"/>
      <c r="AY728" s="64"/>
      <c r="AZ728" s="64"/>
      <c r="BA728" s="64"/>
      <c r="BB728" s="64"/>
      <c r="BC728" s="64"/>
      <c r="BD728" s="64"/>
      <c r="BE728" s="64"/>
      <c r="BF728" s="64"/>
      <c r="BG728" s="64"/>
      <c r="BH728" s="64"/>
      <c r="BI728" s="64"/>
      <c r="BJ728" s="64"/>
      <c r="BK728" s="64"/>
      <c r="BL728" s="64"/>
      <c r="BM728" s="64"/>
      <c r="BN728" s="64"/>
      <c r="BO728" s="64"/>
      <c r="BP728" s="64"/>
      <c r="BQ728" s="64"/>
      <c r="BR728" s="64"/>
      <c r="BS728" s="64"/>
      <c r="BT728" s="64"/>
      <c r="BU728" s="64"/>
      <c r="BV728" s="64"/>
      <c r="BW728" s="64"/>
      <c r="BX728" s="64"/>
      <c r="BY728" s="64"/>
      <c r="BZ728" s="64"/>
      <c r="CA728" s="64"/>
      <c r="CB728" s="64"/>
      <c r="CC728" s="64"/>
      <c r="CD728" s="64"/>
      <c r="CE728" s="64"/>
      <c r="CF728" s="64"/>
      <c r="CG728" s="64"/>
      <c r="CH728" s="64"/>
      <c r="CI728" s="64"/>
      <c r="CJ728" s="64"/>
      <c r="CK728" s="64"/>
      <c r="CL728" s="64"/>
      <c r="CM728" s="64"/>
      <c r="CN728" s="64"/>
      <c r="CO728" s="64"/>
      <c r="CP728" s="64"/>
      <c r="CQ728" s="64"/>
      <c r="CR728" s="64"/>
      <c r="CS728" s="64"/>
      <c r="CT728" s="64"/>
      <c r="CU728" s="64"/>
      <c r="CV728" s="64"/>
      <c r="CW728" s="64"/>
      <c r="CX728" s="64"/>
      <c r="CY728" s="64"/>
      <c r="CZ728" s="64"/>
      <c r="DA728" s="64"/>
      <c r="DB728" s="64"/>
      <c r="DC728" s="64"/>
      <c r="DD728" s="64"/>
      <c r="DE728" s="64"/>
      <c r="DF728" s="64"/>
      <c r="DG728" s="64"/>
      <c r="DH728" s="64"/>
      <c r="DI728" s="64"/>
      <c r="DJ728" s="64"/>
      <c r="DK728" s="64"/>
      <c r="DL728" s="64"/>
      <c r="DM728" s="64"/>
      <c r="DN728" s="64"/>
      <c r="DO728" s="64"/>
      <c r="DP728" s="64"/>
      <c r="DQ728" s="64"/>
      <c r="DR728" s="64"/>
      <c r="DS728" s="64"/>
      <c r="DT728" s="64"/>
      <c r="DU728" s="64"/>
      <c r="DV728" s="64"/>
      <c r="DW728" s="64"/>
      <c r="DX728" s="64"/>
      <c r="DY728" s="64"/>
      <c r="DZ728" s="64"/>
      <c r="EA728" s="64"/>
      <c r="EB728" s="64"/>
      <c r="EC728" s="64"/>
      <c r="ED728" s="64"/>
      <c r="EE728" s="64"/>
      <c r="EF728" s="64"/>
      <c r="EG728" s="64"/>
      <c r="EH728" s="64"/>
      <c r="EI728" s="64"/>
      <c r="EJ728" s="64"/>
      <c r="EK728" s="64"/>
      <c r="EL728" s="64"/>
      <c r="EM728" s="64"/>
      <c r="EN728" s="64"/>
      <c r="EO728" s="64"/>
      <c r="EP728" s="64"/>
      <c r="EQ728" s="64"/>
      <c r="ER728" s="64"/>
      <c r="ES728" s="64"/>
      <c r="ET728" s="64"/>
      <c r="EU728" s="64"/>
      <c r="EV728" s="64"/>
      <c r="EW728" s="64"/>
      <c r="EX728" s="64"/>
      <c r="EY728" s="64"/>
      <c r="EZ728" s="64"/>
      <c r="FA728" s="64"/>
      <c r="FB728" s="64"/>
      <c r="FC728" s="64"/>
      <c r="FD728" s="64"/>
      <c r="FE728" s="64"/>
      <c r="FF728" s="64"/>
      <c r="FG728" s="64"/>
      <c r="FH728" s="64"/>
      <c r="FI728" s="64"/>
      <c r="FJ728" s="64"/>
      <c r="FK728" s="64"/>
      <c r="FL728" s="64"/>
      <c r="FM728" s="64"/>
      <c r="FN728" s="64"/>
      <c r="FO728" s="64"/>
      <c r="FP728" s="64"/>
      <c r="FQ728" s="64"/>
      <c r="FR728" s="64"/>
      <c r="FS728" s="64"/>
      <c r="FT728" s="64"/>
      <c r="FU728" s="64"/>
      <c r="FV728" s="64"/>
      <c r="FW728" s="64"/>
      <c r="FX728" s="64"/>
      <c r="FY728" s="64"/>
      <c r="FZ728" s="64"/>
      <c r="GA728" s="64"/>
      <c r="GB728" s="64"/>
      <c r="GC728" s="64"/>
      <c r="GD728" s="64"/>
      <c r="GE728" s="64"/>
      <c r="GF728" s="64"/>
      <c r="GG728" s="64"/>
      <c r="GH728" s="64"/>
      <c r="GI728" s="64"/>
      <c r="GJ728" s="64"/>
      <c r="GK728" s="64"/>
      <c r="GL728" s="64"/>
      <c r="GM728" s="64"/>
      <c r="GN728" s="64"/>
      <c r="GO728" s="64"/>
      <c r="GP728" s="64"/>
      <c r="GQ728" s="64"/>
      <c r="GR728" s="64"/>
      <c r="GS728" s="64"/>
      <c r="GT728" s="64"/>
      <c r="GU728" s="64"/>
      <c r="GV728" s="64"/>
      <c r="GW728" s="64"/>
      <c r="GX728" s="64"/>
      <c r="GY728" s="64"/>
      <c r="GZ728" s="64"/>
      <c r="HA728" s="64"/>
      <c r="HB728" s="64"/>
      <c r="HC728" s="64"/>
      <c r="HD728" s="64"/>
      <c r="HE728" s="64"/>
      <c r="HF728" s="64"/>
      <c r="HG728" s="64"/>
      <c r="HH728" s="64"/>
      <c r="HI728" s="64"/>
      <c r="HJ728" s="64"/>
      <c r="HK728" s="64"/>
      <c r="HL728" s="64"/>
      <c r="HM728" s="64"/>
      <c r="HN728" s="64"/>
      <c r="HO728" s="64"/>
      <c r="HP728" s="64"/>
      <c r="HQ728" s="64"/>
      <c r="HR728" s="64"/>
      <c r="HS728" s="64"/>
      <c r="HT728" s="64"/>
      <c r="HU728" s="64"/>
      <c r="HV728" s="64"/>
      <c r="HW728" s="64"/>
      <c r="HX728" s="64"/>
      <c r="HY728" s="64"/>
      <c r="HZ728" s="64"/>
      <c r="IA728" s="64"/>
      <c r="IB728" s="64"/>
      <c r="IC728" s="64"/>
      <c r="ID728" s="64"/>
      <c r="IE728" s="64"/>
      <c r="IF728" s="64"/>
      <c r="IG728" s="64"/>
      <c r="IH728" s="64"/>
      <c r="II728" s="64"/>
      <c r="IJ728" s="64"/>
      <c r="IK728" s="64"/>
      <c r="IL728" s="64"/>
      <c r="IM728" s="64"/>
      <c r="IN728" s="64"/>
      <c r="IO728" s="64"/>
      <c r="IP728" s="64"/>
      <c r="IQ728" s="64"/>
      <c r="IR728" s="64"/>
      <c r="IS728" s="64"/>
      <c r="IT728" s="64"/>
      <c r="IU728" s="64"/>
      <c r="IV728" s="64"/>
      <c r="IW728" s="64"/>
      <c r="IX728" s="64"/>
      <c r="IY728" s="64"/>
      <c r="IZ728" s="64"/>
      <c r="JA728" s="64"/>
      <c r="JB728" s="64"/>
      <c r="JC728" s="64"/>
      <c r="JD728" s="64"/>
      <c r="JE728" s="64"/>
      <c r="JF728" s="64"/>
      <c r="JG728" s="64"/>
      <c r="JH728" s="64"/>
      <c r="JI728" s="64"/>
      <c r="JJ728" s="64"/>
      <c r="JK728" s="64"/>
      <c r="JL728" s="64"/>
      <c r="JM728" s="64"/>
      <c r="JN728" s="64"/>
      <c r="JO728" s="64"/>
      <c r="JP728" s="64"/>
      <c r="JQ728" s="64"/>
      <c r="JR728" s="64"/>
      <c r="JS728" s="64"/>
      <c r="JT728" s="64"/>
      <c r="JU728" s="64"/>
      <c r="JV728" s="64"/>
      <c r="JW728" s="64"/>
      <c r="JX728" s="64"/>
      <c r="JY728" s="64"/>
      <c r="JZ728" s="64"/>
      <c r="KA728" s="64"/>
      <c r="KB728" s="64"/>
      <c r="KC728" s="64"/>
      <c r="KD728" s="64"/>
      <c r="KE728" s="64"/>
      <c r="KF728" s="64"/>
      <c r="KG728" s="64"/>
      <c r="KH728" s="64"/>
      <c r="KI728" s="64"/>
      <c r="KJ728" s="64"/>
      <c r="KK728" s="64"/>
      <c r="KL728" s="64"/>
      <c r="KM728" s="64"/>
      <c r="KN728" s="64"/>
      <c r="KO728" s="64"/>
      <c r="KP728" s="64"/>
      <c r="KQ728" s="64"/>
      <c r="KR728" s="64"/>
      <c r="KS728" s="64"/>
      <c r="KT728" s="64"/>
      <c r="KU728" s="64"/>
      <c r="KV728" s="64"/>
      <c r="KW728" s="64"/>
      <c r="KX728" s="64"/>
      <c r="KY728" s="64"/>
      <c r="KZ728" s="64"/>
      <c r="LA728" s="64"/>
      <c r="LB728" s="64"/>
      <c r="LC728" s="64"/>
      <c r="LD728" s="64"/>
      <c r="LE728" s="64"/>
      <c r="LF728" s="64"/>
      <c r="LG728" s="64"/>
      <c r="LH728" s="64"/>
      <c r="LI728" s="64"/>
      <c r="LJ728" s="64"/>
      <c r="LK728" s="64"/>
      <c r="LL728" s="64"/>
      <c r="LM728" s="64"/>
      <c r="LN728" s="64"/>
      <c r="LO728" s="64"/>
      <c r="LP728" s="64"/>
      <c r="LQ728" s="64"/>
      <c r="LR728" s="64"/>
      <c r="LS728" s="64"/>
      <c r="LT728" s="64"/>
      <c r="LU728" s="64"/>
      <c r="LV728" s="64"/>
      <c r="LW728" s="64"/>
      <c r="LX728" s="64"/>
      <c r="LY728" s="64"/>
      <c r="LZ728" s="64"/>
      <c r="MA728" s="64"/>
      <c r="MB728" s="64"/>
      <c r="MC728" s="64"/>
      <c r="MD728" s="64"/>
      <c r="ME728" s="64"/>
      <c r="MF728" s="64"/>
      <c r="MG728" s="64"/>
      <c r="MH728" s="64"/>
      <c r="MI728" s="64"/>
      <c r="MJ728" s="64"/>
      <c r="MK728" s="64"/>
      <c r="ML728" s="64"/>
      <c r="MM728" s="64"/>
      <c r="MN728" s="64"/>
      <c r="MO728" s="64"/>
      <c r="MP728" s="64"/>
      <c r="MQ728" s="64"/>
      <c r="MR728" s="64"/>
      <c r="MS728" s="64"/>
      <c r="MT728" s="64"/>
      <c r="MU728" s="64"/>
      <c r="MV728" s="64"/>
      <c r="MW728" s="64"/>
      <c r="MX728" s="64"/>
      <c r="MY728" s="64"/>
      <c r="MZ728" s="64"/>
      <c r="NA728" s="64"/>
      <c r="NB728" s="64"/>
      <c r="NC728" s="64"/>
      <c r="ND728" s="64"/>
      <c r="NE728" s="64"/>
      <c r="NF728" s="64"/>
      <c r="NG728" s="64"/>
      <c r="NH728" s="64"/>
      <c r="NI728" s="64"/>
      <c r="NJ728" s="64"/>
      <c r="NK728" s="64"/>
      <c r="NL728" s="64"/>
      <c r="NM728" s="64"/>
      <c r="NN728" s="64"/>
      <c r="NO728" s="64"/>
      <c r="NP728" s="64"/>
      <c r="NQ728" s="64"/>
      <c r="NR728" s="64"/>
      <c r="NS728" s="64"/>
      <c r="NT728" s="64"/>
      <c r="NU728" s="64"/>
      <c r="NV728" s="64"/>
      <c r="NW728" s="64"/>
      <c r="NX728" s="64"/>
      <c r="NY728" s="64"/>
      <c r="NZ728" s="64"/>
      <c r="OA728" s="64"/>
      <c r="OB728" s="64"/>
      <c r="OC728" s="64"/>
      <c r="OD728" s="64"/>
      <c r="OE728" s="64"/>
      <c r="OF728" s="64"/>
      <c r="OG728" s="64"/>
      <c r="OH728" s="64"/>
      <c r="OI728" s="64"/>
      <c r="OJ728" s="64"/>
      <c r="OK728" s="64"/>
      <c r="OL728" s="64"/>
      <c r="OM728" s="64"/>
      <c r="ON728" s="64"/>
      <c r="OO728" s="64"/>
      <c r="OP728" s="64"/>
      <c r="OQ728" s="64"/>
      <c r="OR728" s="64"/>
      <c r="OS728" s="64"/>
      <c r="OT728" s="64"/>
      <c r="OU728" s="64"/>
      <c r="OV728" s="64"/>
      <c r="OW728" s="64"/>
      <c r="OX728" s="64"/>
      <c r="OY728" s="64"/>
      <c r="OZ728" s="64"/>
      <c r="PA728" s="64"/>
      <c r="PB728" s="64"/>
      <c r="PC728" s="64"/>
      <c r="PD728" s="64"/>
      <c r="PE728" s="64"/>
      <c r="PF728" s="64"/>
      <c r="PG728" s="64"/>
      <c r="PH728" s="64"/>
      <c r="PI728" s="64"/>
    </row>
    <row r="729" spans="1:425" s="85" customFormat="1" ht="13.25" customHeight="1">
      <c r="A729" s="70"/>
      <c r="B729" s="70"/>
      <c r="C729" s="276" t="s">
        <v>1289</v>
      </c>
      <c r="D729" s="277"/>
      <c r="E729" s="277"/>
      <c r="F729" s="277"/>
      <c r="G729" s="277"/>
      <c r="H729" s="277"/>
      <c r="I729" s="277"/>
      <c r="J729" s="277"/>
      <c r="K729" s="277"/>
      <c r="L729" s="277"/>
      <c r="M729" s="278"/>
      <c r="N729" s="9" t="s">
        <v>1290</v>
      </c>
      <c r="O729" s="116">
        <f>VLOOKUP(N729,Casilleros!$A$4:$Q$830,16,FALSE)</f>
        <v>0</v>
      </c>
      <c r="P729" s="67"/>
      <c r="Q729" s="67"/>
      <c r="R729" s="67"/>
      <c r="S729" s="61" t="str">
        <f t="shared" si="134"/>
        <v>045</v>
      </c>
      <c r="T729" s="64" t="str">
        <f t="shared" si="136"/>
        <v>CONCILIACIÓN TRIBUTARIA</v>
      </c>
      <c r="U729" s="64" t="str">
        <f t="shared" si="137"/>
        <v>_</v>
      </c>
      <c r="V729" s="64" t="str">
        <f t="shared" si="129"/>
        <v>(-) Reducción de 10% del Impuesto a la Renta del ejercicio fiscal 2019 para contribuyentes domiciliados a septiembre de 2019 cuya actividad económica principal sea la agrícola, ganadera, agroindustrial y/o turismo en las provincias afectadas por la paralización</v>
      </c>
      <c r="W729" s="64" t="str">
        <f t="shared" si="130"/>
        <v/>
      </c>
      <c r="X729" s="64" t="str">
        <f t="shared" si="138"/>
        <v/>
      </c>
      <c r="Y729" s="64" t="str">
        <f t="shared" si="139"/>
        <v/>
      </c>
      <c r="Z729" s="64" t="str">
        <f t="shared" si="140"/>
        <v/>
      </c>
      <c r="AA729" s="64" t="str">
        <f t="shared" si="135"/>
        <v>(-) Reducción de 10% del Impuesto a la Renta del ejercicio fiscal 2019 para contribuyentes domiciliados a septiembre de 2019 cuya actividad económica principal sea la agrícola, ganadera, agroindustrial y/o turismo en las provincias afectadas por la paralización_</v>
      </c>
      <c r="AB729" s="64"/>
      <c r="AC729" s="64"/>
      <c r="AD729" s="64"/>
      <c r="AE729" s="64"/>
      <c r="AF729" s="64"/>
      <c r="AG729" s="64"/>
      <c r="AH729" s="64"/>
      <c r="AI729" s="64"/>
      <c r="AJ729" s="64"/>
      <c r="AK729" s="64"/>
      <c r="AL729" s="64"/>
      <c r="AM729" s="64"/>
      <c r="AN729" s="64"/>
      <c r="AO729" s="64"/>
      <c r="AP729" s="64"/>
      <c r="AQ729" s="64"/>
      <c r="AR729" s="64"/>
      <c r="AS729" s="64"/>
      <c r="AT729" s="64"/>
      <c r="AU729" s="64"/>
      <c r="AV729" s="64"/>
      <c r="AW729" s="64"/>
      <c r="AX729" s="64"/>
      <c r="AY729" s="64"/>
      <c r="AZ729" s="64"/>
      <c r="BA729" s="64"/>
      <c r="BB729" s="64"/>
      <c r="BC729" s="64"/>
      <c r="BD729" s="64"/>
      <c r="BE729" s="64"/>
      <c r="BF729" s="64"/>
      <c r="BG729" s="64"/>
      <c r="BH729" s="64"/>
      <c r="BI729" s="64"/>
      <c r="BJ729" s="64"/>
      <c r="BK729" s="64"/>
      <c r="BL729" s="64"/>
      <c r="BM729" s="64"/>
      <c r="BN729" s="64"/>
      <c r="BO729" s="64"/>
      <c r="BP729" s="64"/>
      <c r="BQ729" s="64"/>
      <c r="BR729" s="64"/>
      <c r="BS729" s="64"/>
      <c r="BT729" s="64"/>
      <c r="BU729" s="64"/>
      <c r="BV729" s="64"/>
      <c r="BW729" s="64"/>
      <c r="BX729" s="64"/>
      <c r="BY729" s="64"/>
      <c r="BZ729" s="64"/>
      <c r="CA729" s="64"/>
      <c r="CB729" s="64"/>
      <c r="CC729" s="64"/>
      <c r="CD729" s="64"/>
      <c r="CE729" s="64"/>
      <c r="CF729" s="64"/>
      <c r="CG729" s="64"/>
      <c r="CH729" s="64"/>
      <c r="CI729" s="64"/>
      <c r="CJ729" s="64"/>
      <c r="CK729" s="64"/>
      <c r="CL729" s="64"/>
      <c r="CM729" s="64"/>
      <c r="CN729" s="64"/>
      <c r="CO729" s="64"/>
      <c r="CP729" s="64"/>
      <c r="CQ729" s="64"/>
      <c r="CR729" s="64"/>
      <c r="CS729" s="64"/>
      <c r="CT729" s="64"/>
      <c r="CU729" s="64"/>
      <c r="CV729" s="64"/>
      <c r="CW729" s="64"/>
      <c r="CX729" s="64"/>
      <c r="CY729" s="64"/>
      <c r="CZ729" s="64"/>
      <c r="DA729" s="64"/>
      <c r="DB729" s="64"/>
      <c r="DC729" s="64"/>
      <c r="DD729" s="64"/>
      <c r="DE729" s="64"/>
      <c r="DF729" s="64"/>
      <c r="DG729" s="64"/>
      <c r="DH729" s="64"/>
      <c r="DI729" s="64"/>
      <c r="DJ729" s="64"/>
      <c r="DK729" s="64"/>
      <c r="DL729" s="64"/>
      <c r="DM729" s="64"/>
      <c r="DN729" s="64"/>
      <c r="DO729" s="64"/>
      <c r="DP729" s="64"/>
      <c r="DQ729" s="64"/>
      <c r="DR729" s="64"/>
      <c r="DS729" s="64"/>
      <c r="DT729" s="64"/>
      <c r="DU729" s="64"/>
      <c r="DV729" s="64"/>
      <c r="DW729" s="64"/>
      <c r="DX729" s="64"/>
      <c r="DY729" s="64"/>
      <c r="DZ729" s="64"/>
      <c r="EA729" s="64"/>
      <c r="EB729" s="64"/>
      <c r="EC729" s="64"/>
      <c r="ED729" s="64"/>
      <c r="EE729" s="64"/>
      <c r="EF729" s="64"/>
      <c r="EG729" s="64"/>
      <c r="EH729" s="64"/>
      <c r="EI729" s="64"/>
      <c r="EJ729" s="64"/>
      <c r="EK729" s="64"/>
      <c r="EL729" s="64"/>
      <c r="EM729" s="64"/>
      <c r="EN729" s="64"/>
      <c r="EO729" s="64"/>
      <c r="EP729" s="64"/>
      <c r="EQ729" s="64"/>
      <c r="ER729" s="64"/>
      <c r="ES729" s="64"/>
      <c r="ET729" s="64"/>
      <c r="EU729" s="64"/>
      <c r="EV729" s="64"/>
      <c r="EW729" s="64"/>
      <c r="EX729" s="64"/>
      <c r="EY729" s="64"/>
      <c r="EZ729" s="64"/>
      <c r="FA729" s="64"/>
      <c r="FB729" s="64"/>
      <c r="FC729" s="64"/>
      <c r="FD729" s="64"/>
      <c r="FE729" s="64"/>
      <c r="FF729" s="64"/>
      <c r="FG729" s="64"/>
      <c r="FH729" s="64"/>
      <c r="FI729" s="64"/>
      <c r="FJ729" s="64"/>
      <c r="FK729" s="64"/>
      <c r="FL729" s="64"/>
      <c r="FM729" s="64"/>
      <c r="FN729" s="64"/>
      <c r="FO729" s="64"/>
      <c r="FP729" s="64"/>
      <c r="FQ729" s="64"/>
      <c r="FR729" s="64"/>
      <c r="FS729" s="64"/>
      <c r="FT729" s="64"/>
      <c r="FU729" s="64"/>
      <c r="FV729" s="64"/>
      <c r="FW729" s="64"/>
      <c r="FX729" s="64"/>
      <c r="FY729" s="64"/>
      <c r="FZ729" s="64"/>
      <c r="GA729" s="64"/>
      <c r="GB729" s="64"/>
      <c r="GC729" s="64"/>
      <c r="GD729" s="64"/>
      <c r="GE729" s="64"/>
      <c r="GF729" s="64"/>
      <c r="GG729" s="64"/>
      <c r="GH729" s="64"/>
      <c r="GI729" s="64"/>
      <c r="GJ729" s="64"/>
      <c r="GK729" s="64"/>
      <c r="GL729" s="64"/>
      <c r="GM729" s="64"/>
      <c r="GN729" s="64"/>
      <c r="GO729" s="64"/>
      <c r="GP729" s="64"/>
      <c r="GQ729" s="64"/>
      <c r="GR729" s="64"/>
      <c r="GS729" s="64"/>
      <c r="GT729" s="64"/>
      <c r="GU729" s="64"/>
      <c r="GV729" s="64"/>
      <c r="GW729" s="64"/>
      <c r="GX729" s="64"/>
      <c r="GY729" s="64"/>
      <c r="GZ729" s="64"/>
      <c r="HA729" s="64"/>
      <c r="HB729" s="64"/>
      <c r="HC729" s="64"/>
      <c r="HD729" s="64"/>
      <c r="HE729" s="64"/>
      <c r="HF729" s="64"/>
      <c r="HG729" s="64"/>
      <c r="HH729" s="64"/>
      <c r="HI729" s="64"/>
      <c r="HJ729" s="64"/>
      <c r="HK729" s="64"/>
      <c r="HL729" s="64"/>
      <c r="HM729" s="64"/>
      <c r="HN729" s="64"/>
      <c r="HO729" s="64"/>
      <c r="HP729" s="64"/>
      <c r="HQ729" s="64"/>
      <c r="HR729" s="64"/>
      <c r="HS729" s="64"/>
      <c r="HT729" s="64"/>
      <c r="HU729" s="64"/>
      <c r="HV729" s="64"/>
      <c r="HW729" s="64"/>
      <c r="HX729" s="64"/>
      <c r="HY729" s="64"/>
      <c r="HZ729" s="64"/>
      <c r="IA729" s="64"/>
      <c r="IB729" s="64"/>
      <c r="IC729" s="64"/>
      <c r="ID729" s="64"/>
      <c r="IE729" s="64"/>
      <c r="IF729" s="64"/>
      <c r="IG729" s="64"/>
      <c r="IH729" s="64"/>
      <c r="II729" s="64"/>
      <c r="IJ729" s="64"/>
      <c r="IK729" s="64"/>
      <c r="IL729" s="64"/>
      <c r="IM729" s="64"/>
      <c r="IN729" s="64"/>
      <c r="IO729" s="64"/>
      <c r="IP729" s="64"/>
      <c r="IQ729" s="64"/>
      <c r="IR729" s="64"/>
      <c r="IS729" s="64"/>
      <c r="IT729" s="64"/>
      <c r="IU729" s="64"/>
      <c r="IV729" s="64"/>
      <c r="IW729" s="64"/>
      <c r="IX729" s="64"/>
      <c r="IY729" s="64"/>
      <c r="IZ729" s="64"/>
      <c r="JA729" s="64"/>
      <c r="JB729" s="64"/>
      <c r="JC729" s="64"/>
      <c r="JD729" s="64"/>
      <c r="JE729" s="64"/>
      <c r="JF729" s="64"/>
      <c r="JG729" s="64"/>
      <c r="JH729" s="64"/>
      <c r="JI729" s="64"/>
      <c r="JJ729" s="64"/>
      <c r="JK729" s="64"/>
      <c r="JL729" s="64"/>
      <c r="JM729" s="64"/>
      <c r="JN729" s="64"/>
      <c r="JO729" s="64"/>
      <c r="JP729" s="64"/>
      <c r="JQ729" s="64"/>
      <c r="JR729" s="64"/>
      <c r="JS729" s="64"/>
      <c r="JT729" s="64"/>
      <c r="JU729" s="64"/>
      <c r="JV729" s="64"/>
      <c r="JW729" s="64"/>
      <c r="JX729" s="64"/>
      <c r="JY729" s="64"/>
      <c r="JZ729" s="64"/>
      <c r="KA729" s="64"/>
      <c r="KB729" s="64"/>
      <c r="KC729" s="64"/>
      <c r="KD729" s="64"/>
      <c r="KE729" s="64"/>
      <c r="KF729" s="64"/>
      <c r="KG729" s="64"/>
      <c r="KH729" s="64"/>
      <c r="KI729" s="64"/>
      <c r="KJ729" s="64"/>
      <c r="KK729" s="64"/>
      <c r="KL729" s="64"/>
      <c r="KM729" s="64"/>
      <c r="KN729" s="64"/>
      <c r="KO729" s="64"/>
      <c r="KP729" s="64"/>
      <c r="KQ729" s="64"/>
      <c r="KR729" s="64"/>
      <c r="KS729" s="64"/>
      <c r="KT729" s="64"/>
      <c r="KU729" s="64"/>
      <c r="KV729" s="64"/>
      <c r="KW729" s="64"/>
      <c r="KX729" s="64"/>
      <c r="KY729" s="64"/>
      <c r="KZ729" s="64"/>
      <c r="LA729" s="64"/>
      <c r="LB729" s="64"/>
      <c r="LC729" s="64"/>
      <c r="LD729" s="64"/>
      <c r="LE729" s="64"/>
      <c r="LF729" s="64"/>
      <c r="LG729" s="64"/>
      <c r="LH729" s="64"/>
      <c r="LI729" s="64"/>
      <c r="LJ729" s="64"/>
      <c r="LK729" s="64"/>
      <c r="LL729" s="64"/>
      <c r="LM729" s="64"/>
      <c r="LN729" s="64"/>
      <c r="LO729" s="64"/>
      <c r="LP729" s="64"/>
      <c r="LQ729" s="64"/>
      <c r="LR729" s="64"/>
      <c r="LS729" s="64"/>
      <c r="LT729" s="64"/>
      <c r="LU729" s="64"/>
      <c r="LV729" s="64"/>
      <c r="LW729" s="64"/>
      <c r="LX729" s="64"/>
      <c r="LY729" s="64"/>
      <c r="LZ729" s="64"/>
      <c r="MA729" s="64"/>
      <c r="MB729" s="64"/>
      <c r="MC729" s="64"/>
      <c r="MD729" s="64"/>
      <c r="ME729" s="64"/>
      <c r="MF729" s="64"/>
      <c r="MG729" s="64"/>
      <c r="MH729" s="64"/>
      <c r="MI729" s="64"/>
      <c r="MJ729" s="64"/>
      <c r="MK729" s="64"/>
      <c r="ML729" s="64"/>
      <c r="MM729" s="64"/>
      <c r="MN729" s="64"/>
      <c r="MO729" s="64"/>
      <c r="MP729" s="64"/>
      <c r="MQ729" s="64"/>
      <c r="MR729" s="64"/>
      <c r="MS729" s="64"/>
      <c r="MT729" s="64"/>
      <c r="MU729" s="64"/>
      <c r="MV729" s="64"/>
      <c r="MW729" s="64"/>
      <c r="MX729" s="64"/>
      <c r="MY729" s="64"/>
      <c r="MZ729" s="64"/>
      <c r="NA729" s="64"/>
      <c r="NB729" s="64"/>
      <c r="NC729" s="64"/>
      <c r="ND729" s="64"/>
      <c r="NE729" s="64"/>
      <c r="NF729" s="64"/>
      <c r="NG729" s="64"/>
      <c r="NH729" s="64"/>
      <c r="NI729" s="64"/>
      <c r="NJ729" s="64"/>
      <c r="NK729" s="64"/>
      <c r="NL729" s="64"/>
      <c r="NM729" s="64"/>
      <c r="NN729" s="64"/>
      <c r="NO729" s="64"/>
      <c r="NP729" s="64"/>
      <c r="NQ729" s="64"/>
      <c r="NR729" s="64"/>
      <c r="NS729" s="64"/>
      <c r="NT729" s="64"/>
      <c r="NU729" s="64"/>
      <c r="NV729" s="64"/>
      <c r="NW729" s="64"/>
      <c r="NX729" s="64"/>
      <c r="NY729" s="64"/>
      <c r="NZ729" s="64"/>
      <c r="OA729" s="64"/>
      <c r="OB729" s="64"/>
      <c r="OC729" s="64"/>
      <c r="OD729" s="64"/>
      <c r="OE729" s="64"/>
      <c r="OF729" s="64"/>
      <c r="OG729" s="64"/>
      <c r="OH729" s="64"/>
      <c r="OI729" s="64"/>
      <c r="OJ729" s="64"/>
      <c r="OK729" s="64"/>
      <c r="OL729" s="64"/>
      <c r="OM729" s="64"/>
      <c r="ON729" s="64"/>
      <c r="OO729" s="64"/>
      <c r="OP729" s="64"/>
      <c r="OQ729" s="64"/>
      <c r="OR729" s="64"/>
      <c r="OS729" s="64"/>
      <c r="OT729" s="64"/>
      <c r="OU729" s="64"/>
      <c r="OV729" s="64"/>
      <c r="OW729" s="64"/>
      <c r="OX729" s="64"/>
      <c r="OY729" s="64"/>
      <c r="OZ729" s="64"/>
      <c r="PA729" s="64"/>
      <c r="PB729" s="64"/>
      <c r="PC729" s="64"/>
      <c r="PD729" s="64"/>
      <c r="PE729" s="64"/>
      <c r="PF729" s="64"/>
      <c r="PG729" s="64"/>
      <c r="PH729" s="64"/>
      <c r="PI729" s="64"/>
    </row>
    <row r="730" spans="1:425" s="90" customFormat="1">
      <c r="A730" s="89"/>
      <c r="B730" s="89"/>
      <c r="C730" s="273" t="s">
        <v>1291</v>
      </c>
      <c r="D730" s="274"/>
      <c r="E730" s="274"/>
      <c r="F730" s="274"/>
      <c r="G730" s="274"/>
      <c r="H730" s="274"/>
      <c r="I730" s="274"/>
      <c r="J730" s="274"/>
      <c r="K730" s="274"/>
      <c r="L730" s="274"/>
      <c r="M730" s="275"/>
      <c r="N730" s="9" t="s">
        <v>1292</v>
      </c>
      <c r="O730" s="116">
        <f>VLOOKUP(N730,Casilleros!$A$4:$Q$830,16,FALSE)</f>
        <v>0</v>
      </c>
      <c r="P730" s="67"/>
      <c r="Q730" s="67"/>
      <c r="R730" s="67"/>
      <c r="S730" s="61" t="str">
        <f t="shared" si="134"/>
        <v>048</v>
      </c>
      <c r="T730" s="64" t="str">
        <f t="shared" si="136"/>
        <v>CONCILIACIÓN TRIBUTARIA</v>
      </c>
      <c r="U730" s="64" t="str">
        <f t="shared" si="137"/>
        <v>_</v>
      </c>
      <c r="V730" s="64" t="str">
        <f t="shared" si="129"/>
        <v>(-) Valor del beneficio en impuesto de una sociedad que dispone de un contrato de inversión con estabilidad en la tarifa de Impuesto a la Renta, de acuerdo a lo señalado en el COPCI</v>
      </c>
      <c r="W730" s="64" t="str">
        <f t="shared" si="130"/>
        <v/>
      </c>
      <c r="X730" s="64" t="str">
        <f t="shared" si="138"/>
        <v/>
      </c>
      <c r="Y730" s="64" t="str">
        <f t="shared" si="139"/>
        <v/>
      </c>
      <c r="Z730" s="64" t="str">
        <f t="shared" si="140"/>
        <v/>
      </c>
      <c r="AA730" s="64" t="str">
        <f t="shared" si="135"/>
        <v>(-) Valor del beneficio en impuesto de una sociedad que dispone de un contrato de inversión con estabilidad en la tarifa de Impuesto a la Renta, de acuerdo a lo señalado en el COPCI_</v>
      </c>
      <c r="AB730" s="64"/>
      <c r="AC730" s="64"/>
      <c r="AD730" s="64"/>
      <c r="AE730" s="64"/>
      <c r="AF730" s="64"/>
      <c r="AG730" s="64"/>
      <c r="AH730" s="64"/>
      <c r="AI730" s="64"/>
      <c r="AJ730" s="64"/>
      <c r="AK730" s="64"/>
      <c r="AL730" s="64"/>
      <c r="AM730" s="64"/>
      <c r="AN730" s="64"/>
      <c r="AO730" s="64"/>
      <c r="AP730" s="64"/>
      <c r="AQ730" s="64"/>
      <c r="AR730" s="64"/>
      <c r="AS730" s="64"/>
      <c r="AT730" s="64"/>
      <c r="AU730" s="64"/>
      <c r="AV730" s="64"/>
      <c r="AW730" s="64"/>
      <c r="AX730" s="64"/>
      <c r="AY730" s="64"/>
      <c r="AZ730" s="64"/>
      <c r="BA730" s="64"/>
      <c r="BB730" s="64"/>
      <c r="BC730" s="64"/>
      <c r="BD730" s="64"/>
      <c r="BE730" s="64"/>
      <c r="BF730" s="64"/>
      <c r="BG730" s="64"/>
      <c r="BH730" s="64"/>
      <c r="BI730" s="64"/>
      <c r="BJ730" s="64"/>
      <c r="BK730" s="64"/>
      <c r="BL730" s="64"/>
      <c r="BM730" s="64"/>
      <c r="BN730" s="64"/>
      <c r="BO730" s="64"/>
      <c r="BP730" s="64"/>
      <c r="BQ730" s="64"/>
      <c r="BR730" s="64"/>
      <c r="BS730" s="64"/>
      <c r="BT730" s="64"/>
      <c r="BU730" s="64"/>
      <c r="BV730" s="64"/>
      <c r="BW730" s="64"/>
      <c r="BX730" s="64"/>
      <c r="BY730" s="64"/>
      <c r="BZ730" s="64"/>
      <c r="CA730" s="64"/>
      <c r="CB730" s="64"/>
      <c r="CC730" s="64"/>
      <c r="CD730" s="64"/>
      <c r="CE730" s="64"/>
      <c r="CF730" s="64"/>
      <c r="CG730" s="64"/>
      <c r="CH730" s="64"/>
      <c r="CI730" s="64"/>
      <c r="CJ730" s="64"/>
      <c r="CK730" s="64"/>
      <c r="CL730" s="64"/>
      <c r="CM730" s="64"/>
      <c r="CN730" s="64"/>
      <c r="CO730" s="64"/>
      <c r="CP730" s="64"/>
      <c r="CQ730" s="64"/>
      <c r="CR730" s="64"/>
      <c r="CS730" s="64"/>
      <c r="CT730" s="64"/>
      <c r="CU730" s="64"/>
      <c r="CV730" s="64"/>
      <c r="CW730" s="64"/>
      <c r="CX730" s="64"/>
      <c r="CY730" s="64"/>
      <c r="CZ730" s="64"/>
      <c r="DA730" s="64"/>
      <c r="DB730" s="64"/>
      <c r="DC730" s="64"/>
      <c r="DD730" s="64"/>
      <c r="DE730" s="64"/>
      <c r="DF730" s="64"/>
      <c r="DG730" s="64"/>
      <c r="DH730" s="64"/>
      <c r="DI730" s="64"/>
      <c r="DJ730" s="64"/>
      <c r="DK730" s="64"/>
      <c r="DL730" s="64"/>
      <c r="DM730" s="64"/>
      <c r="DN730" s="64"/>
      <c r="DO730" s="64"/>
      <c r="DP730" s="64"/>
      <c r="DQ730" s="64"/>
      <c r="DR730" s="64"/>
      <c r="DS730" s="64"/>
      <c r="DT730" s="64"/>
      <c r="DU730" s="64"/>
      <c r="DV730" s="64"/>
      <c r="DW730" s="64"/>
      <c r="DX730" s="64"/>
      <c r="DY730" s="64"/>
      <c r="DZ730" s="64"/>
      <c r="EA730" s="64"/>
      <c r="EB730" s="64"/>
      <c r="EC730" s="64"/>
      <c r="ED730" s="64"/>
      <c r="EE730" s="64"/>
      <c r="EF730" s="64"/>
      <c r="EG730" s="64"/>
      <c r="EH730" s="64"/>
      <c r="EI730" s="64"/>
      <c r="EJ730" s="64"/>
      <c r="EK730" s="64"/>
      <c r="EL730" s="64"/>
      <c r="EM730" s="64"/>
      <c r="EN730" s="64"/>
      <c r="EO730" s="64"/>
      <c r="EP730" s="64"/>
      <c r="EQ730" s="64"/>
      <c r="ER730" s="64"/>
      <c r="ES730" s="64"/>
      <c r="ET730" s="64"/>
      <c r="EU730" s="64"/>
      <c r="EV730" s="64"/>
      <c r="EW730" s="64"/>
      <c r="EX730" s="64"/>
      <c r="EY730" s="64"/>
      <c r="EZ730" s="64"/>
      <c r="FA730" s="64"/>
      <c r="FB730" s="64"/>
      <c r="FC730" s="64"/>
      <c r="FD730" s="64"/>
      <c r="FE730" s="64"/>
      <c r="FF730" s="64"/>
      <c r="FG730" s="64"/>
      <c r="FH730" s="64"/>
      <c r="FI730" s="64"/>
      <c r="FJ730" s="64"/>
      <c r="FK730" s="64"/>
      <c r="FL730" s="64"/>
      <c r="FM730" s="64"/>
      <c r="FN730" s="64"/>
      <c r="FO730" s="64"/>
      <c r="FP730" s="64"/>
      <c r="FQ730" s="64"/>
      <c r="FR730" s="64"/>
      <c r="FS730" s="64"/>
      <c r="FT730" s="64"/>
      <c r="FU730" s="64"/>
      <c r="FV730" s="64"/>
      <c r="FW730" s="64"/>
      <c r="FX730" s="64"/>
      <c r="FY730" s="64"/>
      <c r="FZ730" s="64"/>
      <c r="GA730" s="64"/>
      <c r="GB730" s="64"/>
      <c r="GC730" s="64"/>
      <c r="GD730" s="64"/>
      <c r="GE730" s="64"/>
      <c r="GF730" s="64"/>
      <c r="GG730" s="64"/>
      <c r="GH730" s="64"/>
      <c r="GI730" s="64"/>
      <c r="GJ730" s="64"/>
      <c r="GK730" s="64"/>
      <c r="GL730" s="64"/>
      <c r="GM730" s="64"/>
      <c r="GN730" s="64"/>
      <c r="GO730" s="64"/>
      <c r="GP730" s="64"/>
      <c r="GQ730" s="64"/>
      <c r="GR730" s="64"/>
      <c r="GS730" s="64"/>
      <c r="GT730" s="64"/>
      <c r="GU730" s="64"/>
      <c r="GV730" s="64"/>
      <c r="GW730" s="64"/>
      <c r="GX730" s="64"/>
      <c r="GY730" s="64"/>
      <c r="GZ730" s="64"/>
      <c r="HA730" s="64"/>
      <c r="HB730" s="64"/>
      <c r="HC730" s="64"/>
      <c r="HD730" s="64"/>
      <c r="HE730" s="64"/>
      <c r="HF730" s="64"/>
      <c r="HG730" s="64"/>
      <c r="HH730" s="64"/>
      <c r="HI730" s="64"/>
      <c r="HJ730" s="64"/>
      <c r="HK730" s="64"/>
      <c r="HL730" s="64"/>
      <c r="HM730" s="64"/>
      <c r="HN730" s="64"/>
      <c r="HO730" s="64"/>
      <c r="HP730" s="64"/>
      <c r="HQ730" s="64"/>
      <c r="HR730" s="64"/>
      <c r="HS730" s="64"/>
      <c r="HT730" s="64"/>
      <c r="HU730" s="64"/>
      <c r="HV730" s="64"/>
      <c r="HW730" s="64"/>
      <c r="HX730" s="64"/>
      <c r="HY730" s="64"/>
      <c r="HZ730" s="64"/>
      <c r="IA730" s="64"/>
      <c r="IB730" s="64"/>
      <c r="IC730" s="64"/>
      <c r="ID730" s="64"/>
      <c r="IE730" s="64"/>
      <c r="IF730" s="64"/>
      <c r="IG730" s="64"/>
      <c r="IH730" s="64"/>
      <c r="II730" s="64"/>
      <c r="IJ730" s="64"/>
      <c r="IK730" s="64"/>
      <c r="IL730" s="64"/>
      <c r="IM730" s="64"/>
      <c r="IN730" s="64"/>
      <c r="IO730" s="64"/>
      <c r="IP730" s="64"/>
      <c r="IQ730" s="64"/>
      <c r="IR730" s="64"/>
      <c r="IS730" s="64"/>
      <c r="IT730" s="64"/>
      <c r="IU730" s="64"/>
      <c r="IV730" s="64"/>
      <c r="IW730" s="64"/>
      <c r="IX730" s="64"/>
      <c r="IY730" s="64"/>
      <c r="IZ730" s="64"/>
      <c r="JA730" s="64"/>
      <c r="JB730" s="64"/>
      <c r="JC730" s="64"/>
      <c r="JD730" s="64"/>
      <c r="JE730" s="64"/>
      <c r="JF730" s="64"/>
      <c r="JG730" s="64"/>
      <c r="JH730" s="64"/>
      <c r="JI730" s="64"/>
      <c r="JJ730" s="64"/>
      <c r="JK730" s="64"/>
      <c r="JL730" s="64"/>
      <c r="JM730" s="64"/>
      <c r="JN730" s="64"/>
      <c r="JO730" s="64"/>
      <c r="JP730" s="64"/>
      <c r="JQ730" s="64"/>
      <c r="JR730" s="64"/>
      <c r="JS730" s="64"/>
      <c r="JT730" s="64"/>
      <c r="JU730" s="64"/>
      <c r="JV730" s="64"/>
      <c r="JW730" s="64"/>
      <c r="JX730" s="64"/>
      <c r="JY730" s="64"/>
      <c r="JZ730" s="64"/>
      <c r="KA730" s="64"/>
      <c r="KB730" s="64"/>
      <c r="KC730" s="64"/>
      <c r="KD730" s="64"/>
      <c r="KE730" s="64"/>
      <c r="KF730" s="64"/>
      <c r="KG730" s="64"/>
      <c r="KH730" s="64"/>
      <c r="KI730" s="64"/>
      <c r="KJ730" s="64"/>
      <c r="KK730" s="64"/>
      <c r="KL730" s="64"/>
      <c r="KM730" s="64"/>
      <c r="KN730" s="64"/>
      <c r="KO730" s="64"/>
      <c r="KP730" s="64"/>
      <c r="KQ730" s="64"/>
      <c r="KR730" s="64"/>
      <c r="KS730" s="64"/>
      <c r="KT730" s="64"/>
      <c r="KU730" s="64"/>
      <c r="KV730" s="64"/>
      <c r="KW730" s="64"/>
      <c r="KX730" s="64"/>
      <c r="KY730" s="64"/>
      <c r="KZ730" s="64"/>
      <c r="LA730" s="64"/>
      <c r="LB730" s="64"/>
      <c r="LC730" s="64"/>
      <c r="LD730" s="64"/>
      <c r="LE730" s="64"/>
      <c r="LF730" s="64"/>
      <c r="LG730" s="64"/>
      <c r="LH730" s="64"/>
      <c r="LI730" s="64"/>
      <c r="LJ730" s="64"/>
      <c r="LK730" s="64"/>
      <c r="LL730" s="64"/>
      <c r="LM730" s="64"/>
      <c r="LN730" s="64"/>
      <c r="LO730" s="64"/>
      <c r="LP730" s="64"/>
      <c r="LQ730" s="64"/>
      <c r="LR730" s="64"/>
      <c r="LS730" s="64"/>
      <c r="LT730" s="64"/>
      <c r="LU730" s="64"/>
      <c r="LV730" s="64"/>
      <c r="LW730" s="64"/>
      <c r="LX730" s="64"/>
      <c r="LY730" s="64"/>
      <c r="LZ730" s="64"/>
      <c r="MA730" s="64"/>
      <c r="MB730" s="64"/>
      <c r="MC730" s="64"/>
      <c r="MD730" s="64"/>
      <c r="ME730" s="64"/>
      <c r="MF730" s="64"/>
      <c r="MG730" s="64"/>
      <c r="MH730" s="64"/>
      <c r="MI730" s="64"/>
      <c r="MJ730" s="64"/>
      <c r="MK730" s="64"/>
      <c r="ML730" s="64"/>
      <c r="MM730" s="64"/>
      <c r="MN730" s="64"/>
      <c r="MO730" s="64"/>
      <c r="MP730" s="64"/>
      <c r="MQ730" s="64"/>
      <c r="MR730" s="64"/>
      <c r="MS730" s="64"/>
      <c r="MT730" s="64"/>
      <c r="MU730" s="64"/>
      <c r="MV730" s="64"/>
      <c r="MW730" s="64"/>
      <c r="MX730" s="64"/>
      <c r="MY730" s="64"/>
      <c r="MZ730" s="64"/>
      <c r="NA730" s="64"/>
      <c r="NB730" s="64"/>
      <c r="NC730" s="64"/>
      <c r="ND730" s="64"/>
      <c r="NE730" s="64"/>
      <c r="NF730" s="64"/>
      <c r="NG730" s="64"/>
      <c r="NH730" s="64"/>
      <c r="NI730" s="64"/>
      <c r="NJ730" s="64"/>
      <c r="NK730" s="64"/>
      <c r="NL730" s="64"/>
      <c r="NM730" s="64"/>
      <c r="NN730" s="64"/>
      <c r="NO730" s="64"/>
      <c r="NP730" s="64"/>
      <c r="NQ730" s="64"/>
      <c r="NR730" s="64"/>
      <c r="NS730" s="64"/>
      <c r="NT730" s="64"/>
      <c r="NU730" s="64"/>
      <c r="NV730" s="64"/>
      <c r="NW730" s="64"/>
      <c r="NX730" s="64"/>
      <c r="NY730" s="64"/>
      <c r="NZ730" s="64"/>
      <c r="OA730" s="64"/>
      <c r="OB730" s="64"/>
      <c r="OC730" s="64"/>
      <c r="OD730" s="64"/>
      <c r="OE730" s="64"/>
      <c r="OF730" s="64"/>
      <c r="OG730" s="64"/>
      <c r="OH730" s="64"/>
      <c r="OI730" s="64"/>
      <c r="OJ730" s="64"/>
      <c r="OK730" s="64"/>
      <c r="OL730" s="64"/>
      <c r="OM730" s="64"/>
      <c r="ON730" s="64"/>
      <c r="OO730" s="64"/>
      <c r="OP730" s="64"/>
      <c r="OQ730" s="64"/>
      <c r="OR730" s="64"/>
      <c r="OS730" s="64"/>
      <c r="OT730" s="64"/>
      <c r="OU730" s="64"/>
      <c r="OV730" s="64"/>
      <c r="OW730" s="64"/>
      <c r="OX730" s="64"/>
      <c r="OY730" s="64"/>
      <c r="OZ730" s="64"/>
      <c r="PA730" s="64"/>
      <c r="PB730" s="64"/>
      <c r="PC730" s="64"/>
      <c r="PD730" s="64"/>
      <c r="PE730" s="64"/>
      <c r="PF730" s="64"/>
      <c r="PG730" s="64"/>
      <c r="PH730" s="64"/>
      <c r="PI730" s="64"/>
    </row>
    <row r="731" spans="1:425" s="85" customFormat="1">
      <c r="A731" s="70"/>
      <c r="B731" s="279" t="s">
        <v>1293</v>
      </c>
      <c r="C731" s="279"/>
      <c r="D731" s="279"/>
      <c r="E731" s="279"/>
      <c r="F731" s="279"/>
      <c r="G731" s="279"/>
      <c r="H731" s="279"/>
      <c r="I731" s="279"/>
      <c r="J731" s="279"/>
      <c r="K731" s="279"/>
      <c r="L731" s="279"/>
      <c r="M731" s="279"/>
      <c r="N731" s="93" t="s">
        <v>1294</v>
      </c>
      <c r="O731" s="115" t="e">
        <f>IF(SUM(O715:O722)&gt;0,SUM(O715:O722),0)</f>
        <v>#REF!</v>
      </c>
      <c r="P731" s="67"/>
      <c r="Q731" s="67"/>
      <c r="R731" s="67"/>
      <c r="S731" s="61" t="str">
        <f t="shared" si="134"/>
        <v>865</v>
      </c>
      <c r="T731" s="64" t="str">
        <f t="shared" si="136"/>
        <v>CONCILIACIÓN TRIBUTARIA</v>
      </c>
      <c r="U731" s="64" t="str">
        <f t="shared" si="137"/>
        <v>Subtotal impuesto a pagar</v>
      </c>
      <c r="V731" s="64" t="str">
        <f t="shared" si="129"/>
        <v/>
      </c>
      <c r="W731" s="64" t="str">
        <f t="shared" si="130"/>
        <v/>
      </c>
      <c r="X731" s="64" t="str">
        <f t="shared" si="138"/>
        <v/>
      </c>
      <c r="Y731" s="64" t="str">
        <f t="shared" si="139"/>
        <v/>
      </c>
      <c r="Z731" s="64" t="str">
        <f t="shared" si="140"/>
        <v/>
      </c>
      <c r="AA731" s="69" t="str">
        <f>U731</f>
        <v>Subtotal impuesto a pagar</v>
      </c>
      <c r="AB731" s="64"/>
      <c r="AC731" s="64"/>
      <c r="AD731" s="64"/>
      <c r="AE731" s="64"/>
      <c r="AF731" s="64"/>
      <c r="AG731" s="64"/>
      <c r="AH731" s="64"/>
      <c r="AI731" s="64"/>
      <c r="AJ731" s="64"/>
      <c r="AK731" s="64"/>
      <c r="AL731" s="64"/>
      <c r="AM731" s="64"/>
      <c r="AN731" s="64"/>
      <c r="AO731" s="64"/>
      <c r="AP731" s="64"/>
      <c r="AQ731" s="64"/>
      <c r="AR731" s="64"/>
      <c r="AS731" s="64"/>
      <c r="AT731" s="64"/>
      <c r="AU731" s="64"/>
      <c r="AV731" s="64"/>
      <c r="AW731" s="64"/>
      <c r="AX731" s="64"/>
      <c r="AY731" s="64"/>
      <c r="AZ731" s="64"/>
      <c r="BA731" s="64"/>
      <c r="BB731" s="64"/>
      <c r="BC731" s="64"/>
      <c r="BD731" s="64"/>
      <c r="BE731" s="64"/>
      <c r="BF731" s="64"/>
      <c r="BG731" s="64"/>
      <c r="BH731" s="64"/>
      <c r="BI731" s="64"/>
      <c r="BJ731" s="64"/>
      <c r="BK731" s="64"/>
      <c r="BL731" s="64"/>
      <c r="BM731" s="64"/>
      <c r="BN731" s="64"/>
      <c r="BO731" s="64"/>
      <c r="BP731" s="64"/>
      <c r="BQ731" s="64"/>
      <c r="BR731" s="64"/>
      <c r="BS731" s="64"/>
      <c r="BT731" s="64"/>
      <c r="BU731" s="64"/>
      <c r="BV731" s="64"/>
      <c r="BW731" s="64"/>
      <c r="BX731" s="64"/>
      <c r="BY731" s="64"/>
      <c r="BZ731" s="64"/>
      <c r="CA731" s="64"/>
      <c r="CB731" s="64"/>
      <c r="CC731" s="64"/>
      <c r="CD731" s="64"/>
      <c r="CE731" s="64"/>
      <c r="CF731" s="64"/>
      <c r="CG731" s="64"/>
      <c r="CH731" s="64"/>
      <c r="CI731" s="64"/>
      <c r="CJ731" s="64"/>
      <c r="CK731" s="64"/>
      <c r="CL731" s="64"/>
      <c r="CM731" s="64"/>
      <c r="CN731" s="64"/>
      <c r="CO731" s="64"/>
      <c r="CP731" s="64"/>
      <c r="CQ731" s="64"/>
      <c r="CR731" s="64"/>
      <c r="CS731" s="64"/>
      <c r="CT731" s="64"/>
      <c r="CU731" s="64"/>
      <c r="CV731" s="64"/>
      <c r="CW731" s="64"/>
      <c r="CX731" s="64"/>
      <c r="CY731" s="64"/>
      <c r="CZ731" s="64"/>
      <c r="DA731" s="64"/>
      <c r="DB731" s="64"/>
      <c r="DC731" s="64"/>
      <c r="DD731" s="64"/>
      <c r="DE731" s="64"/>
      <c r="DF731" s="64"/>
      <c r="DG731" s="64"/>
      <c r="DH731" s="64"/>
      <c r="DI731" s="64"/>
      <c r="DJ731" s="64"/>
      <c r="DK731" s="64"/>
      <c r="DL731" s="64"/>
      <c r="DM731" s="64"/>
      <c r="DN731" s="64"/>
      <c r="DO731" s="64"/>
      <c r="DP731" s="64"/>
      <c r="DQ731" s="64"/>
      <c r="DR731" s="64"/>
      <c r="DS731" s="64"/>
      <c r="DT731" s="64"/>
      <c r="DU731" s="64"/>
      <c r="DV731" s="64"/>
      <c r="DW731" s="64"/>
      <c r="DX731" s="64"/>
      <c r="DY731" s="64"/>
      <c r="DZ731" s="64"/>
      <c r="EA731" s="64"/>
      <c r="EB731" s="64"/>
      <c r="EC731" s="64"/>
      <c r="ED731" s="64"/>
      <c r="EE731" s="64"/>
      <c r="EF731" s="64"/>
      <c r="EG731" s="64"/>
      <c r="EH731" s="64"/>
      <c r="EI731" s="64"/>
      <c r="EJ731" s="64"/>
      <c r="EK731" s="64"/>
      <c r="EL731" s="64"/>
      <c r="EM731" s="64"/>
      <c r="EN731" s="64"/>
      <c r="EO731" s="64"/>
      <c r="EP731" s="64"/>
      <c r="EQ731" s="64"/>
      <c r="ER731" s="64"/>
      <c r="ES731" s="64"/>
      <c r="ET731" s="64"/>
      <c r="EU731" s="64"/>
      <c r="EV731" s="64"/>
      <c r="EW731" s="64"/>
      <c r="EX731" s="64"/>
      <c r="EY731" s="64"/>
      <c r="EZ731" s="64"/>
      <c r="FA731" s="64"/>
      <c r="FB731" s="64"/>
      <c r="FC731" s="64"/>
      <c r="FD731" s="64"/>
      <c r="FE731" s="64"/>
      <c r="FF731" s="64"/>
      <c r="FG731" s="64"/>
      <c r="FH731" s="64"/>
      <c r="FI731" s="64"/>
      <c r="FJ731" s="64"/>
      <c r="FK731" s="64"/>
      <c r="FL731" s="64"/>
      <c r="FM731" s="64"/>
      <c r="FN731" s="64"/>
      <c r="FO731" s="64"/>
      <c r="FP731" s="64"/>
      <c r="FQ731" s="64"/>
      <c r="FR731" s="64"/>
      <c r="FS731" s="64"/>
      <c r="FT731" s="64"/>
      <c r="FU731" s="64"/>
      <c r="FV731" s="64"/>
      <c r="FW731" s="64"/>
      <c r="FX731" s="64"/>
      <c r="FY731" s="64"/>
      <c r="FZ731" s="64"/>
      <c r="GA731" s="64"/>
      <c r="GB731" s="64"/>
      <c r="GC731" s="64"/>
      <c r="GD731" s="64"/>
      <c r="GE731" s="64"/>
      <c r="GF731" s="64"/>
      <c r="GG731" s="64"/>
      <c r="GH731" s="64"/>
      <c r="GI731" s="64"/>
      <c r="GJ731" s="64"/>
      <c r="GK731" s="64"/>
      <c r="GL731" s="64"/>
      <c r="GM731" s="64"/>
      <c r="GN731" s="64"/>
      <c r="GO731" s="64"/>
      <c r="GP731" s="64"/>
      <c r="GQ731" s="64"/>
      <c r="GR731" s="64"/>
      <c r="GS731" s="64"/>
      <c r="GT731" s="64"/>
      <c r="GU731" s="64"/>
      <c r="GV731" s="64"/>
      <c r="GW731" s="64"/>
      <c r="GX731" s="64"/>
      <c r="GY731" s="64"/>
      <c r="GZ731" s="64"/>
      <c r="HA731" s="64"/>
      <c r="HB731" s="64"/>
      <c r="HC731" s="64"/>
      <c r="HD731" s="64"/>
      <c r="HE731" s="64"/>
      <c r="HF731" s="64"/>
      <c r="HG731" s="64"/>
      <c r="HH731" s="64"/>
      <c r="HI731" s="64"/>
      <c r="HJ731" s="64"/>
      <c r="HK731" s="64"/>
      <c r="HL731" s="64"/>
      <c r="HM731" s="64"/>
      <c r="HN731" s="64"/>
      <c r="HO731" s="64"/>
      <c r="HP731" s="64"/>
      <c r="HQ731" s="64"/>
      <c r="HR731" s="64"/>
      <c r="HS731" s="64"/>
      <c r="HT731" s="64"/>
      <c r="HU731" s="64"/>
      <c r="HV731" s="64"/>
      <c r="HW731" s="64"/>
      <c r="HX731" s="64"/>
      <c r="HY731" s="64"/>
      <c r="HZ731" s="64"/>
      <c r="IA731" s="64"/>
      <c r="IB731" s="64"/>
      <c r="IC731" s="64"/>
      <c r="ID731" s="64"/>
      <c r="IE731" s="64"/>
      <c r="IF731" s="64"/>
      <c r="IG731" s="64"/>
      <c r="IH731" s="64"/>
      <c r="II731" s="64"/>
      <c r="IJ731" s="64"/>
      <c r="IK731" s="64"/>
      <c r="IL731" s="64"/>
      <c r="IM731" s="64"/>
      <c r="IN731" s="64"/>
      <c r="IO731" s="64"/>
      <c r="IP731" s="64"/>
      <c r="IQ731" s="64"/>
      <c r="IR731" s="64"/>
      <c r="IS731" s="64"/>
      <c r="IT731" s="64"/>
      <c r="IU731" s="64"/>
      <c r="IV731" s="64"/>
      <c r="IW731" s="64"/>
      <c r="IX731" s="64"/>
      <c r="IY731" s="64"/>
      <c r="IZ731" s="64"/>
      <c r="JA731" s="64"/>
      <c r="JB731" s="64"/>
      <c r="JC731" s="64"/>
      <c r="JD731" s="64"/>
      <c r="JE731" s="64"/>
      <c r="JF731" s="64"/>
      <c r="JG731" s="64"/>
      <c r="JH731" s="64"/>
      <c r="JI731" s="64"/>
      <c r="JJ731" s="64"/>
      <c r="JK731" s="64"/>
      <c r="JL731" s="64"/>
      <c r="JM731" s="64"/>
      <c r="JN731" s="64"/>
      <c r="JO731" s="64"/>
      <c r="JP731" s="64"/>
      <c r="JQ731" s="64"/>
      <c r="JR731" s="64"/>
      <c r="JS731" s="64"/>
      <c r="JT731" s="64"/>
      <c r="JU731" s="64"/>
      <c r="JV731" s="64"/>
      <c r="JW731" s="64"/>
      <c r="JX731" s="64"/>
      <c r="JY731" s="64"/>
      <c r="JZ731" s="64"/>
      <c r="KA731" s="64"/>
      <c r="KB731" s="64"/>
      <c r="KC731" s="64"/>
      <c r="KD731" s="64"/>
      <c r="KE731" s="64"/>
      <c r="KF731" s="64"/>
      <c r="KG731" s="64"/>
      <c r="KH731" s="64"/>
      <c r="KI731" s="64"/>
      <c r="KJ731" s="64"/>
      <c r="KK731" s="64"/>
      <c r="KL731" s="64"/>
      <c r="KM731" s="64"/>
      <c r="KN731" s="64"/>
      <c r="KO731" s="64"/>
      <c r="KP731" s="64"/>
      <c r="KQ731" s="64"/>
      <c r="KR731" s="64"/>
      <c r="KS731" s="64"/>
      <c r="KT731" s="64"/>
      <c r="KU731" s="64"/>
      <c r="KV731" s="64"/>
      <c r="KW731" s="64"/>
      <c r="KX731" s="64"/>
      <c r="KY731" s="64"/>
      <c r="KZ731" s="64"/>
      <c r="LA731" s="64"/>
      <c r="LB731" s="64"/>
      <c r="LC731" s="64"/>
      <c r="LD731" s="64"/>
      <c r="LE731" s="64"/>
      <c r="LF731" s="64"/>
      <c r="LG731" s="64"/>
      <c r="LH731" s="64"/>
      <c r="LI731" s="64"/>
      <c r="LJ731" s="64"/>
      <c r="LK731" s="64"/>
      <c r="LL731" s="64"/>
      <c r="LM731" s="64"/>
      <c r="LN731" s="64"/>
      <c r="LO731" s="64"/>
      <c r="LP731" s="64"/>
      <c r="LQ731" s="64"/>
      <c r="LR731" s="64"/>
      <c r="LS731" s="64"/>
      <c r="LT731" s="64"/>
      <c r="LU731" s="64"/>
      <c r="LV731" s="64"/>
      <c r="LW731" s="64"/>
      <c r="LX731" s="64"/>
      <c r="LY731" s="64"/>
      <c r="LZ731" s="64"/>
      <c r="MA731" s="64"/>
      <c r="MB731" s="64"/>
      <c r="MC731" s="64"/>
      <c r="MD731" s="64"/>
      <c r="ME731" s="64"/>
      <c r="MF731" s="64"/>
      <c r="MG731" s="64"/>
      <c r="MH731" s="64"/>
      <c r="MI731" s="64"/>
      <c r="MJ731" s="64"/>
      <c r="MK731" s="64"/>
      <c r="ML731" s="64"/>
      <c r="MM731" s="64"/>
      <c r="MN731" s="64"/>
      <c r="MO731" s="64"/>
      <c r="MP731" s="64"/>
      <c r="MQ731" s="64"/>
      <c r="MR731" s="64"/>
      <c r="MS731" s="64"/>
      <c r="MT731" s="64"/>
      <c r="MU731" s="64"/>
      <c r="MV731" s="64"/>
      <c r="MW731" s="64"/>
      <c r="MX731" s="64"/>
      <c r="MY731" s="64"/>
      <c r="MZ731" s="64"/>
      <c r="NA731" s="64"/>
      <c r="NB731" s="64"/>
      <c r="NC731" s="64"/>
      <c r="ND731" s="64"/>
      <c r="NE731" s="64"/>
      <c r="NF731" s="64"/>
      <c r="NG731" s="64"/>
      <c r="NH731" s="64"/>
      <c r="NI731" s="64"/>
      <c r="NJ731" s="64"/>
      <c r="NK731" s="64"/>
      <c r="NL731" s="64"/>
      <c r="NM731" s="64"/>
      <c r="NN731" s="64"/>
      <c r="NO731" s="64"/>
      <c r="NP731" s="64"/>
      <c r="NQ731" s="64"/>
      <c r="NR731" s="64"/>
      <c r="NS731" s="64"/>
      <c r="NT731" s="64"/>
      <c r="NU731" s="64"/>
      <c r="NV731" s="64"/>
      <c r="NW731" s="64"/>
      <c r="NX731" s="64"/>
      <c r="NY731" s="64"/>
      <c r="NZ731" s="64"/>
      <c r="OA731" s="64"/>
      <c r="OB731" s="64"/>
      <c r="OC731" s="64"/>
      <c r="OD731" s="64"/>
      <c r="OE731" s="64"/>
      <c r="OF731" s="64"/>
      <c r="OG731" s="64"/>
      <c r="OH731" s="64"/>
      <c r="OI731" s="64"/>
      <c r="OJ731" s="64"/>
      <c r="OK731" s="64"/>
      <c r="OL731" s="64"/>
      <c r="OM731" s="64"/>
      <c r="ON731" s="64"/>
      <c r="OO731" s="64"/>
      <c r="OP731" s="64"/>
      <c r="OQ731" s="64"/>
      <c r="OR731" s="64"/>
      <c r="OS731" s="64"/>
      <c r="OT731" s="64"/>
      <c r="OU731" s="64"/>
      <c r="OV731" s="64"/>
      <c r="OW731" s="64"/>
      <c r="OX731" s="64"/>
      <c r="OY731" s="64"/>
      <c r="OZ731" s="64"/>
      <c r="PA731" s="64"/>
      <c r="PB731" s="64"/>
      <c r="PC731" s="64"/>
      <c r="PD731" s="64"/>
      <c r="PE731" s="64"/>
      <c r="PF731" s="64"/>
      <c r="PG731" s="64"/>
      <c r="PH731" s="64"/>
      <c r="PI731" s="64"/>
    </row>
    <row r="732" spans="1:425" s="85" customFormat="1">
      <c r="A732" s="70"/>
      <c r="B732" s="279" t="s">
        <v>1295</v>
      </c>
      <c r="C732" s="279"/>
      <c r="D732" s="279"/>
      <c r="E732" s="279"/>
      <c r="F732" s="279"/>
      <c r="G732" s="279"/>
      <c r="H732" s="279"/>
      <c r="I732" s="279"/>
      <c r="J732" s="279"/>
      <c r="K732" s="279"/>
      <c r="L732" s="279"/>
      <c r="M732" s="279"/>
      <c r="N732" s="93" t="s">
        <v>1296</v>
      </c>
      <c r="O732" s="115" t="e">
        <f>IF(SUM(O715:O722)&lt;0,SUM(O715:O722),0)</f>
        <v>#REF!</v>
      </c>
      <c r="P732" s="67"/>
      <c r="Q732" s="67"/>
      <c r="R732" s="67"/>
      <c r="S732" s="61" t="str">
        <f t="shared" si="134"/>
        <v>866</v>
      </c>
      <c r="T732" s="64" t="str">
        <f t="shared" si="136"/>
        <v>CONCILIACIÓN TRIBUTARIA</v>
      </c>
      <c r="U732" s="64" t="str">
        <f t="shared" si="137"/>
        <v>Subtotal saldo a favor</v>
      </c>
      <c r="V732" s="64" t="str">
        <f t="shared" ref="V732:V779" si="141">IF(U731&lt;&gt;U732,"",(IF(C732&lt;&gt;"",C732,V731)))</f>
        <v/>
      </c>
      <c r="W732" s="64" t="str">
        <f t="shared" ref="W732:W779" si="142">IF(V731&lt;&gt;V732,"",(IF(D732&lt;&gt;"",D732,W731)))</f>
        <v/>
      </c>
      <c r="X732" s="64" t="str">
        <f t="shared" si="138"/>
        <v/>
      </c>
      <c r="Y732" s="64" t="str">
        <f t="shared" si="139"/>
        <v/>
      </c>
      <c r="Z732" s="64" t="str">
        <f t="shared" si="140"/>
        <v/>
      </c>
      <c r="AA732" s="69" t="str">
        <f>U732</f>
        <v>Subtotal saldo a favor</v>
      </c>
      <c r="AB732" s="64"/>
      <c r="AC732" s="64"/>
      <c r="AD732" s="64"/>
      <c r="AE732" s="64"/>
      <c r="AF732" s="64"/>
      <c r="AG732" s="64"/>
      <c r="AH732" s="64"/>
      <c r="AI732" s="64"/>
      <c r="AJ732" s="64"/>
      <c r="AK732" s="64"/>
      <c r="AL732" s="64"/>
      <c r="AM732" s="64"/>
      <c r="AN732" s="64"/>
      <c r="AO732" s="64"/>
      <c r="AP732" s="64"/>
      <c r="AQ732" s="64"/>
      <c r="AR732" s="64"/>
      <c r="AS732" s="64"/>
      <c r="AT732" s="64"/>
      <c r="AU732" s="64"/>
      <c r="AV732" s="64"/>
      <c r="AW732" s="64"/>
      <c r="AX732" s="64"/>
      <c r="AY732" s="64"/>
      <c r="AZ732" s="64"/>
      <c r="BA732" s="64"/>
      <c r="BB732" s="64"/>
      <c r="BC732" s="64"/>
      <c r="BD732" s="64"/>
      <c r="BE732" s="64"/>
      <c r="BF732" s="64"/>
      <c r="BG732" s="64"/>
      <c r="BH732" s="64"/>
      <c r="BI732" s="64"/>
      <c r="BJ732" s="64"/>
      <c r="BK732" s="64"/>
      <c r="BL732" s="64"/>
      <c r="BM732" s="64"/>
      <c r="BN732" s="64"/>
      <c r="BO732" s="64"/>
      <c r="BP732" s="64"/>
      <c r="BQ732" s="64"/>
      <c r="BR732" s="64"/>
      <c r="BS732" s="64"/>
      <c r="BT732" s="64"/>
      <c r="BU732" s="64"/>
      <c r="BV732" s="64"/>
      <c r="BW732" s="64"/>
      <c r="BX732" s="64"/>
      <c r="BY732" s="64"/>
      <c r="BZ732" s="64"/>
      <c r="CA732" s="64"/>
      <c r="CB732" s="64"/>
      <c r="CC732" s="64"/>
      <c r="CD732" s="64"/>
      <c r="CE732" s="64"/>
      <c r="CF732" s="64"/>
      <c r="CG732" s="64"/>
      <c r="CH732" s="64"/>
      <c r="CI732" s="64"/>
      <c r="CJ732" s="64"/>
      <c r="CK732" s="64"/>
      <c r="CL732" s="64"/>
      <c r="CM732" s="64"/>
      <c r="CN732" s="64"/>
      <c r="CO732" s="64"/>
      <c r="CP732" s="64"/>
      <c r="CQ732" s="64"/>
      <c r="CR732" s="64"/>
      <c r="CS732" s="64"/>
      <c r="CT732" s="64"/>
      <c r="CU732" s="64"/>
      <c r="CV732" s="64"/>
      <c r="CW732" s="64"/>
      <c r="CX732" s="64"/>
      <c r="CY732" s="64"/>
      <c r="CZ732" s="64"/>
      <c r="DA732" s="64"/>
      <c r="DB732" s="64"/>
      <c r="DC732" s="64"/>
      <c r="DD732" s="64"/>
      <c r="DE732" s="64"/>
      <c r="DF732" s="64"/>
      <c r="DG732" s="64"/>
      <c r="DH732" s="64"/>
      <c r="DI732" s="64"/>
      <c r="DJ732" s="64"/>
      <c r="DK732" s="64"/>
      <c r="DL732" s="64"/>
      <c r="DM732" s="64"/>
      <c r="DN732" s="64"/>
      <c r="DO732" s="64"/>
      <c r="DP732" s="64"/>
      <c r="DQ732" s="64"/>
      <c r="DR732" s="64"/>
      <c r="DS732" s="64"/>
      <c r="DT732" s="64"/>
      <c r="DU732" s="64"/>
      <c r="DV732" s="64"/>
      <c r="DW732" s="64"/>
      <c r="DX732" s="64"/>
      <c r="DY732" s="64"/>
      <c r="DZ732" s="64"/>
      <c r="EA732" s="64"/>
      <c r="EB732" s="64"/>
      <c r="EC732" s="64"/>
      <c r="ED732" s="64"/>
      <c r="EE732" s="64"/>
      <c r="EF732" s="64"/>
      <c r="EG732" s="64"/>
      <c r="EH732" s="64"/>
      <c r="EI732" s="64"/>
      <c r="EJ732" s="64"/>
      <c r="EK732" s="64"/>
      <c r="EL732" s="64"/>
      <c r="EM732" s="64"/>
      <c r="EN732" s="64"/>
      <c r="EO732" s="64"/>
      <c r="EP732" s="64"/>
      <c r="EQ732" s="64"/>
      <c r="ER732" s="64"/>
      <c r="ES732" s="64"/>
      <c r="ET732" s="64"/>
      <c r="EU732" s="64"/>
      <c r="EV732" s="64"/>
      <c r="EW732" s="64"/>
      <c r="EX732" s="64"/>
      <c r="EY732" s="64"/>
      <c r="EZ732" s="64"/>
      <c r="FA732" s="64"/>
      <c r="FB732" s="64"/>
      <c r="FC732" s="64"/>
      <c r="FD732" s="64"/>
      <c r="FE732" s="64"/>
      <c r="FF732" s="64"/>
      <c r="FG732" s="64"/>
      <c r="FH732" s="64"/>
      <c r="FI732" s="64"/>
      <c r="FJ732" s="64"/>
      <c r="FK732" s="64"/>
      <c r="FL732" s="64"/>
      <c r="FM732" s="64"/>
      <c r="FN732" s="64"/>
      <c r="FO732" s="64"/>
      <c r="FP732" s="64"/>
      <c r="FQ732" s="64"/>
      <c r="FR732" s="64"/>
      <c r="FS732" s="64"/>
      <c r="FT732" s="64"/>
      <c r="FU732" s="64"/>
      <c r="FV732" s="64"/>
      <c r="FW732" s="64"/>
      <c r="FX732" s="64"/>
      <c r="FY732" s="64"/>
      <c r="FZ732" s="64"/>
      <c r="GA732" s="64"/>
      <c r="GB732" s="64"/>
      <c r="GC732" s="64"/>
      <c r="GD732" s="64"/>
      <c r="GE732" s="64"/>
      <c r="GF732" s="64"/>
      <c r="GG732" s="64"/>
      <c r="GH732" s="64"/>
      <c r="GI732" s="64"/>
      <c r="GJ732" s="64"/>
      <c r="GK732" s="64"/>
      <c r="GL732" s="64"/>
      <c r="GM732" s="64"/>
      <c r="GN732" s="64"/>
      <c r="GO732" s="64"/>
      <c r="GP732" s="64"/>
      <c r="GQ732" s="64"/>
      <c r="GR732" s="64"/>
      <c r="GS732" s="64"/>
      <c r="GT732" s="64"/>
      <c r="GU732" s="64"/>
      <c r="GV732" s="64"/>
      <c r="GW732" s="64"/>
      <c r="GX732" s="64"/>
      <c r="GY732" s="64"/>
      <c r="GZ732" s="64"/>
      <c r="HA732" s="64"/>
      <c r="HB732" s="64"/>
      <c r="HC732" s="64"/>
      <c r="HD732" s="64"/>
      <c r="HE732" s="64"/>
      <c r="HF732" s="64"/>
      <c r="HG732" s="64"/>
      <c r="HH732" s="64"/>
      <c r="HI732" s="64"/>
      <c r="HJ732" s="64"/>
      <c r="HK732" s="64"/>
      <c r="HL732" s="64"/>
      <c r="HM732" s="64"/>
      <c r="HN732" s="64"/>
      <c r="HO732" s="64"/>
      <c r="HP732" s="64"/>
      <c r="HQ732" s="64"/>
      <c r="HR732" s="64"/>
      <c r="HS732" s="64"/>
      <c r="HT732" s="64"/>
      <c r="HU732" s="64"/>
      <c r="HV732" s="64"/>
      <c r="HW732" s="64"/>
      <c r="HX732" s="64"/>
      <c r="HY732" s="64"/>
      <c r="HZ732" s="64"/>
      <c r="IA732" s="64"/>
      <c r="IB732" s="64"/>
      <c r="IC732" s="64"/>
      <c r="ID732" s="64"/>
      <c r="IE732" s="64"/>
      <c r="IF732" s="64"/>
      <c r="IG732" s="64"/>
      <c r="IH732" s="64"/>
      <c r="II732" s="64"/>
      <c r="IJ732" s="64"/>
      <c r="IK732" s="64"/>
      <c r="IL732" s="64"/>
      <c r="IM732" s="64"/>
      <c r="IN732" s="64"/>
      <c r="IO732" s="64"/>
      <c r="IP732" s="64"/>
      <c r="IQ732" s="64"/>
      <c r="IR732" s="64"/>
      <c r="IS732" s="64"/>
      <c r="IT732" s="64"/>
      <c r="IU732" s="64"/>
      <c r="IV732" s="64"/>
      <c r="IW732" s="64"/>
      <c r="IX732" s="64"/>
      <c r="IY732" s="64"/>
      <c r="IZ732" s="64"/>
      <c r="JA732" s="64"/>
      <c r="JB732" s="64"/>
      <c r="JC732" s="64"/>
      <c r="JD732" s="64"/>
      <c r="JE732" s="64"/>
      <c r="JF732" s="64"/>
      <c r="JG732" s="64"/>
      <c r="JH732" s="64"/>
      <c r="JI732" s="64"/>
      <c r="JJ732" s="64"/>
      <c r="JK732" s="64"/>
      <c r="JL732" s="64"/>
      <c r="JM732" s="64"/>
      <c r="JN732" s="64"/>
      <c r="JO732" s="64"/>
      <c r="JP732" s="64"/>
      <c r="JQ732" s="64"/>
      <c r="JR732" s="64"/>
      <c r="JS732" s="64"/>
      <c r="JT732" s="64"/>
      <c r="JU732" s="64"/>
      <c r="JV732" s="64"/>
      <c r="JW732" s="64"/>
      <c r="JX732" s="64"/>
      <c r="JY732" s="64"/>
      <c r="JZ732" s="64"/>
      <c r="KA732" s="64"/>
      <c r="KB732" s="64"/>
      <c r="KC732" s="64"/>
      <c r="KD732" s="64"/>
      <c r="KE732" s="64"/>
      <c r="KF732" s="64"/>
      <c r="KG732" s="64"/>
      <c r="KH732" s="64"/>
      <c r="KI732" s="64"/>
      <c r="KJ732" s="64"/>
      <c r="KK732" s="64"/>
      <c r="KL732" s="64"/>
      <c r="KM732" s="64"/>
      <c r="KN732" s="64"/>
      <c r="KO732" s="64"/>
      <c r="KP732" s="64"/>
      <c r="KQ732" s="64"/>
      <c r="KR732" s="64"/>
      <c r="KS732" s="64"/>
      <c r="KT732" s="64"/>
      <c r="KU732" s="64"/>
      <c r="KV732" s="64"/>
      <c r="KW732" s="64"/>
      <c r="KX732" s="64"/>
      <c r="KY732" s="64"/>
      <c r="KZ732" s="64"/>
      <c r="LA732" s="64"/>
      <c r="LB732" s="64"/>
      <c r="LC732" s="64"/>
      <c r="LD732" s="64"/>
      <c r="LE732" s="64"/>
      <c r="LF732" s="64"/>
      <c r="LG732" s="64"/>
      <c r="LH732" s="64"/>
      <c r="LI732" s="64"/>
      <c r="LJ732" s="64"/>
      <c r="LK732" s="64"/>
      <c r="LL732" s="64"/>
      <c r="LM732" s="64"/>
      <c r="LN732" s="64"/>
      <c r="LO732" s="64"/>
      <c r="LP732" s="64"/>
      <c r="LQ732" s="64"/>
      <c r="LR732" s="64"/>
      <c r="LS732" s="64"/>
      <c r="LT732" s="64"/>
      <c r="LU732" s="64"/>
      <c r="LV732" s="64"/>
      <c r="LW732" s="64"/>
      <c r="LX732" s="64"/>
      <c r="LY732" s="64"/>
      <c r="LZ732" s="64"/>
      <c r="MA732" s="64"/>
      <c r="MB732" s="64"/>
      <c r="MC732" s="64"/>
      <c r="MD732" s="64"/>
      <c r="ME732" s="64"/>
      <c r="MF732" s="64"/>
      <c r="MG732" s="64"/>
      <c r="MH732" s="64"/>
      <c r="MI732" s="64"/>
      <c r="MJ732" s="64"/>
      <c r="MK732" s="64"/>
      <c r="ML732" s="64"/>
      <c r="MM732" s="64"/>
      <c r="MN732" s="64"/>
      <c r="MO732" s="64"/>
      <c r="MP732" s="64"/>
      <c r="MQ732" s="64"/>
      <c r="MR732" s="64"/>
      <c r="MS732" s="64"/>
      <c r="MT732" s="64"/>
      <c r="MU732" s="64"/>
      <c r="MV732" s="64"/>
      <c r="MW732" s="64"/>
      <c r="MX732" s="64"/>
      <c r="MY732" s="64"/>
      <c r="MZ732" s="64"/>
      <c r="NA732" s="64"/>
      <c r="NB732" s="64"/>
      <c r="NC732" s="64"/>
      <c r="ND732" s="64"/>
      <c r="NE732" s="64"/>
      <c r="NF732" s="64"/>
      <c r="NG732" s="64"/>
      <c r="NH732" s="64"/>
      <c r="NI732" s="64"/>
      <c r="NJ732" s="64"/>
      <c r="NK732" s="64"/>
      <c r="NL732" s="64"/>
      <c r="NM732" s="64"/>
      <c r="NN732" s="64"/>
      <c r="NO732" s="64"/>
      <c r="NP732" s="64"/>
      <c r="NQ732" s="64"/>
      <c r="NR732" s="64"/>
      <c r="NS732" s="64"/>
      <c r="NT732" s="64"/>
      <c r="NU732" s="64"/>
      <c r="NV732" s="64"/>
      <c r="NW732" s="64"/>
      <c r="NX732" s="64"/>
      <c r="NY732" s="64"/>
      <c r="NZ732" s="64"/>
      <c r="OA732" s="64"/>
      <c r="OB732" s="64"/>
      <c r="OC732" s="64"/>
      <c r="OD732" s="64"/>
      <c r="OE732" s="64"/>
      <c r="OF732" s="64"/>
      <c r="OG732" s="64"/>
      <c r="OH732" s="64"/>
      <c r="OI732" s="64"/>
      <c r="OJ732" s="64"/>
      <c r="OK732" s="64"/>
      <c r="OL732" s="64"/>
      <c r="OM732" s="64"/>
      <c r="ON732" s="64"/>
      <c r="OO732" s="64"/>
      <c r="OP732" s="64"/>
      <c r="OQ732" s="64"/>
      <c r="OR732" s="64"/>
      <c r="OS732" s="64"/>
      <c r="OT732" s="64"/>
      <c r="OU732" s="64"/>
      <c r="OV732" s="64"/>
      <c r="OW732" s="64"/>
      <c r="OX732" s="64"/>
      <c r="OY732" s="64"/>
      <c r="OZ732" s="64"/>
      <c r="PA732" s="64"/>
      <c r="PB732" s="64"/>
      <c r="PC732" s="64"/>
      <c r="PD732" s="64"/>
      <c r="PE732" s="64"/>
      <c r="PF732" s="64"/>
      <c r="PG732" s="64"/>
      <c r="PH732" s="64"/>
      <c r="PI732" s="64"/>
    </row>
    <row r="733" spans="1:425">
      <c r="A733" s="53"/>
      <c r="B733" s="53"/>
      <c r="C733" s="265" t="s">
        <v>1297</v>
      </c>
      <c r="D733" s="265"/>
      <c r="E733" s="265"/>
      <c r="F733" s="265"/>
      <c r="G733" s="265"/>
      <c r="H733" s="265"/>
      <c r="I733" s="265"/>
      <c r="J733" s="265"/>
      <c r="K733" s="265"/>
      <c r="L733" s="265"/>
      <c r="M733" s="265"/>
      <c r="N733" s="9" t="s">
        <v>1298</v>
      </c>
      <c r="O733" s="55">
        <v>0</v>
      </c>
      <c r="S733" s="61" t="str">
        <f t="shared" si="134"/>
        <v>867</v>
      </c>
      <c r="T733" s="64" t="str">
        <f t="shared" si="136"/>
        <v>CONCILIACIÓN TRIBUTARIA</v>
      </c>
      <c r="U733" s="64" t="str">
        <f t="shared" si="137"/>
        <v>Subtotal saldo a favor</v>
      </c>
      <c r="V733" s="64" t="str">
        <f t="shared" si="141"/>
        <v>(+) Impuesto a la renta único (a partir del ejercicio 2015 registre la sumatoria de los valores pagados mensualmente por concepto de impuesto único)</v>
      </c>
      <c r="W733" s="64" t="str">
        <f t="shared" si="142"/>
        <v/>
      </c>
      <c r="X733" s="64" t="str">
        <f t="shared" si="138"/>
        <v/>
      </c>
      <c r="Y733" s="64" t="str">
        <f t="shared" si="139"/>
        <v/>
      </c>
      <c r="Z733" s="64" t="str">
        <f t="shared" si="140"/>
        <v/>
      </c>
      <c r="AA733" s="64" t="str">
        <f>IF(X733&lt;&gt;"",CONCATENATE(W733,"_",X733,"_",Y733,"_",Z733,""),CONCATENATE(V733, "_",W733,""))</f>
        <v>(+) Impuesto a la renta único (a partir del ejercicio 2015 registre la sumatoria de los valores pagados mensualmente por concepto de impuesto único)_</v>
      </c>
    </row>
    <row r="734" spans="1:425">
      <c r="A734" s="53"/>
      <c r="B734" s="53"/>
      <c r="C734" s="265" t="s">
        <v>1299</v>
      </c>
      <c r="D734" s="265"/>
      <c r="E734" s="265"/>
      <c r="F734" s="265"/>
      <c r="G734" s="265"/>
      <c r="H734" s="265"/>
      <c r="I734" s="265"/>
      <c r="J734" s="265"/>
      <c r="K734" s="265"/>
      <c r="L734" s="265"/>
      <c r="M734" s="265"/>
      <c r="N734" s="9" t="s">
        <v>1300</v>
      </c>
      <c r="O734" s="55">
        <v>0</v>
      </c>
      <c r="S734" s="61" t="str">
        <f t="shared" si="134"/>
        <v>868</v>
      </c>
      <c r="T734" s="64" t="str">
        <f t="shared" si="136"/>
        <v>CONCILIACIÓN TRIBUTARIA</v>
      </c>
      <c r="U734" s="64" t="str">
        <f t="shared" si="137"/>
        <v>Subtotal saldo a favor</v>
      </c>
      <c r="V734" s="64" t="str">
        <f t="shared" si="141"/>
        <v xml:space="preserve">(-) Crédito tributario para la liquidación del impuesto a la renta único (a partir del ejercicio 2015) </v>
      </c>
      <c r="W734" s="64" t="str">
        <f t="shared" si="142"/>
        <v/>
      </c>
      <c r="X734" s="64" t="str">
        <f t="shared" si="138"/>
        <v/>
      </c>
      <c r="Y734" s="64" t="str">
        <f t="shared" si="139"/>
        <v/>
      </c>
      <c r="Z734" s="64" t="str">
        <f t="shared" si="140"/>
        <v/>
      </c>
      <c r="AA734" s="64" t="str">
        <f>IF(X734&lt;&gt;"",CONCATENATE(W734,"_",X734,"_",Y734,"_",Z734,""),CONCATENATE(V734, "_",W734,""))</f>
        <v>(-) Crédito tributario para la liquidación del impuesto a la renta único (a partir del ejercicio 2015) _</v>
      </c>
    </row>
    <row r="735" spans="1:425">
      <c r="A735" s="53"/>
      <c r="B735" s="288" t="s">
        <v>1301</v>
      </c>
      <c r="C735" s="288"/>
      <c r="D735" s="288"/>
      <c r="E735" s="288"/>
      <c r="F735" s="288"/>
      <c r="G735" s="288"/>
      <c r="H735" s="288"/>
      <c r="I735" s="288"/>
      <c r="J735" s="288"/>
      <c r="K735" s="288"/>
      <c r="L735" s="288"/>
      <c r="M735" s="288"/>
      <c r="N735" s="94" t="s">
        <v>1302</v>
      </c>
      <c r="O735" s="95" t="e">
        <f>+O731</f>
        <v>#REF!</v>
      </c>
      <c r="S735" s="61" t="str">
        <f t="shared" si="134"/>
        <v>869</v>
      </c>
      <c r="T735" s="64" t="str">
        <f t="shared" si="136"/>
        <v>CONCILIACIÓN TRIBUTARIA</v>
      </c>
      <c r="U735" s="64" t="str">
        <f t="shared" si="137"/>
        <v>Impuesto a la renta a pagar</v>
      </c>
      <c r="V735" s="64" t="str">
        <f t="shared" si="141"/>
        <v/>
      </c>
      <c r="W735" s="64" t="str">
        <f t="shared" si="142"/>
        <v/>
      </c>
      <c r="X735" s="64" t="str">
        <f t="shared" si="138"/>
        <v/>
      </c>
      <c r="Y735" s="64" t="str">
        <f t="shared" si="139"/>
        <v/>
      </c>
      <c r="Z735" s="64" t="str">
        <f t="shared" si="140"/>
        <v/>
      </c>
      <c r="AA735" s="69" t="str">
        <f>U735</f>
        <v>Impuesto a la renta a pagar</v>
      </c>
    </row>
    <row r="736" spans="1:425">
      <c r="A736" s="53"/>
      <c r="B736" s="288" t="s">
        <v>1303</v>
      </c>
      <c r="C736" s="288"/>
      <c r="D736" s="288"/>
      <c r="E736" s="288"/>
      <c r="F736" s="288"/>
      <c r="G736" s="288"/>
      <c r="H736" s="288"/>
      <c r="I736" s="288"/>
      <c r="J736" s="288"/>
      <c r="K736" s="288"/>
      <c r="L736" s="288"/>
      <c r="M736" s="288"/>
      <c r="N736" s="94" t="s">
        <v>1304</v>
      </c>
      <c r="O736" s="95" t="e">
        <f>+O732</f>
        <v>#REF!</v>
      </c>
      <c r="S736" s="61" t="str">
        <f t="shared" si="134"/>
        <v>870</v>
      </c>
      <c r="T736" s="64" t="str">
        <f t="shared" si="136"/>
        <v>CONCILIACIÓN TRIBUTARIA</v>
      </c>
      <c r="U736" s="64" t="str">
        <f t="shared" si="137"/>
        <v>Saldo a favor contribuyente</v>
      </c>
      <c r="V736" s="64" t="str">
        <f t="shared" si="141"/>
        <v/>
      </c>
      <c r="W736" s="64" t="str">
        <f t="shared" si="142"/>
        <v/>
      </c>
      <c r="X736" s="64" t="str">
        <f t="shared" si="138"/>
        <v/>
      </c>
      <c r="Y736" s="64" t="str">
        <f t="shared" si="139"/>
        <v/>
      </c>
      <c r="Z736" s="64" t="str">
        <f t="shared" si="140"/>
        <v/>
      </c>
      <c r="AA736" s="69" t="str">
        <f>U736</f>
        <v>Saldo a favor contribuyente</v>
      </c>
    </row>
    <row r="737" spans="1:425">
      <c r="A737" s="70"/>
      <c r="B737" s="248" t="s">
        <v>1305</v>
      </c>
      <c r="C737" s="248"/>
      <c r="D737" s="248"/>
      <c r="E737" s="248"/>
      <c r="F737" s="248"/>
      <c r="G737" s="248"/>
      <c r="H737" s="248"/>
      <c r="I737" s="248"/>
      <c r="J737" s="248"/>
      <c r="K737" s="248"/>
      <c r="L737" s="248"/>
      <c r="M737" s="248"/>
      <c r="N737" s="248"/>
      <c r="O737" s="248"/>
      <c r="S737" s="61">
        <f t="shared" si="134"/>
        <v>0</v>
      </c>
      <c r="T737" s="64" t="str">
        <f t="shared" si="136"/>
        <v>CONCILIACIÓN TRIBUTARIA</v>
      </c>
      <c r="U737" s="64" t="str">
        <f t="shared" si="137"/>
        <v>RESUMEN FINANCIERO (INFORMATIVO)</v>
      </c>
      <c r="V737" s="64" t="str">
        <f t="shared" si="141"/>
        <v/>
      </c>
      <c r="W737" s="64" t="str">
        <f t="shared" si="142"/>
        <v/>
      </c>
      <c r="X737" s="64" t="str">
        <f t="shared" si="138"/>
        <v/>
      </c>
      <c r="Y737" s="64" t="str">
        <f t="shared" si="139"/>
        <v/>
      </c>
      <c r="Z737" s="64" t="str">
        <f t="shared" si="140"/>
        <v/>
      </c>
      <c r="AA737" s="69" t="str">
        <f>CONCATENATE(U737,"_",V737)</f>
        <v>RESUMEN FINANCIERO (INFORMATIVO)_</v>
      </c>
    </row>
    <row r="738" spans="1:425">
      <c r="A738" s="70"/>
      <c r="B738" s="286" t="s">
        <v>1306</v>
      </c>
      <c r="C738" s="286"/>
      <c r="D738" s="286"/>
      <c r="E738" s="286"/>
      <c r="F738" s="286"/>
      <c r="G738" s="286"/>
      <c r="H738" s="286"/>
      <c r="I738" s="286"/>
      <c r="J738" s="286"/>
      <c r="K738" s="286"/>
      <c r="L738" s="286"/>
      <c r="M738" s="286"/>
      <c r="N738" s="9" t="s">
        <v>595</v>
      </c>
      <c r="O738" s="96" t="e">
        <f>VLOOKUP(N738,#REF!,6,FALSE)</f>
        <v>#REF!</v>
      </c>
      <c r="P738" s="67" t="e">
        <f>1902597+O738</f>
        <v>#REF!</v>
      </c>
      <c r="S738" s="61" t="str">
        <f t="shared" si="134"/>
        <v>1005</v>
      </c>
      <c r="T738" s="64" t="str">
        <f t="shared" si="136"/>
        <v>CONCILIACIÓN TRIBUTARIA</v>
      </c>
      <c r="U738" s="69" t="str">
        <f>+U737</f>
        <v>RESUMEN FINANCIERO (INFORMATIVO)</v>
      </c>
      <c r="V738" s="69" t="str">
        <f>IF(T737&lt;&gt;T738,"",(IF(B738&lt;&gt;"",B738,U737)))</f>
        <v xml:space="preserve">Ingresos Operacionales </v>
      </c>
      <c r="W738" s="64" t="str">
        <f t="shared" si="142"/>
        <v/>
      </c>
      <c r="X738" s="64" t="str">
        <f t="shared" si="138"/>
        <v/>
      </c>
      <c r="Y738" s="64" t="str">
        <f t="shared" si="139"/>
        <v/>
      </c>
      <c r="Z738" s="64" t="str">
        <f t="shared" si="140"/>
        <v/>
      </c>
      <c r="AA738" s="69" t="str">
        <f t="shared" ref="AA738:AA749" si="143">CONCATENATE(U738,"_",V738)</f>
        <v xml:space="preserve">RESUMEN FINANCIERO (INFORMATIVO)_Ingresos Operacionales </v>
      </c>
    </row>
    <row r="739" spans="1:425">
      <c r="A739" s="70"/>
      <c r="B739" s="286" t="s">
        <v>1307</v>
      </c>
      <c r="C739" s="286"/>
      <c r="D739" s="286"/>
      <c r="E739" s="286"/>
      <c r="F739" s="286"/>
      <c r="G739" s="286"/>
      <c r="H739" s="286"/>
      <c r="I739" s="286"/>
      <c r="J739" s="286"/>
      <c r="K739" s="286"/>
      <c r="L739" s="286"/>
      <c r="M739" s="286"/>
      <c r="N739" s="9" t="s">
        <v>1113</v>
      </c>
      <c r="O739" s="96" t="e">
        <f>VLOOKUP(N739,#REF!,6,FALSE)</f>
        <v>#REF!</v>
      </c>
      <c r="S739" s="61" t="str">
        <f t="shared" si="134"/>
        <v>7991</v>
      </c>
      <c r="T739" s="64" t="str">
        <f t="shared" si="136"/>
        <v>CONCILIACIÓN TRIBUTARIA</v>
      </c>
      <c r="U739" s="69" t="str">
        <f t="shared" ref="U739:U749" si="144">+U738</f>
        <v>RESUMEN FINANCIERO (INFORMATIVO)</v>
      </c>
      <c r="V739" s="69" t="str">
        <f t="shared" ref="V739:V750" si="145">IF(T738&lt;&gt;T739,"",(IF(B739&lt;&gt;"",B739,U738)))</f>
        <v>(-) Costos Operacionales</v>
      </c>
      <c r="W739" s="64" t="str">
        <f t="shared" si="142"/>
        <v/>
      </c>
      <c r="X739" s="64" t="str">
        <f t="shared" si="138"/>
        <v/>
      </c>
      <c r="Y739" s="64" t="str">
        <f t="shared" si="139"/>
        <v/>
      </c>
      <c r="Z739" s="64" t="str">
        <f t="shared" si="140"/>
        <v/>
      </c>
      <c r="AA739" s="69" t="str">
        <f t="shared" si="143"/>
        <v>RESUMEN FINANCIERO (INFORMATIVO)_(-) Costos Operacionales</v>
      </c>
    </row>
    <row r="740" spans="1:425">
      <c r="A740" s="70"/>
      <c r="B740" s="287" t="s">
        <v>1308</v>
      </c>
      <c r="C740" s="287"/>
      <c r="D740" s="287"/>
      <c r="E740" s="287"/>
      <c r="F740" s="287"/>
      <c r="G740" s="287"/>
      <c r="H740" s="287"/>
      <c r="I740" s="287"/>
      <c r="J740" s="287"/>
      <c r="K740" s="287"/>
      <c r="L740" s="287"/>
      <c r="M740" s="287"/>
      <c r="N740" s="93" t="s">
        <v>1309</v>
      </c>
      <c r="O740" s="97" t="e">
        <f>SUM(O738:O739)</f>
        <v>#REF!</v>
      </c>
      <c r="S740" s="61" t="str">
        <f t="shared" si="134"/>
        <v>1025</v>
      </c>
      <c r="T740" s="64" t="str">
        <f t="shared" si="136"/>
        <v>CONCILIACIÓN TRIBUTARIA</v>
      </c>
      <c r="U740" s="69" t="str">
        <f t="shared" si="144"/>
        <v>RESUMEN FINANCIERO (INFORMATIVO)</v>
      </c>
      <c r="V740" s="69" t="str">
        <f t="shared" si="145"/>
        <v xml:space="preserve">(=) Utilidad Bruta </v>
      </c>
      <c r="W740" s="64" t="str">
        <f t="shared" si="142"/>
        <v/>
      </c>
      <c r="X740" s="64" t="str">
        <f t="shared" si="138"/>
        <v/>
      </c>
      <c r="Y740" s="64" t="str">
        <f t="shared" si="139"/>
        <v/>
      </c>
      <c r="Z740" s="64" t="str">
        <f t="shared" si="140"/>
        <v/>
      </c>
      <c r="AA740" s="69" t="str">
        <f t="shared" si="143"/>
        <v xml:space="preserve">RESUMEN FINANCIERO (INFORMATIVO)_(=) Utilidad Bruta </v>
      </c>
    </row>
    <row r="741" spans="1:425">
      <c r="A741" s="70"/>
      <c r="B741" s="286" t="s">
        <v>1310</v>
      </c>
      <c r="C741" s="286"/>
      <c r="D741" s="286"/>
      <c r="E741" s="286"/>
      <c r="F741" s="286"/>
      <c r="G741" s="286"/>
      <c r="H741" s="286"/>
      <c r="I741" s="286"/>
      <c r="J741" s="286"/>
      <c r="K741" s="286"/>
      <c r="L741" s="286"/>
      <c r="M741" s="286"/>
      <c r="N741" s="9" t="s">
        <v>1311</v>
      </c>
      <c r="O741" s="96" t="e">
        <f>VLOOKUP(N741,#REF!,6,FALSE)</f>
        <v>#REF!</v>
      </c>
      <c r="S741" s="61" t="str">
        <f t="shared" si="134"/>
        <v>1030</v>
      </c>
      <c r="T741" s="64" t="str">
        <f t="shared" si="136"/>
        <v>CONCILIACIÓN TRIBUTARIA</v>
      </c>
      <c r="U741" s="69" t="str">
        <f t="shared" si="144"/>
        <v>RESUMEN FINANCIERO (INFORMATIVO)</v>
      </c>
      <c r="V741" s="69" t="str">
        <f t="shared" si="145"/>
        <v xml:space="preserve">(-) Gastos Operacionales </v>
      </c>
      <c r="W741" s="64" t="str">
        <f t="shared" si="142"/>
        <v/>
      </c>
      <c r="X741" s="64" t="str">
        <f t="shared" si="138"/>
        <v/>
      </c>
      <c r="Y741" s="64" t="str">
        <f t="shared" si="139"/>
        <v/>
      </c>
      <c r="Z741" s="64" t="str">
        <f t="shared" si="140"/>
        <v/>
      </c>
      <c r="AA741" s="69" t="str">
        <f t="shared" si="143"/>
        <v xml:space="preserve">RESUMEN FINANCIERO (INFORMATIVO)_(-) Gastos Operacionales </v>
      </c>
    </row>
    <row r="742" spans="1:425">
      <c r="A742" s="70"/>
      <c r="B742" s="287" t="s">
        <v>1312</v>
      </c>
      <c r="C742" s="287"/>
      <c r="D742" s="287"/>
      <c r="E742" s="287"/>
      <c r="F742" s="287"/>
      <c r="G742" s="287"/>
      <c r="H742" s="287"/>
      <c r="I742" s="287"/>
      <c r="J742" s="287"/>
      <c r="K742" s="287"/>
      <c r="L742" s="287"/>
      <c r="M742" s="287"/>
      <c r="N742" s="93" t="s">
        <v>1313</v>
      </c>
      <c r="O742" s="97" t="e">
        <f>SUM(O740:O741)</f>
        <v>#REF!</v>
      </c>
      <c r="S742" s="61" t="str">
        <f t="shared" si="134"/>
        <v>1040</v>
      </c>
      <c r="T742" s="64" t="str">
        <f t="shared" si="136"/>
        <v>CONCILIACIÓN TRIBUTARIA</v>
      </c>
      <c r="U742" s="69" t="str">
        <f t="shared" si="144"/>
        <v>RESUMEN FINANCIERO (INFORMATIVO)</v>
      </c>
      <c r="V742" s="69" t="str">
        <f t="shared" si="145"/>
        <v xml:space="preserve">(=) Utilidad Operacional </v>
      </c>
      <c r="W742" s="64" t="str">
        <f t="shared" si="142"/>
        <v/>
      </c>
      <c r="X742" s="64" t="str">
        <f t="shared" si="138"/>
        <v/>
      </c>
      <c r="Y742" s="64" t="str">
        <f t="shared" si="139"/>
        <v/>
      </c>
      <c r="Z742" s="64" t="str">
        <f t="shared" si="140"/>
        <v/>
      </c>
      <c r="AA742" s="69" t="str">
        <f t="shared" si="143"/>
        <v xml:space="preserve">RESUMEN FINANCIERO (INFORMATIVO)_(=) Utilidad Operacional </v>
      </c>
    </row>
    <row r="743" spans="1:425">
      <c r="A743" s="70"/>
      <c r="B743" s="286" t="s">
        <v>1314</v>
      </c>
      <c r="C743" s="286"/>
      <c r="D743" s="286"/>
      <c r="E743" s="286"/>
      <c r="F743" s="286"/>
      <c r="G743" s="286"/>
      <c r="H743" s="286"/>
      <c r="I743" s="286"/>
      <c r="J743" s="286"/>
      <c r="K743" s="286"/>
      <c r="L743" s="286"/>
      <c r="M743" s="286"/>
      <c r="N743" s="9" t="s">
        <v>758</v>
      </c>
      <c r="O743" s="96" t="e">
        <f>VLOOKUP(N743,#REF!,6,FALSE)</f>
        <v>#REF!</v>
      </c>
      <c r="P743" s="67" t="e">
        <f>57896.47+O743</f>
        <v>#REF!</v>
      </c>
      <c r="S743" s="61" t="str">
        <f t="shared" si="134"/>
        <v>1045</v>
      </c>
      <c r="T743" s="64" t="str">
        <f t="shared" si="136"/>
        <v>CONCILIACIÓN TRIBUTARIA</v>
      </c>
      <c r="U743" s="69" t="str">
        <f t="shared" si="144"/>
        <v>RESUMEN FINANCIERO (INFORMATIVO)</v>
      </c>
      <c r="V743" s="69" t="str">
        <f t="shared" si="145"/>
        <v>(+) Ingresos No Operacionales</v>
      </c>
      <c r="W743" s="64" t="str">
        <f t="shared" si="142"/>
        <v/>
      </c>
      <c r="X743" s="64" t="str">
        <f t="shared" si="138"/>
        <v/>
      </c>
      <c r="Y743" s="64" t="str">
        <f t="shared" si="139"/>
        <v/>
      </c>
      <c r="Z743" s="64" t="str">
        <f t="shared" si="140"/>
        <v/>
      </c>
      <c r="AA743" s="69" t="str">
        <f t="shared" si="143"/>
        <v>RESUMEN FINANCIERO (INFORMATIVO)_(+) Ingresos No Operacionales</v>
      </c>
    </row>
    <row r="744" spans="1:425">
      <c r="A744" s="70"/>
      <c r="B744" s="286" t="s">
        <v>1315</v>
      </c>
      <c r="C744" s="286"/>
      <c r="D744" s="286"/>
      <c r="E744" s="286"/>
      <c r="F744" s="286"/>
      <c r="G744" s="286"/>
      <c r="H744" s="286"/>
      <c r="I744" s="286"/>
      <c r="J744" s="286"/>
      <c r="K744" s="286"/>
      <c r="L744" s="286"/>
      <c r="M744" s="286"/>
      <c r="N744" s="9" t="s">
        <v>1316</v>
      </c>
      <c r="O744" s="96" t="e">
        <f>VLOOKUP(N744,#REF!,6,FALSE)</f>
        <v>#REF!</v>
      </c>
      <c r="S744" s="61" t="str">
        <f t="shared" si="134"/>
        <v>1055</v>
      </c>
      <c r="T744" s="64" t="str">
        <f t="shared" si="136"/>
        <v>CONCILIACIÓN TRIBUTARIA</v>
      </c>
      <c r="U744" s="69" t="str">
        <f t="shared" si="144"/>
        <v>RESUMEN FINANCIERO (INFORMATIVO)</v>
      </c>
      <c r="V744" s="69" t="str">
        <f t="shared" si="145"/>
        <v>(-) Gastos Financieros y Otros gastos no operacionales</v>
      </c>
      <c r="W744" s="64" t="str">
        <f t="shared" si="142"/>
        <v/>
      </c>
      <c r="X744" s="64" t="str">
        <f t="shared" si="138"/>
        <v/>
      </c>
      <c r="Y744" s="64" t="str">
        <f t="shared" si="139"/>
        <v/>
      </c>
      <c r="Z744" s="64" t="str">
        <f t="shared" si="140"/>
        <v/>
      </c>
      <c r="AA744" s="69" t="str">
        <f t="shared" si="143"/>
        <v>RESUMEN FINANCIERO (INFORMATIVO)_(-) Gastos Financieros y Otros gastos no operacionales</v>
      </c>
    </row>
    <row r="745" spans="1:425">
      <c r="A745" s="70"/>
      <c r="B745" s="287" t="s">
        <v>1317</v>
      </c>
      <c r="C745" s="287"/>
      <c r="D745" s="287"/>
      <c r="E745" s="287"/>
      <c r="F745" s="287"/>
      <c r="G745" s="287"/>
      <c r="H745" s="287"/>
      <c r="I745" s="287"/>
      <c r="J745" s="287"/>
      <c r="K745" s="287"/>
      <c r="L745" s="287"/>
      <c r="M745" s="287"/>
      <c r="N745" s="93" t="s">
        <v>1318</v>
      </c>
      <c r="O745" s="97" t="e">
        <f>SUM(O742:O744)</f>
        <v>#REF!</v>
      </c>
      <c r="S745" s="61" t="str">
        <f t="shared" si="134"/>
        <v>1065</v>
      </c>
      <c r="T745" s="64" t="str">
        <f t="shared" si="136"/>
        <v>CONCILIACIÓN TRIBUTARIA</v>
      </c>
      <c r="U745" s="69" t="str">
        <f t="shared" si="144"/>
        <v>RESUMEN FINANCIERO (INFORMATIVO)</v>
      </c>
      <c r="V745" s="69" t="str">
        <f t="shared" si="145"/>
        <v xml:space="preserve">(=) Utilidad antes de Participación a trabajadores </v>
      </c>
      <c r="W745" s="64" t="str">
        <f t="shared" si="142"/>
        <v/>
      </c>
      <c r="X745" s="64" t="str">
        <f t="shared" si="138"/>
        <v/>
      </c>
      <c r="Y745" s="64" t="str">
        <f t="shared" si="139"/>
        <v/>
      </c>
      <c r="Z745" s="64" t="str">
        <f t="shared" si="140"/>
        <v/>
      </c>
      <c r="AA745" s="69" t="str">
        <f t="shared" si="143"/>
        <v xml:space="preserve">RESUMEN FINANCIERO (INFORMATIVO)_(=) Utilidad antes de Participación a trabajadores </v>
      </c>
    </row>
    <row r="746" spans="1:425">
      <c r="A746" s="70"/>
      <c r="B746" s="286" t="s">
        <v>1146</v>
      </c>
      <c r="C746" s="286"/>
      <c r="D746" s="286"/>
      <c r="E746" s="286"/>
      <c r="F746" s="286"/>
      <c r="G746" s="286"/>
      <c r="H746" s="286"/>
      <c r="I746" s="286"/>
      <c r="J746" s="286"/>
      <c r="K746" s="286"/>
      <c r="L746" s="286"/>
      <c r="M746" s="286"/>
      <c r="N746" s="9" t="s">
        <v>1147</v>
      </c>
      <c r="O746" s="96" t="e">
        <f>+#REF!</f>
        <v>#REF!</v>
      </c>
      <c r="S746" s="61" t="str">
        <f t="shared" si="134"/>
        <v>803</v>
      </c>
      <c r="T746" s="64" t="str">
        <f t="shared" si="136"/>
        <v>CONCILIACIÓN TRIBUTARIA</v>
      </c>
      <c r="U746" s="69" t="str">
        <f t="shared" si="144"/>
        <v>RESUMEN FINANCIERO (INFORMATIVO)</v>
      </c>
      <c r="V746" s="69" t="str">
        <f t="shared" si="145"/>
        <v>(-) Participación a trabajadores</v>
      </c>
      <c r="W746" s="64" t="str">
        <f t="shared" si="142"/>
        <v/>
      </c>
      <c r="X746" s="64" t="str">
        <f t="shared" si="138"/>
        <v/>
      </c>
      <c r="Y746" s="64" t="str">
        <f t="shared" si="139"/>
        <v/>
      </c>
      <c r="Z746" s="64" t="str">
        <f t="shared" si="140"/>
        <v/>
      </c>
      <c r="AA746" s="69" t="str">
        <f t="shared" si="143"/>
        <v>RESUMEN FINANCIERO (INFORMATIVO)_(-) Participación a trabajadores</v>
      </c>
    </row>
    <row r="747" spans="1:425">
      <c r="A747" s="70"/>
      <c r="B747" s="287" t="s">
        <v>1319</v>
      </c>
      <c r="C747" s="287"/>
      <c r="D747" s="287"/>
      <c r="E747" s="287"/>
      <c r="F747" s="287"/>
      <c r="G747" s="287"/>
      <c r="H747" s="287"/>
      <c r="I747" s="287"/>
      <c r="J747" s="287"/>
      <c r="K747" s="287"/>
      <c r="L747" s="287"/>
      <c r="M747" s="287"/>
      <c r="N747" s="93" t="s">
        <v>1320</v>
      </c>
      <c r="O747" s="97" t="e">
        <f>SUM(O745:O746)</f>
        <v>#REF!</v>
      </c>
      <c r="S747" s="61" t="str">
        <f t="shared" si="134"/>
        <v>1075</v>
      </c>
      <c r="T747" s="64" t="str">
        <f t="shared" si="136"/>
        <v>CONCILIACIÓN TRIBUTARIA</v>
      </c>
      <c r="U747" s="69" t="str">
        <f t="shared" si="144"/>
        <v>RESUMEN FINANCIERO (INFORMATIVO)</v>
      </c>
      <c r="V747" s="69" t="str">
        <f t="shared" si="145"/>
        <v>(=) Utilidad antes de Impuesto a la Renta (1065 - 803)</v>
      </c>
      <c r="W747" s="64" t="str">
        <f t="shared" si="142"/>
        <v/>
      </c>
      <c r="X747" s="64" t="str">
        <f t="shared" si="138"/>
        <v/>
      </c>
      <c r="Y747" s="64" t="str">
        <f t="shared" si="139"/>
        <v/>
      </c>
      <c r="Z747" s="64" t="str">
        <f t="shared" si="140"/>
        <v/>
      </c>
      <c r="AA747" s="69" t="str">
        <f t="shared" si="143"/>
        <v>RESUMEN FINANCIERO (INFORMATIVO)_(=) Utilidad antes de Impuesto a la Renta (1065 - 803)</v>
      </c>
    </row>
    <row r="748" spans="1:425">
      <c r="A748" s="70"/>
      <c r="B748" s="286" t="s">
        <v>1321</v>
      </c>
      <c r="C748" s="286"/>
      <c r="D748" s="286"/>
      <c r="E748" s="286"/>
      <c r="F748" s="286"/>
      <c r="G748" s="286"/>
      <c r="H748" s="286"/>
      <c r="I748" s="286"/>
      <c r="J748" s="286"/>
      <c r="K748" s="286"/>
      <c r="L748" s="286"/>
      <c r="M748" s="286"/>
      <c r="N748" s="9" t="s">
        <v>1247</v>
      </c>
      <c r="O748" s="96" t="e">
        <f>VLOOKUP(N748,#REF!,6,FALSE)</f>
        <v>#REF!</v>
      </c>
      <c r="S748" s="61" t="str">
        <f t="shared" si="134"/>
        <v>850</v>
      </c>
      <c r="T748" s="64" t="str">
        <f t="shared" si="136"/>
        <v>CONCILIACIÓN TRIBUTARIA</v>
      </c>
      <c r="U748" s="69" t="str">
        <f t="shared" si="144"/>
        <v>RESUMEN FINANCIERO (INFORMATIVO)</v>
      </c>
      <c r="V748" s="69" t="str">
        <f t="shared" si="145"/>
        <v>(-) Impuesto a la Renta Causado</v>
      </c>
      <c r="W748" s="64" t="str">
        <f t="shared" si="142"/>
        <v/>
      </c>
      <c r="X748" s="64" t="str">
        <f t="shared" si="138"/>
        <v/>
      </c>
      <c r="Y748" s="64" t="str">
        <f t="shared" si="139"/>
        <v/>
      </c>
      <c r="Z748" s="64" t="str">
        <f t="shared" si="140"/>
        <v/>
      </c>
      <c r="AA748" s="69" t="str">
        <f t="shared" si="143"/>
        <v>RESUMEN FINANCIERO (INFORMATIVO)_(-) Impuesto a la Renta Causado</v>
      </c>
    </row>
    <row r="749" spans="1:425">
      <c r="A749" s="70"/>
      <c r="B749" s="289" t="s">
        <v>1322</v>
      </c>
      <c r="C749" s="289"/>
      <c r="D749" s="289"/>
      <c r="E749" s="289"/>
      <c r="F749" s="289"/>
      <c r="G749" s="289"/>
      <c r="H749" s="289"/>
      <c r="I749" s="289"/>
      <c r="J749" s="289"/>
      <c r="K749" s="289"/>
      <c r="L749" s="289"/>
      <c r="M749" s="289"/>
      <c r="N749" s="93">
        <v>1099</v>
      </c>
      <c r="O749" s="98" t="e">
        <f>SUM(O747:O748)</f>
        <v>#REF!</v>
      </c>
      <c r="S749" s="61">
        <f t="shared" si="134"/>
        <v>1099</v>
      </c>
      <c r="T749" s="64" t="str">
        <f t="shared" si="136"/>
        <v>CONCILIACIÓN TRIBUTARIA</v>
      </c>
      <c r="U749" s="69" t="str">
        <f t="shared" si="144"/>
        <v>RESUMEN FINANCIERO (INFORMATIVO)</v>
      </c>
      <c r="V749" s="69" t="str">
        <f t="shared" si="145"/>
        <v>(=) Utilidad después de Impuesto a la Renta (1075 - 850)</v>
      </c>
      <c r="W749" s="64" t="str">
        <f t="shared" si="142"/>
        <v/>
      </c>
      <c r="X749" s="64" t="str">
        <f t="shared" si="138"/>
        <v/>
      </c>
      <c r="Y749" s="64" t="str">
        <f t="shared" si="139"/>
        <v/>
      </c>
      <c r="Z749" s="64" t="str">
        <f t="shared" si="140"/>
        <v/>
      </c>
      <c r="AA749" s="69" t="str">
        <f t="shared" si="143"/>
        <v>RESUMEN FINANCIERO (INFORMATIVO)_(=) Utilidad después de Impuesto a la Renta (1075 - 850)</v>
      </c>
    </row>
    <row r="750" spans="1:425">
      <c r="A750" s="53"/>
      <c r="B750" s="236" t="s">
        <v>1323</v>
      </c>
      <c r="C750" s="236"/>
      <c r="D750" s="236"/>
      <c r="E750" s="236"/>
      <c r="F750" s="236"/>
      <c r="G750" s="236"/>
      <c r="H750" s="236"/>
      <c r="I750" s="236"/>
      <c r="J750" s="236"/>
      <c r="K750" s="236"/>
      <c r="L750" s="236"/>
      <c r="M750" s="236"/>
      <c r="N750" s="236"/>
      <c r="O750" s="236"/>
      <c r="S750" s="61">
        <f t="shared" si="134"/>
        <v>0</v>
      </c>
      <c r="T750" s="64" t="str">
        <f t="shared" si="136"/>
        <v>CONCILIACIÓN TRIBUTARIA</v>
      </c>
      <c r="U750" s="64" t="str">
        <f t="shared" si="137"/>
        <v>ANTICIPO (PRÓXIMO AÑO)</v>
      </c>
      <c r="V750" s="69" t="str">
        <f t="shared" si="145"/>
        <v>ANTICIPO (PRÓXIMO AÑO)</v>
      </c>
      <c r="W750" s="64" t="str">
        <f t="shared" si="142"/>
        <v/>
      </c>
      <c r="X750" s="64" t="str">
        <f t="shared" si="138"/>
        <v/>
      </c>
      <c r="Y750" s="64" t="str">
        <f t="shared" si="139"/>
        <v/>
      </c>
      <c r="Z750" s="64" t="str">
        <f t="shared" si="140"/>
        <v/>
      </c>
      <c r="AA750" s="64" t="str">
        <f t="shared" ref="AA750:AA756" si="146">IF(X750&lt;&gt;"",CONCATENATE(W750,"_",X750,"_",Y750,"_",Z750,""),CONCATENATE(V750, "_",W750,""))</f>
        <v>ANTICIPO (PRÓXIMO AÑO)_</v>
      </c>
    </row>
    <row r="751" spans="1:425">
      <c r="A751" s="53"/>
      <c r="B751" s="53"/>
      <c r="C751" s="239" t="s">
        <v>1324</v>
      </c>
      <c r="D751" s="239"/>
      <c r="E751" s="239"/>
      <c r="F751" s="239"/>
      <c r="G751" s="239"/>
      <c r="H751" s="239"/>
      <c r="I751" s="239"/>
      <c r="J751" s="239"/>
      <c r="K751" s="239"/>
      <c r="L751" s="239"/>
      <c r="M751" s="239"/>
      <c r="N751" s="239"/>
      <c r="O751" s="239"/>
      <c r="S751" s="61">
        <f t="shared" si="134"/>
        <v>0</v>
      </c>
      <c r="T751" s="64" t="str">
        <f t="shared" si="136"/>
        <v>CONCILIACIÓN TRIBUTARIA</v>
      </c>
      <c r="U751" s="64" t="str">
        <f t="shared" si="137"/>
        <v>ANTICIPO (PRÓXIMO AÑO)</v>
      </c>
      <c r="V751" s="64" t="str">
        <f t="shared" si="141"/>
        <v>ANTICIPO DE IMPUESTO A LA RENTA PRÓXIMO AÑO</v>
      </c>
      <c r="W751" s="64" t="str">
        <f t="shared" si="142"/>
        <v/>
      </c>
      <c r="X751" s="64" t="str">
        <f t="shared" si="138"/>
        <v/>
      </c>
      <c r="Y751" s="64" t="str">
        <f t="shared" si="139"/>
        <v/>
      </c>
      <c r="Z751" s="64" t="str">
        <f t="shared" si="140"/>
        <v/>
      </c>
      <c r="AA751" s="64" t="str">
        <f t="shared" si="146"/>
        <v>ANTICIPO DE IMPUESTO A LA RENTA PRÓXIMO AÑO_</v>
      </c>
    </row>
    <row r="752" spans="1:425" s="85" customFormat="1">
      <c r="A752" s="70"/>
      <c r="B752" s="70"/>
      <c r="C752" s="70"/>
      <c r="D752" s="265" t="s">
        <v>1964</v>
      </c>
      <c r="E752" s="265"/>
      <c r="F752" s="265"/>
      <c r="G752" s="265"/>
      <c r="H752" s="265"/>
      <c r="I752" s="265"/>
      <c r="J752" s="265"/>
      <c r="K752" s="265"/>
      <c r="L752" s="265"/>
      <c r="M752" s="265"/>
      <c r="N752" s="93" t="s">
        <v>1325</v>
      </c>
      <c r="O752" s="88"/>
      <c r="P752" s="67"/>
      <c r="Q752" s="67"/>
      <c r="R752" s="67"/>
      <c r="S752" s="61" t="str">
        <f t="shared" si="134"/>
        <v>871</v>
      </c>
      <c r="T752" s="64" t="str">
        <f t="shared" si="136"/>
        <v>CONCILIACIÓN TRIBUTARIA</v>
      </c>
      <c r="U752" s="64" t="str">
        <f t="shared" si="137"/>
        <v>ANTICIPO (PRÓXIMO AÑO)</v>
      </c>
      <c r="V752" s="64" t="str">
        <f t="shared" si="141"/>
        <v>ANTICIPO DE IMPUESTO A LA RENTA PRÓXIMO AÑO</v>
      </c>
      <c r="W752" s="64" t="str">
        <f t="shared" si="142"/>
        <v>Anticipo calculado próximo año (Informativo a partir del ejercicio fiscal 2019)</v>
      </c>
      <c r="X752" s="64" t="str">
        <f t="shared" si="138"/>
        <v/>
      </c>
      <c r="Y752" s="64" t="str">
        <f t="shared" si="139"/>
        <v/>
      </c>
      <c r="Z752" s="64" t="str">
        <f t="shared" si="140"/>
        <v/>
      </c>
      <c r="AA752" s="64" t="str">
        <f t="shared" si="146"/>
        <v>ANTICIPO DE IMPUESTO A LA RENTA PRÓXIMO AÑO_Anticipo calculado próximo año (Informativo a partir del ejercicio fiscal 2019)</v>
      </c>
      <c r="AB752" s="64"/>
      <c r="AC752" s="64"/>
      <c r="AD752" s="64"/>
      <c r="AE752" s="64"/>
      <c r="AF752" s="64"/>
      <c r="AG752" s="64"/>
      <c r="AH752" s="64"/>
      <c r="AI752" s="64"/>
      <c r="AJ752" s="64"/>
      <c r="AK752" s="64"/>
      <c r="AL752" s="64"/>
      <c r="AM752" s="64"/>
      <c r="AN752" s="64"/>
      <c r="AO752" s="64"/>
      <c r="AP752" s="64"/>
      <c r="AQ752" s="64"/>
      <c r="AR752" s="64"/>
      <c r="AS752" s="64"/>
      <c r="AT752" s="64"/>
      <c r="AU752" s="64"/>
      <c r="AV752" s="64"/>
      <c r="AW752" s="64"/>
      <c r="AX752" s="64"/>
      <c r="AY752" s="64"/>
      <c r="AZ752" s="64"/>
      <c r="BA752" s="64"/>
      <c r="BB752" s="64"/>
      <c r="BC752" s="64"/>
      <c r="BD752" s="64"/>
      <c r="BE752" s="64"/>
      <c r="BF752" s="64"/>
      <c r="BG752" s="64"/>
      <c r="BH752" s="64"/>
      <c r="BI752" s="64"/>
      <c r="BJ752" s="64"/>
      <c r="BK752" s="64"/>
      <c r="BL752" s="64"/>
      <c r="BM752" s="64"/>
      <c r="BN752" s="64"/>
      <c r="BO752" s="64"/>
      <c r="BP752" s="64"/>
      <c r="BQ752" s="64"/>
      <c r="BR752" s="64"/>
      <c r="BS752" s="64"/>
      <c r="BT752" s="64"/>
      <c r="BU752" s="64"/>
      <c r="BV752" s="64"/>
      <c r="BW752" s="64"/>
      <c r="BX752" s="64"/>
      <c r="BY752" s="64"/>
      <c r="BZ752" s="64"/>
      <c r="CA752" s="64"/>
      <c r="CB752" s="64"/>
      <c r="CC752" s="64"/>
      <c r="CD752" s="64"/>
      <c r="CE752" s="64"/>
      <c r="CF752" s="64"/>
      <c r="CG752" s="64"/>
      <c r="CH752" s="64"/>
      <c r="CI752" s="64"/>
      <c r="CJ752" s="64"/>
      <c r="CK752" s="64"/>
      <c r="CL752" s="64"/>
      <c r="CM752" s="64"/>
      <c r="CN752" s="64"/>
      <c r="CO752" s="64"/>
      <c r="CP752" s="64"/>
      <c r="CQ752" s="64"/>
      <c r="CR752" s="64"/>
      <c r="CS752" s="64"/>
      <c r="CT752" s="64"/>
      <c r="CU752" s="64"/>
      <c r="CV752" s="64"/>
      <c r="CW752" s="64"/>
      <c r="CX752" s="64"/>
      <c r="CY752" s="64"/>
      <c r="CZ752" s="64"/>
      <c r="DA752" s="64"/>
      <c r="DB752" s="64"/>
      <c r="DC752" s="64"/>
      <c r="DD752" s="64"/>
      <c r="DE752" s="64"/>
      <c r="DF752" s="64"/>
      <c r="DG752" s="64"/>
      <c r="DH752" s="64"/>
      <c r="DI752" s="64"/>
      <c r="DJ752" s="64"/>
      <c r="DK752" s="64"/>
      <c r="DL752" s="64"/>
      <c r="DM752" s="64"/>
      <c r="DN752" s="64"/>
      <c r="DO752" s="64"/>
      <c r="DP752" s="64"/>
      <c r="DQ752" s="64"/>
      <c r="DR752" s="64"/>
      <c r="DS752" s="64"/>
      <c r="DT752" s="64"/>
      <c r="DU752" s="64"/>
      <c r="DV752" s="64"/>
      <c r="DW752" s="64"/>
      <c r="DX752" s="64"/>
      <c r="DY752" s="64"/>
      <c r="DZ752" s="64"/>
      <c r="EA752" s="64"/>
      <c r="EB752" s="64"/>
      <c r="EC752" s="64"/>
      <c r="ED752" s="64"/>
      <c r="EE752" s="64"/>
      <c r="EF752" s="64"/>
      <c r="EG752" s="64"/>
      <c r="EH752" s="64"/>
      <c r="EI752" s="64"/>
      <c r="EJ752" s="64"/>
      <c r="EK752" s="64"/>
      <c r="EL752" s="64"/>
      <c r="EM752" s="64"/>
      <c r="EN752" s="64"/>
      <c r="EO752" s="64"/>
      <c r="EP752" s="64"/>
      <c r="EQ752" s="64"/>
      <c r="ER752" s="64"/>
      <c r="ES752" s="64"/>
      <c r="ET752" s="64"/>
      <c r="EU752" s="64"/>
      <c r="EV752" s="64"/>
      <c r="EW752" s="64"/>
      <c r="EX752" s="64"/>
      <c r="EY752" s="64"/>
      <c r="EZ752" s="64"/>
      <c r="FA752" s="64"/>
      <c r="FB752" s="64"/>
      <c r="FC752" s="64"/>
      <c r="FD752" s="64"/>
      <c r="FE752" s="64"/>
      <c r="FF752" s="64"/>
      <c r="FG752" s="64"/>
      <c r="FH752" s="64"/>
      <c r="FI752" s="64"/>
      <c r="FJ752" s="64"/>
      <c r="FK752" s="64"/>
      <c r="FL752" s="64"/>
      <c r="FM752" s="64"/>
      <c r="FN752" s="64"/>
      <c r="FO752" s="64"/>
      <c r="FP752" s="64"/>
      <c r="FQ752" s="64"/>
      <c r="FR752" s="64"/>
      <c r="FS752" s="64"/>
      <c r="FT752" s="64"/>
      <c r="FU752" s="64"/>
      <c r="FV752" s="64"/>
      <c r="FW752" s="64"/>
      <c r="FX752" s="64"/>
      <c r="FY752" s="64"/>
      <c r="FZ752" s="64"/>
      <c r="GA752" s="64"/>
      <c r="GB752" s="64"/>
      <c r="GC752" s="64"/>
      <c r="GD752" s="64"/>
      <c r="GE752" s="64"/>
      <c r="GF752" s="64"/>
      <c r="GG752" s="64"/>
      <c r="GH752" s="64"/>
      <c r="GI752" s="64"/>
      <c r="GJ752" s="64"/>
      <c r="GK752" s="64"/>
      <c r="GL752" s="64"/>
      <c r="GM752" s="64"/>
      <c r="GN752" s="64"/>
      <c r="GO752" s="64"/>
      <c r="GP752" s="64"/>
      <c r="GQ752" s="64"/>
      <c r="GR752" s="64"/>
      <c r="GS752" s="64"/>
      <c r="GT752" s="64"/>
      <c r="GU752" s="64"/>
      <c r="GV752" s="64"/>
      <c r="GW752" s="64"/>
      <c r="GX752" s="64"/>
      <c r="GY752" s="64"/>
      <c r="GZ752" s="64"/>
      <c r="HA752" s="64"/>
      <c r="HB752" s="64"/>
      <c r="HC752" s="64"/>
      <c r="HD752" s="64"/>
      <c r="HE752" s="64"/>
      <c r="HF752" s="64"/>
      <c r="HG752" s="64"/>
      <c r="HH752" s="64"/>
      <c r="HI752" s="64"/>
      <c r="HJ752" s="64"/>
      <c r="HK752" s="64"/>
      <c r="HL752" s="64"/>
      <c r="HM752" s="64"/>
      <c r="HN752" s="64"/>
      <c r="HO752" s="64"/>
      <c r="HP752" s="64"/>
      <c r="HQ752" s="64"/>
      <c r="HR752" s="64"/>
      <c r="HS752" s="64"/>
      <c r="HT752" s="64"/>
      <c r="HU752" s="64"/>
      <c r="HV752" s="64"/>
      <c r="HW752" s="64"/>
      <c r="HX752" s="64"/>
      <c r="HY752" s="64"/>
      <c r="HZ752" s="64"/>
      <c r="IA752" s="64"/>
      <c r="IB752" s="64"/>
      <c r="IC752" s="64"/>
      <c r="ID752" s="64"/>
      <c r="IE752" s="64"/>
      <c r="IF752" s="64"/>
      <c r="IG752" s="64"/>
      <c r="IH752" s="64"/>
      <c r="II752" s="64"/>
      <c r="IJ752" s="64"/>
      <c r="IK752" s="64"/>
      <c r="IL752" s="64"/>
      <c r="IM752" s="64"/>
      <c r="IN752" s="64"/>
      <c r="IO752" s="64"/>
      <c r="IP752" s="64"/>
      <c r="IQ752" s="64"/>
      <c r="IR752" s="64"/>
      <c r="IS752" s="64"/>
      <c r="IT752" s="64"/>
      <c r="IU752" s="64"/>
      <c r="IV752" s="64"/>
      <c r="IW752" s="64"/>
      <c r="IX752" s="64"/>
      <c r="IY752" s="64"/>
      <c r="IZ752" s="64"/>
      <c r="JA752" s="64"/>
      <c r="JB752" s="64"/>
      <c r="JC752" s="64"/>
      <c r="JD752" s="64"/>
      <c r="JE752" s="64"/>
      <c r="JF752" s="64"/>
      <c r="JG752" s="64"/>
      <c r="JH752" s="64"/>
      <c r="JI752" s="64"/>
      <c r="JJ752" s="64"/>
      <c r="JK752" s="64"/>
      <c r="JL752" s="64"/>
      <c r="JM752" s="64"/>
      <c r="JN752" s="64"/>
      <c r="JO752" s="64"/>
      <c r="JP752" s="64"/>
      <c r="JQ752" s="64"/>
      <c r="JR752" s="64"/>
      <c r="JS752" s="64"/>
      <c r="JT752" s="64"/>
      <c r="JU752" s="64"/>
      <c r="JV752" s="64"/>
      <c r="JW752" s="64"/>
      <c r="JX752" s="64"/>
      <c r="JY752" s="64"/>
      <c r="JZ752" s="64"/>
      <c r="KA752" s="64"/>
      <c r="KB752" s="64"/>
      <c r="KC752" s="64"/>
      <c r="KD752" s="64"/>
      <c r="KE752" s="64"/>
      <c r="KF752" s="64"/>
      <c r="KG752" s="64"/>
      <c r="KH752" s="64"/>
      <c r="KI752" s="64"/>
      <c r="KJ752" s="64"/>
      <c r="KK752" s="64"/>
      <c r="KL752" s="64"/>
      <c r="KM752" s="64"/>
      <c r="KN752" s="64"/>
      <c r="KO752" s="64"/>
      <c r="KP752" s="64"/>
      <c r="KQ752" s="64"/>
      <c r="KR752" s="64"/>
      <c r="KS752" s="64"/>
      <c r="KT752" s="64"/>
      <c r="KU752" s="64"/>
      <c r="KV752" s="64"/>
      <c r="KW752" s="64"/>
      <c r="KX752" s="64"/>
      <c r="KY752" s="64"/>
      <c r="KZ752" s="64"/>
      <c r="LA752" s="64"/>
      <c r="LB752" s="64"/>
      <c r="LC752" s="64"/>
      <c r="LD752" s="64"/>
      <c r="LE752" s="64"/>
      <c r="LF752" s="64"/>
      <c r="LG752" s="64"/>
      <c r="LH752" s="64"/>
      <c r="LI752" s="64"/>
      <c r="LJ752" s="64"/>
      <c r="LK752" s="64"/>
      <c r="LL752" s="64"/>
      <c r="LM752" s="64"/>
      <c r="LN752" s="64"/>
      <c r="LO752" s="64"/>
      <c r="LP752" s="64"/>
      <c r="LQ752" s="64"/>
      <c r="LR752" s="64"/>
      <c r="LS752" s="64"/>
      <c r="LT752" s="64"/>
      <c r="LU752" s="64"/>
      <c r="LV752" s="64"/>
      <c r="LW752" s="64"/>
      <c r="LX752" s="64"/>
      <c r="LY752" s="64"/>
      <c r="LZ752" s="64"/>
      <c r="MA752" s="64"/>
      <c r="MB752" s="64"/>
      <c r="MC752" s="64"/>
      <c r="MD752" s="64"/>
      <c r="ME752" s="64"/>
      <c r="MF752" s="64"/>
      <c r="MG752" s="64"/>
      <c r="MH752" s="64"/>
      <c r="MI752" s="64"/>
      <c r="MJ752" s="64"/>
      <c r="MK752" s="64"/>
      <c r="ML752" s="64"/>
      <c r="MM752" s="64"/>
      <c r="MN752" s="64"/>
      <c r="MO752" s="64"/>
      <c r="MP752" s="64"/>
      <c r="MQ752" s="64"/>
      <c r="MR752" s="64"/>
      <c r="MS752" s="64"/>
      <c r="MT752" s="64"/>
      <c r="MU752" s="64"/>
      <c r="MV752" s="64"/>
      <c r="MW752" s="64"/>
      <c r="MX752" s="64"/>
      <c r="MY752" s="64"/>
      <c r="MZ752" s="64"/>
      <c r="NA752" s="64"/>
      <c r="NB752" s="64"/>
      <c r="NC752" s="64"/>
      <c r="ND752" s="64"/>
      <c r="NE752" s="64"/>
      <c r="NF752" s="64"/>
      <c r="NG752" s="64"/>
      <c r="NH752" s="64"/>
      <c r="NI752" s="64"/>
      <c r="NJ752" s="64"/>
      <c r="NK752" s="64"/>
      <c r="NL752" s="64"/>
      <c r="NM752" s="64"/>
      <c r="NN752" s="64"/>
      <c r="NO752" s="64"/>
      <c r="NP752" s="64"/>
      <c r="NQ752" s="64"/>
      <c r="NR752" s="64"/>
      <c r="NS752" s="64"/>
      <c r="NT752" s="64"/>
      <c r="NU752" s="64"/>
      <c r="NV752" s="64"/>
      <c r="NW752" s="64"/>
      <c r="NX752" s="64"/>
      <c r="NY752" s="64"/>
      <c r="NZ752" s="64"/>
      <c r="OA752" s="64"/>
      <c r="OB752" s="64"/>
      <c r="OC752" s="64"/>
      <c r="OD752" s="64"/>
      <c r="OE752" s="64"/>
      <c r="OF752" s="64"/>
      <c r="OG752" s="64"/>
      <c r="OH752" s="64"/>
      <c r="OI752" s="64"/>
      <c r="OJ752" s="64"/>
      <c r="OK752" s="64"/>
      <c r="OL752" s="64"/>
      <c r="OM752" s="64"/>
      <c r="ON752" s="64"/>
      <c r="OO752" s="64"/>
      <c r="OP752" s="64"/>
      <c r="OQ752" s="64"/>
      <c r="OR752" s="64"/>
      <c r="OS752" s="64"/>
      <c r="OT752" s="64"/>
      <c r="OU752" s="64"/>
      <c r="OV752" s="64"/>
      <c r="OW752" s="64"/>
      <c r="OX752" s="64"/>
      <c r="OY752" s="64"/>
      <c r="OZ752" s="64"/>
      <c r="PA752" s="64"/>
      <c r="PB752" s="64"/>
      <c r="PC752" s="64"/>
      <c r="PD752" s="64"/>
      <c r="PE752" s="64"/>
      <c r="PF752" s="64"/>
      <c r="PG752" s="64"/>
      <c r="PH752" s="64"/>
      <c r="PI752" s="64"/>
    </row>
    <row r="753" spans="1:425" s="85" customFormat="1">
      <c r="A753" s="70"/>
      <c r="B753" s="70"/>
      <c r="C753" s="70"/>
      <c r="D753" s="265" t="s">
        <v>1326</v>
      </c>
      <c r="E753" s="265"/>
      <c r="F753" s="265"/>
      <c r="G753" s="265"/>
      <c r="H753" s="265"/>
      <c r="I753" s="265"/>
      <c r="J753" s="265"/>
      <c r="K753" s="265"/>
      <c r="L753" s="265"/>
      <c r="M753" s="265"/>
      <c r="N753" s="93" t="s">
        <v>1327</v>
      </c>
      <c r="O753" s="88"/>
      <c r="P753" s="67"/>
      <c r="Q753" s="67"/>
      <c r="R753" s="67"/>
      <c r="S753" s="61" t="str">
        <f t="shared" ref="S753:S779" si="147">N753</f>
        <v>872</v>
      </c>
      <c r="T753" s="64" t="str">
        <f t="shared" si="136"/>
        <v>CONCILIACIÓN TRIBUTARIA</v>
      </c>
      <c r="U753" s="64" t="str">
        <f t="shared" si="137"/>
        <v>ANTICIPO (PRÓXIMO AÑO)</v>
      </c>
      <c r="V753" s="64" t="str">
        <f t="shared" si="141"/>
        <v>ANTICIPO DE IMPUESTO A LA RENTA PRÓXIMO AÑO</v>
      </c>
      <c r="W753" s="64" t="str">
        <f t="shared" si="142"/>
        <v>(-) Exoneraciones y rebajas al anticipo</v>
      </c>
      <c r="X753" s="64" t="str">
        <f t="shared" si="138"/>
        <v/>
      </c>
      <c r="Y753" s="64" t="str">
        <f t="shared" si="139"/>
        <v/>
      </c>
      <c r="Z753" s="64" t="str">
        <f t="shared" si="140"/>
        <v/>
      </c>
      <c r="AA753" s="64" t="str">
        <f t="shared" si="146"/>
        <v>ANTICIPO DE IMPUESTO A LA RENTA PRÓXIMO AÑO_(-) Exoneraciones y rebajas al anticipo</v>
      </c>
      <c r="AB753" s="64"/>
      <c r="AC753" s="64"/>
      <c r="AD753" s="64"/>
      <c r="AE753" s="64"/>
      <c r="AF753" s="64"/>
      <c r="AG753" s="64"/>
      <c r="AH753" s="64"/>
      <c r="AI753" s="64"/>
      <c r="AJ753" s="64"/>
      <c r="AK753" s="64"/>
      <c r="AL753" s="64"/>
      <c r="AM753" s="64"/>
      <c r="AN753" s="64"/>
      <c r="AO753" s="64"/>
      <c r="AP753" s="64"/>
      <c r="AQ753" s="64"/>
      <c r="AR753" s="64"/>
      <c r="AS753" s="64"/>
      <c r="AT753" s="64"/>
      <c r="AU753" s="64"/>
      <c r="AV753" s="64"/>
      <c r="AW753" s="64"/>
      <c r="AX753" s="64"/>
      <c r="AY753" s="64"/>
      <c r="AZ753" s="64"/>
      <c r="BA753" s="64"/>
      <c r="BB753" s="64"/>
      <c r="BC753" s="64"/>
      <c r="BD753" s="64"/>
      <c r="BE753" s="64"/>
      <c r="BF753" s="64"/>
      <c r="BG753" s="64"/>
      <c r="BH753" s="64"/>
      <c r="BI753" s="64"/>
      <c r="BJ753" s="64"/>
      <c r="BK753" s="64"/>
      <c r="BL753" s="64"/>
      <c r="BM753" s="64"/>
      <c r="BN753" s="64"/>
      <c r="BO753" s="64"/>
      <c r="BP753" s="64"/>
      <c r="BQ753" s="64"/>
      <c r="BR753" s="64"/>
      <c r="BS753" s="64"/>
      <c r="BT753" s="64"/>
      <c r="BU753" s="64"/>
      <c r="BV753" s="64"/>
      <c r="BW753" s="64"/>
      <c r="BX753" s="64"/>
      <c r="BY753" s="64"/>
      <c r="BZ753" s="64"/>
      <c r="CA753" s="64"/>
      <c r="CB753" s="64"/>
      <c r="CC753" s="64"/>
      <c r="CD753" s="64"/>
      <c r="CE753" s="64"/>
      <c r="CF753" s="64"/>
      <c r="CG753" s="64"/>
      <c r="CH753" s="64"/>
      <c r="CI753" s="64"/>
      <c r="CJ753" s="64"/>
      <c r="CK753" s="64"/>
      <c r="CL753" s="64"/>
      <c r="CM753" s="64"/>
      <c r="CN753" s="64"/>
      <c r="CO753" s="64"/>
      <c r="CP753" s="64"/>
      <c r="CQ753" s="64"/>
      <c r="CR753" s="64"/>
      <c r="CS753" s="64"/>
      <c r="CT753" s="64"/>
      <c r="CU753" s="64"/>
      <c r="CV753" s="64"/>
      <c r="CW753" s="64"/>
      <c r="CX753" s="64"/>
      <c r="CY753" s="64"/>
      <c r="CZ753" s="64"/>
      <c r="DA753" s="64"/>
      <c r="DB753" s="64"/>
      <c r="DC753" s="64"/>
      <c r="DD753" s="64"/>
      <c r="DE753" s="64"/>
      <c r="DF753" s="64"/>
      <c r="DG753" s="64"/>
      <c r="DH753" s="64"/>
      <c r="DI753" s="64"/>
      <c r="DJ753" s="64"/>
      <c r="DK753" s="64"/>
      <c r="DL753" s="64"/>
      <c r="DM753" s="64"/>
      <c r="DN753" s="64"/>
      <c r="DO753" s="64"/>
      <c r="DP753" s="64"/>
      <c r="DQ753" s="64"/>
      <c r="DR753" s="64"/>
      <c r="DS753" s="64"/>
      <c r="DT753" s="64"/>
      <c r="DU753" s="64"/>
      <c r="DV753" s="64"/>
      <c r="DW753" s="64"/>
      <c r="DX753" s="64"/>
      <c r="DY753" s="64"/>
      <c r="DZ753" s="64"/>
      <c r="EA753" s="64"/>
      <c r="EB753" s="64"/>
      <c r="EC753" s="64"/>
      <c r="ED753" s="64"/>
      <c r="EE753" s="64"/>
      <c r="EF753" s="64"/>
      <c r="EG753" s="64"/>
      <c r="EH753" s="64"/>
      <c r="EI753" s="64"/>
      <c r="EJ753" s="64"/>
      <c r="EK753" s="64"/>
      <c r="EL753" s="64"/>
      <c r="EM753" s="64"/>
      <c r="EN753" s="64"/>
      <c r="EO753" s="64"/>
      <c r="EP753" s="64"/>
      <c r="EQ753" s="64"/>
      <c r="ER753" s="64"/>
      <c r="ES753" s="64"/>
      <c r="ET753" s="64"/>
      <c r="EU753" s="64"/>
      <c r="EV753" s="64"/>
      <c r="EW753" s="64"/>
      <c r="EX753" s="64"/>
      <c r="EY753" s="64"/>
      <c r="EZ753" s="64"/>
      <c r="FA753" s="64"/>
      <c r="FB753" s="64"/>
      <c r="FC753" s="64"/>
      <c r="FD753" s="64"/>
      <c r="FE753" s="64"/>
      <c r="FF753" s="64"/>
      <c r="FG753" s="64"/>
      <c r="FH753" s="64"/>
      <c r="FI753" s="64"/>
      <c r="FJ753" s="64"/>
      <c r="FK753" s="64"/>
      <c r="FL753" s="64"/>
      <c r="FM753" s="64"/>
      <c r="FN753" s="64"/>
      <c r="FO753" s="64"/>
      <c r="FP753" s="64"/>
      <c r="FQ753" s="64"/>
      <c r="FR753" s="64"/>
      <c r="FS753" s="64"/>
      <c r="FT753" s="64"/>
      <c r="FU753" s="64"/>
      <c r="FV753" s="64"/>
      <c r="FW753" s="64"/>
      <c r="FX753" s="64"/>
      <c r="FY753" s="64"/>
      <c r="FZ753" s="64"/>
      <c r="GA753" s="64"/>
      <c r="GB753" s="64"/>
      <c r="GC753" s="64"/>
      <c r="GD753" s="64"/>
      <c r="GE753" s="64"/>
      <c r="GF753" s="64"/>
      <c r="GG753" s="64"/>
      <c r="GH753" s="64"/>
      <c r="GI753" s="64"/>
      <c r="GJ753" s="64"/>
      <c r="GK753" s="64"/>
      <c r="GL753" s="64"/>
      <c r="GM753" s="64"/>
      <c r="GN753" s="64"/>
      <c r="GO753" s="64"/>
      <c r="GP753" s="64"/>
      <c r="GQ753" s="64"/>
      <c r="GR753" s="64"/>
      <c r="GS753" s="64"/>
      <c r="GT753" s="64"/>
      <c r="GU753" s="64"/>
      <c r="GV753" s="64"/>
      <c r="GW753" s="64"/>
      <c r="GX753" s="64"/>
      <c r="GY753" s="64"/>
      <c r="GZ753" s="64"/>
      <c r="HA753" s="64"/>
      <c r="HB753" s="64"/>
      <c r="HC753" s="64"/>
      <c r="HD753" s="64"/>
      <c r="HE753" s="64"/>
      <c r="HF753" s="64"/>
      <c r="HG753" s="64"/>
      <c r="HH753" s="64"/>
      <c r="HI753" s="64"/>
      <c r="HJ753" s="64"/>
      <c r="HK753" s="64"/>
      <c r="HL753" s="64"/>
      <c r="HM753" s="64"/>
      <c r="HN753" s="64"/>
      <c r="HO753" s="64"/>
      <c r="HP753" s="64"/>
      <c r="HQ753" s="64"/>
      <c r="HR753" s="64"/>
      <c r="HS753" s="64"/>
      <c r="HT753" s="64"/>
      <c r="HU753" s="64"/>
      <c r="HV753" s="64"/>
      <c r="HW753" s="64"/>
      <c r="HX753" s="64"/>
      <c r="HY753" s="64"/>
      <c r="HZ753" s="64"/>
      <c r="IA753" s="64"/>
      <c r="IB753" s="64"/>
      <c r="IC753" s="64"/>
      <c r="ID753" s="64"/>
      <c r="IE753" s="64"/>
      <c r="IF753" s="64"/>
      <c r="IG753" s="64"/>
      <c r="IH753" s="64"/>
      <c r="II753" s="64"/>
      <c r="IJ753" s="64"/>
      <c r="IK753" s="64"/>
      <c r="IL753" s="64"/>
      <c r="IM753" s="64"/>
      <c r="IN753" s="64"/>
      <c r="IO753" s="64"/>
      <c r="IP753" s="64"/>
      <c r="IQ753" s="64"/>
      <c r="IR753" s="64"/>
      <c r="IS753" s="64"/>
      <c r="IT753" s="64"/>
      <c r="IU753" s="64"/>
      <c r="IV753" s="64"/>
      <c r="IW753" s="64"/>
      <c r="IX753" s="64"/>
      <c r="IY753" s="64"/>
      <c r="IZ753" s="64"/>
      <c r="JA753" s="64"/>
      <c r="JB753" s="64"/>
      <c r="JC753" s="64"/>
      <c r="JD753" s="64"/>
      <c r="JE753" s="64"/>
      <c r="JF753" s="64"/>
      <c r="JG753" s="64"/>
      <c r="JH753" s="64"/>
      <c r="JI753" s="64"/>
      <c r="JJ753" s="64"/>
      <c r="JK753" s="64"/>
      <c r="JL753" s="64"/>
      <c r="JM753" s="64"/>
      <c r="JN753" s="64"/>
      <c r="JO753" s="64"/>
      <c r="JP753" s="64"/>
      <c r="JQ753" s="64"/>
      <c r="JR753" s="64"/>
      <c r="JS753" s="64"/>
      <c r="JT753" s="64"/>
      <c r="JU753" s="64"/>
      <c r="JV753" s="64"/>
      <c r="JW753" s="64"/>
      <c r="JX753" s="64"/>
      <c r="JY753" s="64"/>
      <c r="JZ753" s="64"/>
      <c r="KA753" s="64"/>
      <c r="KB753" s="64"/>
      <c r="KC753" s="64"/>
      <c r="KD753" s="64"/>
      <c r="KE753" s="64"/>
      <c r="KF753" s="64"/>
      <c r="KG753" s="64"/>
      <c r="KH753" s="64"/>
      <c r="KI753" s="64"/>
      <c r="KJ753" s="64"/>
      <c r="KK753" s="64"/>
      <c r="KL753" s="64"/>
      <c r="KM753" s="64"/>
      <c r="KN753" s="64"/>
      <c r="KO753" s="64"/>
      <c r="KP753" s="64"/>
      <c r="KQ753" s="64"/>
      <c r="KR753" s="64"/>
      <c r="KS753" s="64"/>
      <c r="KT753" s="64"/>
      <c r="KU753" s="64"/>
      <c r="KV753" s="64"/>
      <c r="KW753" s="64"/>
      <c r="KX753" s="64"/>
      <c r="KY753" s="64"/>
      <c r="KZ753" s="64"/>
      <c r="LA753" s="64"/>
      <c r="LB753" s="64"/>
      <c r="LC753" s="64"/>
      <c r="LD753" s="64"/>
      <c r="LE753" s="64"/>
      <c r="LF753" s="64"/>
      <c r="LG753" s="64"/>
      <c r="LH753" s="64"/>
      <c r="LI753" s="64"/>
      <c r="LJ753" s="64"/>
      <c r="LK753" s="64"/>
      <c r="LL753" s="64"/>
      <c r="LM753" s="64"/>
      <c r="LN753" s="64"/>
      <c r="LO753" s="64"/>
      <c r="LP753" s="64"/>
      <c r="LQ753" s="64"/>
      <c r="LR753" s="64"/>
      <c r="LS753" s="64"/>
      <c r="LT753" s="64"/>
      <c r="LU753" s="64"/>
      <c r="LV753" s="64"/>
      <c r="LW753" s="64"/>
      <c r="LX753" s="64"/>
      <c r="LY753" s="64"/>
      <c r="LZ753" s="64"/>
      <c r="MA753" s="64"/>
      <c r="MB753" s="64"/>
      <c r="MC753" s="64"/>
      <c r="MD753" s="64"/>
      <c r="ME753" s="64"/>
      <c r="MF753" s="64"/>
      <c r="MG753" s="64"/>
      <c r="MH753" s="64"/>
      <c r="MI753" s="64"/>
      <c r="MJ753" s="64"/>
      <c r="MK753" s="64"/>
      <c r="ML753" s="64"/>
      <c r="MM753" s="64"/>
      <c r="MN753" s="64"/>
      <c r="MO753" s="64"/>
      <c r="MP753" s="64"/>
      <c r="MQ753" s="64"/>
      <c r="MR753" s="64"/>
      <c r="MS753" s="64"/>
      <c r="MT753" s="64"/>
      <c r="MU753" s="64"/>
      <c r="MV753" s="64"/>
      <c r="MW753" s="64"/>
      <c r="MX753" s="64"/>
      <c r="MY753" s="64"/>
      <c r="MZ753" s="64"/>
      <c r="NA753" s="64"/>
      <c r="NB753" s="64"/>
      <c r="NC753" s="64"/>
      <c r="ND753" s="64"/>
      <c r="NE753" s="64"/>
      <c r="NF753" s="64"/>
      <c r="NG753" s="64"/>
      <c r="NH753" s="64"/>
      <c r="NI753" s="64"/>
      <c r="NJ753" s="64"/>
      <c r="NK753" s="64"/>
      <c r="NL753" s="64"/>
      <c r="NM753" s="64"/>
      <c r="NN753" s="64"/>
      <c r="NO753" s="64"/>
      <c r="NP753" s="64"/>
      <c r="NQ753" s="64"/>
      <c r="NR753" s="64"/>
      <c r="NS753" s="64"/>
      <c r="NT753" s="64"/>
      <c r="NU753" s="64"/>
      <c r="NV753" s="64"/>
      <c r="NW753" s="64"/>
      <c r="NX753" s="64"/>
      <c r="NY753" s="64"/>
      <c r="NZ753" s="64"/>
      <c r="OA753" s="64"/>
      <c r="OB753" s="64"/>
      <c r="OC753" s="64"/>
      <c r="OD753" s="64"/>
      <c r="OE753" s="64"/>
      <c r="OF753" s="64"/>
      <c r="OG753" s="64"/>
      <c r="OH753" s="64"/>
      <c r="OI753" s="64"/>
      <c r="OJ753" s="64"/>
      <c r="OK753" s="64"/>
      <c r="OL753" s="64"/>
      <c r="OM753" s="64"/>
      <c r="ON753" s="64"/>
      <c r="OO753" s="64"/>
      <c r="OP753" s="64"/>
      <c r="OQ753" s="64"/>
      <c r="OR753" s="64"/>
      <c r="OS753" s="64"/>
      <c r="OT753" s="64"/>
      <c r="OU753" s="64"/>
      <c r="OV753" s="64"/>
      <c r="OW753" s="64"/>
      <c r="OX753" s="64"/>
      <c r="OY753" s="64"/>
      <c r="OZ753" s="64"/>
      <c r="PA753" s="64"/>
      <c r="PB753" s="64"/>
      <c r="PC753" s="64"/>
      <c r="PD753" s="64"/>
      <c r="PE753" s="64"/>
      <c r="PF753" s="64"/>
      <c r="PG753" s="64"/>
      <c r="PH753" s="64"/>
      <c r="PI753" s="64"/>
    </row>
    <row r="754" spans="1:425" s="85" customFormat="1">
      <c r="A754" s="70"/>
      <c r="B754" s="70"/>
      <c r="C754" s="70"/>
      <c r="D754" s="265" t="s">
        <v>1328</v>
      </c>
      <c r="E754" s="265"/>
      <c r="F754" s="265"/>
      <c r="G754" s="265"/>
      <c r="H754" s="265"/>
      <c r="I754" s="265"/>
      <c r="J754" s="265"/>
      <c r="K754" s="265"/>
      <c r="L754" s="265"/>
      <c r="M754" s="265"/>
      <c r="N754" s="93" t="s">
        <v>1329</v>
      </c>
      <c r="O754" s="88"/>
      <c r="P754" s="67"/>
      <c r="Q754" s="67"/>
      <c r="R754" s="67"/>
      <c r="S754" s="61" t="str">
        <f t="shared" si="147"/>
        <v>873</v>
      </c>
      <c r="T754" s="64" t="str">
        <f t="shared" si="136"/>
        <v>CONCILIACIÓN TRIBUTARIA</v>
      </c>
      <c r="U754" s="64" t="str">
        <f t="shared" si="137"/>
        <v>ANTICIPO (PRÓXIMO AÑO)</v>
      </c>
      <c r="V754" s="64" t="str">
        <f t="shared" si="141"/>
        <v>ANTICIPO DE IMPUESTO A LA RENTA PRÓXIMO AÑO</v>
      </c>
      <c r="W754" s="64" t="str">
        <f t="shared" si="142"/>
        <v>(+) Otros conceptos</v>
      </c>
      <c r="X754" s="64" t="str">
        <f t="shared" si="138"/>
        <v/>
      </c>
      <c r="Y754" s="64" t="str">
        <f t="shared" si="139"/>
        <v/>
      </c>
      <c r="Z754" s="64" t="str">
        <f t="shared" si="140"/>
        <v/>
      </c>
      <c r="AA754" s="64" t="str">
        <f t="shared" si="146"/>
        <v>ANTICIPO DE IMPUESTO A LA RENTA PRÓXIMO AÑO_(+) Otros conceptos</v>
      </c>
      <c r="AB754" s="64"/>
      <c r="AC754" s="64"/>
      <c r="AD754" s="64"/>
      <c r="AE754" s="64"/>
      <c r="AF754" s="64"/>
      <c r="AG754" s="64"/>
      <c r="AH754" s="64"/>
      <c r="AI754" s="64"/>
      <c r="AJ754" s="64"/>
      <c r="AK754" s="64"/>
      <c r="AL754" s="64"/>
      <c r="AM754" s="64"/>
      <c r="AN754" s="64"/>
      <c r="AO754" s="64"/>
      <c r="AP754" s="64"/>
      <c r="AQ754" s="64"/>
      <c r="AR754" s="64"/>
      <c r="AS754" s="64"/>
      <c r="AT754" s="64"/>
      <c r="AU754" s="64"/>
      <c r="AV754" s="64"/>
      <c r="AW754" s="64"/>
      <c r="AX754" s="64"/>
      <c r="AY754" s="64"/>
      <c r="AZ754" s="64"/>
      <c r="BA754" s="64"/>
      <c r="BB754" s="64"/>
      <c r="BC754" s="64"/>
      <c r="BD754" s="64"/>
      <c r="BE754" s="64"/>
      <c r="BF754" s="64"/>
      <c r="BG754" s="64"/>
      <c r="BH754" s="64"/>
      <c r="BI754" s="64"/>
      <c r="BJ754" s="64"/>
      <c r="BK754" s="64"/>
      <c r="BL754" s="64"/>
      <c r="BM754" s="64"/>
      <c r="BN754" s="64"/>
      <c r="BO754" s="64"/>
      <c r="BP754" s="64"/>
      <c r="BQ754" s="64"/>
      <c r="BR754" s="64"/>
      <c r="BS754" s="64"/>
      <c r="BT754" s="64"/>
      <c r="BU754" s="64"/>
      <c r="BV754" s="64"/>
      <c r="BW754" s="64"/>
      <c r="BX754" s="64"/>
      <c r="BY754" s="64"/>
      <c r="BZ754" s="64"/>
      <c r="CA754" s="64"/>
      <c r="CB754" s="64"/>
      <c r="CC754" s="64"/>
      <c r="CD754" s="64"/>
      <c r="CE754" s="64"/>
      <c r="CF754" s="64"/>
      <c r="CG754" s="64"/>
      <c r="CH754" s="64"/>
      <c r="CI754" s="64"/>
      <c r="CJ754" s="64"/>
      <c r="CK754" s="64"/>
      <c r="CL754" s="64"/>
      <c r="CM754" s="64"/>
      <c r="CN754" s="64"/>
      <c r="CO754" s="64"/>
      <c r="CP754" s="64"/>
      <c r="CQ754" s="64"/>
      <c r="CR754" s="64"/>
      <c r="CS754" s="64"/>
      <c r="CT754" s="64"/>
      <c r="CU754" s="64"/>
      <c r="CV754" s="64"/>
      <c r="CW754" s="64"/>
      <c r="CX754" s="64"/>
      <c r="CY754" s="64"/>
      <c r="CZ754" s="64"/>
      <c r="DA754" s="64"/>
      <c r="DB754" s="64"/>
      <c r="DC754" s="64"/>
      <c r="DD754" s="64"/>
      <c r="DE754" s="64"/>
      <c r="DF754" s="64"/>
      <c r="DG754" s="64"/>
      <c r="DH754" s="64"/>
      <c r="DI754" s="64"/>
      <c r="DJ754" s="64"/>
      <c r="DK754" s="64"/>
      <c r="DL754" s="64"/>
      <c r="DM754" s="64"/>
      <c r="DN754" s="64"/>
      <c r="DO754" s="64"/>
      <c r="DP754" s="64"/>
      <c r="DQ754" s="64"/>
      <c r="DR754" s="64"/>
      <c r="DS754" s="64"/>
      <c r="DT754" s="64"/>
      <c r="DU754" s="64"/>
      <c r="DV754" s="64"/>
      <c r="DW754" s="64"/>
      <c r="DX754" s="64"/>
      <c r="DY754" s="64"/>
      <c r="DZ754" s="64"/>
      <c r="EA754" s="64"/>
      <c r="EB754" s="64"/>
      <c r="EC754" s="64"/>
      <c r="ED754" s="64"/>
      <c r="EE754" s="64"/>
      <c r="EF754" s="64"/>
      <c r="EG754" s="64"/>
      <c r="EH754" s="64"/>
      <c r="EI754" s="64"/>
      <c r="EJ754" s="64"/>
      <c r="EK754" s="64"/>
      <c r="EL754" s="64"/>
      <c r="EM754" s="64"/>
      <c r="EN754" s="64"/>
      <c r="EO754" s="64"/>
      <c r="EP754" s="64"/>
      <c r="EQ754" s="64"/>
      <c r="ER754" s="64"/>
      <c r="ES754" s="64"/>
      <c r="ET754" s="64"/>
      <c r="EU754" s="64"/>
      <c r="EV754" s="64"/>
      <c r="EW754" s="64"/>
      <c r="EX754" s="64"/>
      <c r="EY754" s="64"/>
      <c r="EZ754" s="64"/>
      <c r="FA754" s="64"/>
      <c r="FB754" s="64"/>
      <c r="FC754" s="64"/>
      <c r="FD754" s="64"/>
      <c r="FE754" s="64"/>
      <c r="FF754" s="64"/>
      <c r="FG754" s="64"/>
      <c r="FH754" s="64"/>
      <c r="FI754" s="64"/>
      <c r="FJ754" s="64"/>
      <c r="FK754" s="64"/>
      <c r="FL754" s="64"/>
      <c r="FM754" s="64"/>
      <c r="FN754" s="64"/>
      <c r="FO754" s="64"/>
      <c r="FP754" s="64"/>
      <c r="FQ754" s="64"/>
      <c r="FR754" s="64"/>
      <c r="FS754" s="64"/>
      <c r="FT754" s="64"/>
      <c r="FU754" s="64"/>
      <c r="FV754" s="64"/>
      <c r="FW754" s="64"/>
      <c r="FX754" s="64"/>
      <c r="FY754" s="64"/>
      <c r="FZ754" s="64"/>
      <c r="GA754" s="64"/>
      <c r="GB754" s="64"/>
      <c r="GC754" s="64"/>
      <c r="GD754" s="64"/>
      <c r="GE754" s="64"/>
      <c r="GF754" s="64"/>
      <c r="GG754" s="64"/>
      <c r="GH754" s="64"/>
      <c r="GI754" s="64"/>
      <c r="GJ754" s="64"/>
      <c r="GK754" s="64"/>
      <c r="GL754" s="64"/>
      <c r="GM754" s="64"/>
      <c r="GN754" s="64"/>
      <c r="GO754" s="64"/>
      <c r="GP754" s="64"/>
      <c r="GQ754" s="64"/>
      <c r="GR754" s="64"/>
      <c r="GS754" s="64"/>
      <c r="GT754" s="64"/>
      <c r="GU754" s="64"/>
      <c r="GV754" s="64"/>
      <c r="GW754" s="64"/>
      <c r="GX754" s="64"/>
      <c r="GY754" s="64"/>
      <c r="GZ754" s="64"/>
      <c r="HA754" s="64"/>
      <c r="HB754" s="64"/>
      <c r="HC754" s="64"/>
      <c r="HD754" s="64"/>
      <c r="HE754" s="64"/>
      <c r="HF754" s="64"/>
      <c r="HG754" s="64"/>
      <c r="HH754" s="64"/>
      <c r="HI754" s="64"/>
      <c r="HJ754" s="64"/>
      <c r="HK754" s="64"/>
      <c r="HL754" s="64"/>
      <c r="HM754" s="64"/>
      <c r="HN754" s="64"/>
      <c r="HO754" s="64"/>
      <c r="HP754" s="64"/>
      <c r="HQ754" s="64"/>
      <c r="HR754" s="64"/>
      <c r="HS754" s="64"/>
      <c r="HT754" s="64"/>
      <c r="HU754" s="64"/>
      <c r="HV754" s="64"/>
      <c r="HW754" s="64"/>
      <c r="HX754" s="64"/>
      <c r="HY754" s="64"/>
      <c r="HZ754" s="64"/>
      <c r="IA754" s="64"/>
      <c r="IB754" s="64"/>
      <c r="IC754" s="64"/>
      <c r="ID754" s="64"/>
      <c r="IE754" s="64"/>
      <c r="IF754" s="64"/>
      <c r="IG754" s="64"/>
      <c r="IH754" s="64"/>
      <c r="II754" s="64"/>
      <c r="IJ754" s="64"/>
      <c r="IK754" s="64"/>
      <c r="IL754" s="64"/>
      <c r="IM754" s="64"/>
      <c r="IN754" s="64"/>
      <c r="IO754" s="64"/>
      <c r="IP754" s="64"/>
      <c r="IQ754" s="64"/>
      <c r="IR754" s="64"/>
      <c r="IS754" s="64"/>
      <c r="IT754" s="64"/>
      <c r="IU754" s="64"/>
      <c r="IV754" s="64"/>
      <c r="IW754" s="64"/>
      <c r="IX754" s="64"/>
      <c r="IY754" s="64"/>
      <c r="IZ754" s="64"/>
      <c r="JA754" s="64"/>
      <c r="JB754" s="64"/>
      <c r="JC754" s="64"/>
      <c r="JD754" s="64"/>
      <c r="JE754" s="64"/>
      <c r="JF754" s="64"/>
      <c r="JG754" s="64"/>
      <c r="JH754" s="64"/>
      <c r="JI754" s="64"/>
      <c r="JJ754" s="64"/>
      <c r="JK754" s="64"/>
      <c r="JL754" s="64"/>
      <c r="JM754" s="64"/>
      <c r="JN754" s="64"/>
      <c r="JO754" s="64"/>
      <c r="JP754" s="64"/>
      <c r="JQ754" s="64"/>
      <c r="JR754" s="64"/>
      <c r="JS754" s="64"/>
      <c r="JT754" s="64"/>
      <c r="JU754" s="64"/>
      <c r="JV754" s="64"/>
      <c r="JW754" s="64"/>
      <c r="JX754" s="64"/>
      <c r="JY754" s="64"/>
      <c r="JZ754" s="64"/>
      <c r="KA754" s="64"/>
      <c r="KB754" s="64"/>
      <c r="KC754" s="64"/>
      <c r="KD754" s="64"/>
      <c r="KE754" s="64"/>
      <c r="KF754" s="64"/>
      <c r="KG754" s="64"/>
      <c r="KH754" s="64"/>
      <c r="KI754" s="64"/>
      <c r="KJ754" s="64"/>
      <c r="KK754" s="64"/>
      <c r="KL754" s="64"/>
      <c r="KM754" s="64"/>
      <c r="KN754" s="64"/>
      <c r="KO754" s="64"/>
      <c r="KP754" s="64"/>
      <c r="KQ754" s="64"/>
      <c r="KR754" s="64"/>
      <c r="KS754" s="64"/>
      <c r="KT754" s="64"/>
      <c r="KU754" s="64"/>
      <c r="KV754" s="64"/>
      <c r="KW754" s="64"/>
      <c r="KX754" s="64"/>
      <c r="KY754" s="64"/>
      <c r="KZ754" s="64"/>
      <c r="LA754" s="64"/>
      <c r="LB754" s="64"/>
      <c r="LC754" s="64"/>
      <c r="LD754" s="64"/>
      <c r="LE754" s="64"/>
      <c r="LF754" s="64"/>
      <c r="LG754" s="64"/>
      <c r="LH754" s="64"/>
      <c r="LI754" s="64"/>
      <c r="LJ754" s="64"/>
      <c r="LK754" s="64"/>
      <c r="LL754" s="64"/>
      <c r="LM754" s="64"/>
      <c r="LN754" s="64"/>
      <c r="LO754" s="64"/>
      <c r="LP754" s="64"/>
      <c r="LQ754" s="64"/>
      <c r="LR754" s="64"/>
      <c r="LS754" s="64"/>
      <c r="LT754" s="64"/>
      <c r="LU754" s="64"/>
      <c r="LV754" s="64"/>
      <c r="LW754" s="64"/>
      <c r="LX754" s="64"/>
      <c r="LY754" s="64"/>
      <c r="LZ754" s="64"/>
      <c r="MA754" s="64"/>
      <c r="MB754" s="64"/>
      <c r="MC754" s="64"/>
      <c r="MD754" s="64"/>
      <c r="ME754" s="64"/>
      <c r="MF754" s="64"/>
      <c r="MG754" s="64"/>
      <c r="MH754" s="64"/>
      <c r="MI754" s="64"/>
      <c r="MJ754" s="64"/>
      <c r="MK754" s="64"/>
      <c r="ML754" s="64"/>
      <c r="MM754" s="64"/>
      <c r="MN754" s="64"/>
      <c r="MO754" s="64"/>
      <c r="MP754" s="64"/>
      <c r="MQ754" s="64"/>
      <c r="MR754" s="64"/>
      <c r="MS754" s="64"/>
      <c r="MT754" s="64"/>
      <c r="MU754" s="64"/>
      <c r="MV754" s="64"/>
      <c r="MW754" s="64"/>
      <c r="MX754" s="64"/>
      <c r="MY754" s="64"/>
      <c r="MZ754" s="64"/>
      <c r="NA754" s="64"/>
      <c r="NB754" s="64"/>
      <c r="NC754" s="64"/>
      <c r="ND754" s="64"/>
      <c r="NE754" s="64"/>
      <c r="NF754" s="64"/>
      <c r="NG754" s="64"/>
      <c r="NH754" s="64"/>
      <c r="NI754" s="64"/>
      <c r="NJ754" s="64"/>
      <c r="NK754" s="64"/>
      <c r="NL754" s="64"/>
      <c r="NM754" s="64"/>
      <c r="NN754" s="64"/>
      <c r="NO754" s="64"/>
      <c r="NP754" s="64"/>
      <c r="NQ754" s="64"/>
      <c r="NR754" s="64"/>
      <c r="NS754" s="64"/>
      <c r="NT754" s="64"/>
      <c r="NU754" s="64"/>
      <c r="NV754" s="64"/>
      <c r="NW754" s="64"/>
      <c r="NX754" s="64"/>
      <c r="NY754" s="64"/>
      <c r="NZ754" s="64"/>
      <c r="OA754" s="64"/>
      <c r="OB754" s="64"/>
      <c r="OC754" s="64"/>
      <c r="OD754" s="64"/>
      <c r="OE754" s="64"/>
      <c r="OF754" s="64"/>
      <c r="OG754" s="64"/>
      <c r="OH754" s="64"/>
      <c r="OI754" s="64"/>
      <c r="OJ754" s="64"/>
      <c r="OK754" s="64"/>
      <c r="OL754" s="64"/>
      <c r="OM754" s="64"/>
      <c r="ON754" s="64"/>
      <c r="OO754" s="64"/>
      <c r="OP754" s="64"/>
      <c r="OQ754" s="64"/>
      <c r="OR754" s="64"/>
      <c r="OS754" s="64"/>
      <c r="OT754" s="64"/>
      <c r="OU754" s="64"/>
      <c r="OV754" s="64"/>
      <c r="OW754" s="64"/>
      <c r="OX754" s="64"/>
      <c r="OY754" s="64"/>
      <c r="OZ754" s="64"/>
      <c r="PA754" s="64"/>
      <c r="PB754" s="64"/>
      <c r="PC754" s="64"/>
      <c r="PD754" s="64"/>
      <c r="PE754" s="64"/>
      <c r="PF754" s="64"/>
      <c r="PG754" s="64"/>
      <c r="PH754" s="64"/>
      <c r="PI754" s="64"/>
    </row>
    <row r="755" spans="1:425" s="85" customFormat="1">
      <c r="A755" s="70"/>
      <c r="B755" s="70"/>
      <c r="C755" s="70"/>
      <c r="D755" s="265" t="s">
        <v>1330</v>
      </c>
      <c r="E755" s="265"/>
      <c r="F755" s="265"/>
      <c r="G755" s="265"/>
      <c r="H755" s="265"/>
      <c r="I755" s="265"/>
      <c r="J755" s="265"/>
      <c r="K755" s="265"/>
      <c r="L755" s="265"/>
      <c r="M755" s="265"/>
      <c r="N755" s="93" t="s">
        <v>1331</v>
      </c>
      <c r="O755" s="88"/>
      <c r="P755" s="67"/>
      <c r="Q755" s="67"/>
      <c r="R755" s="67"/>
      <c r="S755" s="61" t="str">
        <f t="shared" si="147"/>
        <v>879</v>
      </c>
      <c r="T755" s="64" t="str">
        <f t="shared" si="136"/>
        <v>CONCILIACIÓN TRIBUTARIA</v>
      </c>
      <c r="U755" s="64" t="str">
        <f t="shared" si="137"/>
        <v>ANTICIPO (PRÓXIMO AÑO)</v>
      </c>
      <c r="V755" s="64" t="str">
        <f t="shared" si="141"/>
        <v>ANTICIPO DE IMPUESTO A LA RENTA PRÓXIMO AÑO</v>
      </c>
      <c r="W755" s="64" t="str">
        <f t="shared" si="142"/>
        <v>Anticipo determinado próximo año</v>
      </c>
      <c r="X755" s="64" t="str">
        <f t="shared" si="138"/>
        <v/>
      </c>
      <c r="Y755" s="64" t="str">
        <f t="shared" si="139"/>
        <v/>
      </c>
      <c r="Z755" s="64" t="str">
        <f t="shared" si="140"/>
        <v/>
      </c>
      <c r="AA755" s="64" t="str">
        <f t="shared" si="146"/>
        <v>ANTICIPO DE IMPUESTO A LA RENTA PRÓXIMO AÑO_Anticipo determinado próximo año</v>
      </c>
      <c r="AB755" s="64"/>
      <c r="AC755" s="64"/>
      <c r="AD755" s="64"/>
      <c r="AE755" s="64"/>
      <c r="AF755" s="64"/>
      <c r="AG755" s="64"/>
      <c r="AH755" s="64"/>
      <c r="AI755" s="64"/>
      <c r="AJ755" s="64"/>
      <c r="AK755" s="64"/>
      <c r="AL755" s="64"/>
      <c r="AM755" s="64"/>
      <c r="AN755" s="64"/>
      <c r="AO755" s="64"/>
      <c r="AP755" s="64"/>
      <c r="AQ755" s="64"/>
      <c r="AR755" s="64"/>
      <c r="AS755" s="64"/>
      <c r="AT755" s="64"/>
      <c r="AU755" s="64"/>
      <c r="AV755" s="64"/>
      <c r="AW755" s="64"/>
      <c r="AX755" s="64"/>
      <c r="AY755" s="64"/>
      <c r="AZ755" s="64"/>
      <c r="BA755" s="64"/>
      <c r="BB755" s="64"/>
      <c r="BC755" s="64"/>
      <c r="BD755" s="64"/>
      <c r="BE755" s="64"/>
      <c r="BF755" s="64"/>
      <c r="BG755" s="64"/>
      <c r="BH755" s="64"/>
      <c r="BI755" s="64"/>
      <c r="BJ755" s="64"/>
      <c r="BK755" s="64"/>
      <c r="BL755" s="64"/>
      <c r="BM755" s="64"/>
      <c r="BN755" s="64"/>
      <c r="BO755" s="64"/>
      <c r="BP755" s="64"/>
      <c r="BQ755" s="64"/>
      <c r="BR755" s="64"/>
      <c r="BS755" s="64"/>
      <c r="BT755" s="64"/>
      <c r="BU755" s="64"/>
      <c r="BV755" s="64"/>
      <c r="BW755" s="64"/>
      <c r="BX755" s="64"/>
      <c r="BY755" s="64"/>
      <c r="BZ755" s="64"/>
      <c r="CA755" s="64"/>
      <c r="CB755" s="64"/>
      <c r="CC755" s="64"/>
      <c r="CD755" s="64"/>
      <c r="CE755" s="64"/>
      <c r="CF755" s="64"/>
      <c r="CG755" s="64"/>
      <c r="CH755" s="64"/>
      <c r="CI755" s="64"/>
      <c r="CJ755" s="64"/>
      <c r="CK755" s="64"/>
      <c r="CL755" s="64"/>
      <c r="CM755" s="64"/>
      <c r="CN755" s="64"/>
      <c r="CO755" s="64"/>
      <c r="CP755" s="64"/>
      <c r="CQ755" s="64"/>
      <c r="CR755" s="64"/>
      <c r="CS755" s="64"/>
      <c r="CT755" s="64"/>
      <c r="CU755" s="64"/>
      <c r="CV755" s="64"/>
      <c r="CW755" s="64"/>
      <c r="CX755" s="64"/>
      <c r="CY755" s="64"/>
      <c r="CZ755" s="64"/>
      <c r="DA755" s="64"/>
      <c r="DB755" s="64"/>
      <c r="DC755" s="64"/>
      <c r="DD755" s="64"/>
      <c r="DE755" s="64"/>
      <c r="DF755" s="64"/>
      <c r="DG755" s="64"/>
      <c r="DH755" s="64"/>
      <c r="DI755" s="64"/>
      <c r="DJ755" s="64"/>
      <c r="DK755" s="64"/>
      <c r="DL755" s="64"/>
      <c r="DM755" s="64"/>
      <c r="DN755" s="64"/>
      <c r="DO755" s="64"/>
      <c r="DP755" s="64"/>
      <c r="DQ755" s="64"/>
      <c r="DR755" s="64"/>
      <c r="DS755" s="64"/>
      <c r="DT755" s="64"/>
      <c r="DU755" s="64"/>
      <c r="DV755" s="64"/>
      <c r="DW755" s="64"/>
      <c r="DX755" s="64"/>
      <c r="DY755" s="64"/>
      <c r="DZ755" s="64"/>
      <c r="EA755" s="64"/>
      <c r="EB755" s="64"/>
      <c r="EC755" s="64"/>
      <c r="ED755" s="64"/>
      <c r="EE755" s="64"/>
      <c r="EF755" s="64"/>
      <c r="EG755" s="64"/>
      <c r="EH755" s="64"/>
      <c r="EI755" s="64"/>
      <c r="EJ755" s="64"/>
      <c r="EK755" s="64"/>
      <c r="EL755" s="64"/>
      <c r="EM755" s="64"/>
      <c r="EN755" s="64"/>
      <c r="EO755" s="64"/>
      <c r="EP755" s="64"/>
      <c r="EQ755" s="64"/>
      <c r="ER755" s="64"/>
      <c r="ES755" s="64"/>
      <c r="ET755" s="64"/>
      <c r="EU755" s="64"/>
      <c r="EV755" s="64"/>
      <c r="EW755" s="64"/>
      <c r="EX755" s="64"/>
      <c r="EY755" s="64"/>
      <c r="EZ755" s="64"/>
      <c r="FA755" s="64"/>
      <c r="FB755" s="64"/>
      <c r="FC755" s="64"/>
      <c r="FD755" s="64"/>
      <c r="FE755" s="64"/>
      <c r="FF755" s="64"/>
      <c r="FG755" s="64"/>
      <c r="FH755" s="64"/>
      <c r="FI755" s="64"/>
      <c r="FJ755" s="64"/>
      <c r="FK755" s="64"/>
      <c r="FL755" s="64"/>
      <c r="FM755" s="64"/>
      <c r="FN755" s="64"/>
      <c r="FO755" s="64"/>
      <c r="FP755" s="64"/>
      <c r="FQ755" s="64"/>
      <c r="FR755" s="64"/>
      <c r="FS755" s="64"/>
      <c r="FT755" s="64"/>
      <c r="FU755" s="64"/>
      <c r="FV755" s="64"/>
      <c r="FW755" s="64"/>
      <c r="FX755" s="64"/>
      <c r="FY755" s="64"/>
      <c r="FZ755" s="64"/>
      <c r="GA755" s="64"/>
      <c r="GB755" s="64"/>
      <c r="GC755" s="64"/>
      <c r="GD755" s="64"/>
      <c r="GE755" s="64"/>
      <c r="GF755" s="64"/>
      <c r="GG755" s="64"/>
      <c r="GH755" s="64"/>
      <c r="GI755" s="64"/>
      <c r="GJ755" s="64"/>
      <c r="GK755" s="64"/>
      <c r="GL755" s="64"/>
      <c r="GM755" s="64"/>
      <c r="GN755" s="64"/>
      <c r="GO755" s="64"/>
      <c r="GP755" s="64"/>
      <c r="GQ755" s="64"/>
      <c r="GR755" s="64"/>
      <c r="GS755" s="64"/>
      <c r="GT755" s="64"/>
      <c r="GU755" s="64"/>
      <c r="GV755" s="64"/>
      <c r="GW755" s="64"/>
      <c r="GX755" s="64"/>
      <c r="GY755" s="64"/>
      <c r="GZ755" s="64"/>
      <c r="HA755" s="64"/>
      <c r="HB755" s="64"/>
      <c r="HC755" s="64"/>
      <c r="HD755" s="64"/>
      <c r="HE755" s="64"/>
      <c r="HF755" s="64"/>
      <c r="HG755" s="64"/>
      <c r="HH755" s="64"/>
      <c r="HI755" s="64"/>
      <c r="HJ755" s="64"/>
      <c r="HK755" s="64"/>
      <c r="HL755" s="64"/>
      <c r="HM755" s="64"/>
      <c r="HN755" s="64"/>
      <c r="HO755" s="64"/>
      <c r="HP755" s="64"/>
      <c r="HQ755" s="64"/>
      <c r="HR755" s="64"/>
      <c r="HS755" s="64"/>
      <c r="HT755" s="64"/>
      <c r="HU755" s="64"/>
      <c r="HV755" s="64"/>
      <c r="HW755" s="64"/>
      <c r="HX755" s="64"/>
      <c r="HY755" s="64"/>
      <c r="HZ755" s="64"/>
      <c r="IA755" s="64"/>
      <c r="IB755" s="64"/>
      <c r="IC755" s="64"/>
      <c r="ID755" s="64"/>
      <c r="IE755" s="64"/>
      <c r="IF755" s="64"/>
      <c r="IG755" s="64"/>
      <c r="IH755" s="64"/>
      <c r="II755" s="64"/>
      <c r="IJ755" s="64"/>
      <c r="IK755" s="64"/>
      <c r="IL755" s="64"/>
      <c r="IM755" s="64"/>
      <c r="IN755" s="64"/>
      <c r="IO755" s="64"/>
      <c r="IP755" s="64"/>
      <c r="IQ755" s="64"/>
      <c r="IR755" s="64"/>
      <c r="IS755" s="64"/>
      <c r="IT755" s="64"/>
      <c r="IU755" s="64"/>
      <c r="IV755" s="64"/>
      <c r="IW755" s="64"/>
      <c r="IX755" s="64"/>
      <c r="IY755" s="64"/>
      <c r="IZ755" s="64"/>
      <c r="JA755" s="64"/>
      <c r="JB755" s="64"/>
      <c r="JC755" s="64"/>
      <c r="JD755" s="64"/>
      <c r="JE755" s="64"/>
      <c r="JF755" s="64"/>
      <c r="JG755" s="64"/>
      <c r="JH755" s="64"/>
      <c r="JI755" s="64"/>
      <c r="JJ755" s="64"/>
      <c r="JK755" s="64"/>
      <c r="JL755" s="64"/>
      <c r="JM755" s="64"/>
      <c r="JN755" s="64"/>
      <c r="JO755" s="64"/>
      <c r="JP755" s="64"/>
      <c r="JQ755" s="64"/>
      <c r="JR755" s="64"/>
      <c r="JS755" s="64"/>
      <c r="JT755" s="64"/>
      <c r="JU755" s="64"/>
      <c r="JV755" s="64"/>
      <c r="JW755" s="64"/>
      <c r="JX755" s="64"/>
      <c r="JY755" s="64"/>
      <c r="JZ755" s="64"/>
      <c r="KA755" s="64"/>
      <c r="KB755" s="64"/>
      <c r="KC755" s="64"/>
      <c r="KD755" s="64"/>
      <c r="KE755" s="64"/>
      <c r="KF755" s="64"/>
      <c r="KG755" s="64"/>
      <c r="KH755" s="64"/>
      <c r="KI755" s="64"/>
      <c r="KJ755" s="64"/>
      <c r="KK755" s="64"/>
      <c r="KL755" s="64"/>
      <c r="KM755" s="64"/>
      <c r="KN755" s="64"/>
      <c r="KO755" s="64"/>
      <c r="KP755" s="64"/>
      <c r="KQ755" s="64"/>
      <c r="KR755" s="64"/>
      <c r="KS755" s="64"/>
      <c r="KT755" s="64"/>
      <c r="KU755" s="64"/>
      <c r="KV755" s="64"/>
      <c r="KW755" s="64"/>
      <c r="KX755" s="64"/>
      <c r="KY755" s="64"/>
      <c r="KZ755" s="64"/>
      <c r="LA755" s="64"/>
      <c r="LB755" s="64"/>
      <c r="LC755" s="64"/>
      <c r="LD755" s="64"/>
      <c r="LE755" s="64"/>
      <c r="LF755" s="64"/>
      <c r="LG755" s="64"/>
      <c r="LH755" s="64"/>
      <c r="LI755" s="64"/>
      <c r="LJ755" s="64"/>
      <c r="LK755" s="64"/>
      <c r="LL755" s="64"/>
      <c r="LM755" s="64"/>
      <c r="LN755" s="64"/>
      <c r="LO755" s="64"/>
      <c r="LP755" s="64"/>
      <c r="LQ755" s="64"/>
      <c r="LR755" s="64"/>
      <c r="LS755" s="64"/>
      <c r="LT755" s="64"/>
      <c r="LU755" s="64"/>
      <c r="LV755" s="64"/>
      <c r="LW755" s="64"/>
      <c r="LX755" s="64"/>
      <c r="LY755" s="64"/>
      <c r="LZ755" s="64"/>
      <c r="MA755" s="64"/>
      <c r="MB755" s="64"/>
      <c r="MC755" s="64"/>
      <c r="MD755" s="64"/>
      <c r="ME755" s="64"/>
      <c r="MF755" s="64"/>
      <c r="MG755" s="64"/>
      <c r="MH755" s="64"/>
      <c r="MI755" s="64"/>
      <c r="MJ755" s="64"/>
      <c r="MK755" s="64"/>
      <c r="ML755" s="64"/>
      <c r="MM755" s="64"/>
      <c r="MN755" s="64"/>
      <c r="MO755" s="64"/>
      <c r="MP755" s="64"/>
      <c r="MQ755" s="64"/>
      <c r="MR755" s="64"/>
      <c r="MS755" s="64"/>
      <c r="MT755" s="64"/>
      <c r="MU755" s="64"/>
      <c r="MV755" s="64"/>
      <c r="MW755" s="64"/>
      <c r="MX755" s="64"/>
      <c r="MY755" s="64"/>
      <c r="MZ755" s="64"/>
      <c r="NA755" s="64"/>
      <c r="NB755" s="64"/>
      <c r="NC755" s="64"/>
      <c r="ND755" s="64"/>
      <c r="NE755" s="64"/>
      <c r="NF755" s="64"/>
      <c r="NG755" s="64"/>
      <c r="NH755" s="64"/>
      <c r="NI755" s="64"/>
      <c r="NJ755" s="64"/>
      <c r="NK755" s="64"/>
      <c r="NL755" s="64"/>
      <c r="NM755" s="64"/>
      <c r="NN755" s="64"/>
      <c r="NO755" s="64"/>
      <c r="NP755" s="64"/>
      <c r="NQ755" s="64"/>
      <c r="NR755" s="64"/>
      <c r="NS755" s="64"/>
      <c r="NT755" s="64"/>
      <c r="NU755" s="64"/>
      <c r="NV755" s="64"/>
      <c r="NW755" s="64"/>
      <c r="NX755" s="64"/>
      <c r="NY755" s="64"/>
      <c r="NZ755" s="64"/>
      <c r="OA755" s="64"/>
      <c r="OB755" s="64"/>
      <c r="OC755" s="64"/>
      <c r="OD755" s="64"/>
      <c r="OE755" s="64"/>
      <c r="OF755" s="64"/>
      <c r="OG755" s="64"/>
      <c r="OH755" s="64"/>
      <c r="OI755" s="64"/>
      <c r="OJ755" s="64"/>
      <c r="OK755" s="64"/>
      <c r="OL755" s="64"/>
      <c r="OM755" s="64"/>
      <c r="ON755" s="64"/>
      <c r="OO755" s="64"/>
      <c r="OP755" s="64"/>
      <c r="OQ755" s="64"/>
      <c r="OR755" s="64"/>
      <c r="OS755" s="64"/>
      <c r="OT755" s="64"/>
      <c r="OU755" s="64"/>
      <c r="OV755" s="64"/>
      <c r="OW755" s="64"/>
      <c r="OX755" s="64"/>
      <c r="OY755" s="64"/>
      <c r="OZ755" s="64"/>
      <c r="PA755" s="64"/>
      <c r="PB755" s="64"/>
      <c r="PC755" s="64"/>
      <c r="PD755" s="64"/>
      <c r="PE755" s="64"/>
      <c r="PF755" s="64"/>
      <c r="PG755" s="64"/>
      <c r="PH755" s="64"/>
      <c r="PI755" s="64"/>
    </row>
    <row r="756" spans="1:425">
      <c r="A756" s="53"/>
      <c r="B756" s="236" t="s">
        <v>1332</v>
      </c>
      <c r="C756" s="236"/>
      <c r="D756" s="236"/>
      <c r="E756" s="236"/>
      <c r="F756" s="236"/>
      <c r="G756" s="236"/>
      <c r="H756" s="236"/>
      <c r="I756" s="236"/>
      <c r="J756" s="236"/>
      <c r="K756" s="236"/>
      <c r="L756" s="236"/>
      <c r="M756" s="236"/>
      <c r="N756" s="236"/>
      <c r="O756" s="236"/>
      <c r="S756" s="61">
        <f t="shared" si="147"/>
        <v>0</v>
      </c>
      <c r="T756" s="64" t="str">
        <f t="shared" si="136"/>
        <v>CONCILIACIÓN TRIBUTARIA</v>
      </c>
      <c r="U756" s="64" t="str">
        <f t="shared" si="137"/>
        <v>OTRO RESULTADO INTEGRAL DEL PERIODO (INFORMATIVO)</v>
      </c>
      <c r="V756" s="64" t="str">
        <f t="shared" si="141"/>
        <v/>
      </c>
      <c r="W756" s="64" t="str">
        <f t="shared" si="142"/>
        <v/>
      </c>
      <c r="X756" s="64" t="str">
        <f t="shared" si="138"/>
        <v/>
      </c>
      <c r="Y756" s="64" t="str">
        <f t="shared" si="139"/>
        <v/>
      </c>
      <c r="Z756" s="64" t="str">
        <f t="shared" si="140"/>
        <v/>
      </c>
      <c r="AA756" s="64" t="str">
        <f t="shared" si="146"/>
        <v>_</v>
      </c>
    </row>
    <row r="757" spans="1:425">
      <c r="A757" s="53"/>
      <c r="B757" s="53"/>
      <c r="C757" s="236" t="s">
        <v>1333</v>
      </c>
      <c r="D757" s="236"/>
      <c r="E757" s="236"/>
      <c r="F757" s="236"/>
      <c r="G757" s="236"/>
      <c r="H757" s="236"/>
      <c r="I757" s="236"/>
      <c r="J757" s="236"/>
      <c r="K757" s="236"/>
      <c r="L757" s="236"/>
      <c r="M757" s="236"/>
      <c r="N757" s="236"/>
      <c r="O757" s="236"/>
      <c r="S757" s="61">
        <f t="shared" si="147"/>
        <v>0</v>
      </c>
      <c r="T757" s="64" t="str">
        <f t="shared" si="136"/>
        <v>CONCILIACIÓN TRIBUTARIA</v>
      </c>
      <c r="U757" s="64" t="str">
        <f t="shared" si="137"/>
        <v>OTRO RESULTADO INTEGRAL DEL PERIODO (INFORMATIVO)</v>
      </c>
      <c r="V757" s="64" t="str">
        <f t="shared" si="141"/>
        <v>GANANCIAS Y PERDIDAS POR REVALUACIONES</v>
      </c>
      <c r="W757" s="64" t="str">
        <f t="shared" si="142"/>
        <v/>
      </c>
      <c r="X757" s="64" t="str">
        <f t="shared" si="138"/>
        <v/>
      </c>
      <c r="Y757" s="64" t="str">
        <f t="shared" si="139"/>
        <v/>
      </c>
      <c r="Z757" s="64" t="str">
        <f t="shared" si="140"/>
        <v/>
      </c>
      <c r="AA757" s="69" t="str">
        <f>IF(X757&lt;&gt;"",CONCATENATE(W757,"_",X757,"_",Y757,"_",Z757,""),CONCATENATE(U757,"_",V757, "_",W757,""))</f>
        <v>OTRO RESULTADO INTEGRAL DEL PERIODO (INFORMATIVO)_GANANCIAS Y PERDIDAS POR REVALUACIONES_</v>
      </c>
    </row>
    <row r="758" spans="1:425">
      <c r="A758" s="53"/>
      <c r="B758" s="53"/>
      <c r="C758" s="53"/>
      <c r="D758" s="242" t="s">
        <v>873</v>
      </c>
      <c r="E758" s="242"/>
      <c r="F758" s="242"/>
      <c r="G758" s="242"/>
      <c r="H758" s="242"/>
      <c r="I758" s="242"/>
      <c r="J758" s="242"/>
      <c r="K758" s="242"/>
      <c r="L758" s="242"/>
      <c r="M758" s="242"/>
      <c r="N758" s="9" t="s">
        <v>1334</v>
      </c>
      <c r="O758" s="109">
        <f>VLOOKUP(N758,Casilleros!$A$4:$Q$830,16,FALSE)</f>
        <v>0</v>
      </c>
      <c r="S758" s="61" t="str">
        <f t="shared" si="147"/>
        <v>880</v>
      </c>
      <c r="T758" s="64" t="str">
        <f t="shared" si="136"/>
        <v>CONCILIACIÓN TRIBUTARIA</v>
      </c>
      <c r="U758" s="64" t="str">
        <f t="shared" si="137"/>
        <v>OTRO RESULTADO INTEGRAL DEL PERIODO (INFORMATIVO)</v>
      </c>
      <c r="V758" s="64" t="str">
        <f t="shared" si="141"/>
        <v>GANANCIAS Y PERDIDAS POR REVALUACIONES</v>
      </c>
      <c r="W758" s="64" t="str">
        <f t="shared" si="142"/>
        <v>Propiedades, planta y equipo</v>
      </c>
      <c r="X758" s="64" t="str">
        <f t="shared" si="138"/>
        <v/>
      </c>
      <c r="Y758" s="64" t="str">
        <f t="shared" si="139"/>
        <v/>
      </c>
      <c r="Z758" s="64" t="str">
        <f t="shared" si="140"/>
        <v/>
      </c>
      <c r="AA758" s="69" t="str">
        <f t="shared" ref="AA758:AA768" si="148">IF(X758&lt;&gt;"",CONCATENATE(W758,"_",X758,"_",Y758,"_",Z758,""),CONCATENATE(U758,"_",V758, "_",W758,""))</f>
        <v>OTRO RESULTADO INTEGRAL DEL PERIODO (INFORMATIVO)_GANANCIAS Y PERDIDAS POR REVALUACIONES_Propiedades, planta y equipo</v>
      </c>
    </row>
    <row r="759" spans="1:425">
      <c r="A759" s="53"/>
      <c r="B759" s="53"/>
      <c r="C759" s="53"/>
      <c r="D759" s="242" t="s">
        <v>541</v>
      </c>
      <c r="E759" s="242"/>
      <c r="F759" s="242"/>
      <c r="G759" s="242"/>
      <c r="H759" s="242"/>
      <c r="I759" s="242"/>
      <c r="J759" s="242"/>
      <c r="K759" s="242"/>
      <c r="L759" s="242"/>
      <c r="M759" s="242"/>
      <c r="N759" s="9" t="s">
        <v>1335</v>
      </c>
      <c r="O759" s="109">
        <f>VLOOKUP(N759,Casilleros!$A$4:$Q$830,16,FALSE)</f>
        <v>0</v>
      </c>
      <c r="S759" s="61" t="str">
        <f t="shared" si="147"/>
        <v>881</v>
      </c>
      <c r="T759" s="64" t="str">
        <f t="shared" si="136"/>
        <v>CONCILIACIÓN TRIBUTARIA</v>
      </c>
      <c r="U759" s="64" t="str">
        <f t="shared" si="137"/>
        <v>OTRO RESULTADO INTEGRAL DEL PERIODO (INFORMATIVO)</v>
      </c>
      <c r="V759" s="64" t="str">
        <f t="shared" si="141"/>
        <v>GANANCIAS Y PERDIDAS POR REVALUACIONES</v>
      </c>
      <c r="W759" s="64" t="str">
        <f t="shared" si="142"/>
        <v>Activos intangibles</v>
      </c>
      <c r="X759" s="64" t="str">
        <f t="shared" si="138"/>
        <v/>
      </c>
      <c r="Y759" s="64" t="str">
        <f t="shared" si="139"/>
        <v/>
      </c>
      <c r="Z759" s="64" t="str">
        <f t="shared" si="140"/>
        <v/>
      </c>
      <c r="AA759" s="69" t="str">
        <f t="shared" si="148"/>
        <v>OTRO RESULTADO INTEGRAL DEL PERIODO (INFORMATIVO)_GANANCIAS Y PERDIDAS POR REVALUACIONES_Activos intangibles</v>
      </c>
    </row>
    <row r="760" spans="1:425">
      <c r="A760" s="53"/>
      <c r="B760" s="53"/>
      <c r="C760" s="53"/>
      <c r="D760" s="242" t="s">
        <v>122</v>
      </c>
      <c r="E760" s="242"/>
      <c r="F760" s="242"/>
      <c r="G760" s="242"/>
      <c r="H760" s="242"/>
      <c r="I760" s="242"/>
      <c r="J760" s="242"/>
      <c r="K760" s="242"/>
      <c r="L760" s="242"/>
      <c r="M760" s="242"/>
      <c r="N760" s="9" t="s">
        <v>1336</v>
      </c>
      <c r="O760" s="109">
        <f>VLOOKUP(N760,Casilleros!$A$4:$Q$830,16,FALSE)</f>
        <v>0</v>
      </c>
      <c r="S760" s="61" t="str">
        <f t="shared" si="147"/>
        <v>882</v>
      </c>
      <c r="T760" s="64" t="str">
        <f t="shared" si="136"/>
        <v>CONCILIACIÓN TRIBUTARIA</v>
      </c>
      <c r="U760" s="64" t="str">
        <f t="shared" si="137"/>
        <v>OTRO RESULTADO INTEGRAL DEL PERIODO (INFORMATIVO)</v>
      </c>
      <c r="V760" s="64" t="str">
        <f t="shared" si="141"/>
        <v>GANANCIAS Y PERDIDAS POR REVALUACIONES</v>
      </c>
      <c r="W760" s="64" t="str">
        <f t="shared" si="142"/>
        <v>Otros</v>
      </c>
      <c r="X760" s="64" t="str">
        <f t="shared" si="138"/>
        <v/>
      </c>
      <c r="Y760" s="64" t="str">
        <f t="shared" si="139"/>
        <v/>
      </c>
      <c r="Z760" s="64" t="str">
        <f t="shared" si="140"/>
        <v/>
      </c>
      <c r="AA760" s="69" t="str">
        <f t="shared" si="148"/>
        <v>OTRO RESULTADO INTEGRAL DEL PERIODO (INFORMATIVO)_GANANCIAS Y PERDIDAS POR REVALUACIONES_Otros</v>
      </c>
    </row>
    <row r="761" spans="1:425">
      <c r="A761" s="53"/>
      <c r="B761" s="53"/>
      <c r="C761" s="242" t="s">
        <v>1337</v>
      </c>
      <c r="D761" s="242"/>
      <c r="E761" s="242"/>
      <c r="F761" s="242"/>
      <c r="G761" s="242"/>
      <c r="H761" s="242"/>
      <c r="I761" s="242"/>
      <c r="J761" s="242"/>
      <c r="K761" s="242"/>
      <c r="L761" s="242"/>
      <c r="M761" s="242"/>
      <c r="N761" s="9" t="s">
        <v>1338</v>
      </c>
      <c r="O761" s="109">
        <f>VLOOKUP(N761,Casilleros!$A$4:$Q$830,16,FALSE)</f>
        <v>0</v>
      </c>
      <c r="S761" s="61" t="str">
        <f t="shared" si="147"/>
        <v>883</v>
      </c>
      <c r="T761" s="64" t="str">
        <f t="shared" si="136"/>
        <v>CONCILIACIÓN TRIBUTARIA</v>
      </c>
      <c r="U761" s="64" t="str">
        <f t="shared" si="137"/>
        <v>OTRO RESULTADO INTEGRAL DEL PERIODO (INFORMATIVO)</v>
      </c>
      <c r="V761" s="64" t="str">
        <f t="shared" si="141"/>
        <v>Ganancias y pérdidas por inversiones en instrumentos de patrimonio medidos a valor razonable con cambios en otro resultado integral</v>
      </c>
      <c r="W761" s="64" t="str">
        <f t="shared" si="142"/>
        <v/>
      </c>
      <c r="X761" s="64" t="str">
        <f t="shared" si="138"/>
        <v/>
      </c>
      <c r="Y761" s="64" t="str">
        <f t="shared" si="139"/>
        <v/>
      </c>
      <c r="Z761" s="64" t="str">
        <f t="shared" si="140"/>
        <v/>
      </c>
      <c r="AA761" s="69" t="str">
        <f t="shared" si="148"/>
        <v>OTRO RESULTADO INTEGRAL DEL PERIODO (INFORMATIVO)_Ganancias y pérdidas por inversiones en instrumentos de patrimonio medidos a valor razonable con cambios en otro resultado integral_</v>
      </c>
    </row>
    <row r="762" spans="1:425">
      <c r="A762" s="53"/>
      <c r="B762" s="53"/>
      <c r="C762" s="242" t="s">
        <v>1339</v>
      </c>
      <c r="D762" s="242"/>
      <c r="E762" s="242"/>
      <c r="F762" s="242"/>
      <c r="G762" s="242"/>
      <c r="H762" s="242"/>
      <c r="I762" s="242"/>
      <c r="J762" s="242"/>
      <c r="K762" s="242"/>
      <c r="L762" s="242"/>
      <c r="M762" s="242"/>
      <c r="N762" s="9" t="s">
        <v>1340</v>
      </c>
      <c r="O762" s="109">
        <f>VLOOKUP(N762,Casilleros!$A$4:$Q$830,16,FALSE)</f>
        <v>0</v>
      </c>
      <c r="S762" s="61" t="str">
        <f t="shared" si="147"/>
        <v>884</v>
      </c>
      <c r="T762" s="64" t="str">
        <f t="shared" si="136"/>
        <v>CONCILIACIÓN TRIBUTARIA</v>
      </c>
      <c r="U762" s="64" t="str">
        <f t="shared" si="137"/>
        <v>OTRO RESULTADO INTEGRAL DEL PERIODO (INFORMATIVO)</v>
      </c>
      <c r="V762" s="64" t="str">
        <f t="shared" si="141"/>
        <v>Ganancias y pérdidas por la conversión de estados financieros de un negocio en el extranjero</v>
      </c>
      <c r="W762" s="64" t="str">
        <f t="shared" si="142"/>
        <v/>
      </c>
      <c r="X762" s="64" t="str">
        <f t="shared" si="138"/>
        <v/>
      </c>
      <c r="Y762" s="64" t="str">
        <f t="shared" si="139"/>
        <v/>
      </c>
      <c r="Z762" s="64" t="str">
        <f t="shared" si="140"/>
        <v/>
      </c>
      <c r="AA762" s="69" t="str">
        <f t="shared" si="148"/>
        <v>OTRO RESULTADO INTEGRAL DEL PERIODO (INFORMATIVO)_Ganancias y pérdidas por la conversión de estados financieros de un negocio en el extranjero_</v>
      </c>
    </row>
    <row r="763" spans="1:425">
      <c r="A763" s="53"/>
      <c r="B763" s="53"/>
      <c r="C763" s="242" t="s">
        <v>1341</v>
      </c>
      <c r="D763" s="242"/>
      <c r="E763" s="242"/>
      <c r="F763" s="242"/>
      <c r="G763" s="242"/>
      <c r="H763" s="242"/>
      <c r="I763" s="242"/>
      <c r="J763" s="242"/>
      <c r="K763" s="242"/>
      <c r="L763" s="242"/>
      <c r="M763" s="242"/>
      <c r="N763" s="9" t="s">
        <v>1342</v>
      </c>
      <c r="O763" s="109">
        <f>VLOOKUP(N763,Casilleros!$A$4:$Q$830,16,FALSE)</f>
        <v>0</v>
      </c>
      <c r="S763" s="61" t="str">
        <f t="shared" si="147"/>
        <v>885</v>
      </c>
      <c r="T763" s="64" t="str">
        <f t="shared" si="136"/>
        <v>CONCILIACIÓN TRIBUTARIA</v>
      </c>
      <c r="U763" s="64" t="str">
        <f t="shared" si="137"/>
        <v>OTRO RESULTADO INTEGRAL DEL PERIODO (INFORMATIVO)</v>
      </c>
      <c r="V763" s="64" t="str">
        <f t="shared" si="141"/>
        <v>Ganancias y pérdidas actuariales</v>
      </c>
      <c r="W763" s="64" t="str">
        <f t="shared" si="142"/>
        <v/>
      </c>
      <c r="X763" s="64" t="str">
        <f t="shared" si="138"/>
        <v/>
      </c>
      <c r="Y763" s="64" t="str">
        <f t="shared" si="139"/>
        <v/>
      </c>
      <c r="Z763" s="64" t="str">
        <f t="shared" si="140"/>
        <v/>
      </c>
      <c r="AA763" s="69" t="str">
        <f t="shared" si="148"/>
        <v>OTRO RESULTADO INTEGRAL DEL PERIODO (INFORMATIVO)_Ganancias y pérdidas actuariales_</v>
      </c>
    </row>
    <row r="764" spans="1:425">
      <c r="A764" s="53"/>
      <c r="B764" s="53"/>
      <c r="C764" s="242" t="s">
        <v>550</v>
      </c>
      <c r="D764" s="242"/>
      <c r="E764" s="242"/>
      <c r="F764" s="242"/>
      <c r="G764" s="242"/>
      <c r="H764" s="242"/>
      <c r="I764" s="242"/>
      <c r="J764" s="242"/>
      <c r="K764" s="242"/>
      <c r="L764" s="242"/>
      <c r="M764" s="242"/>
      <c r="N764" s="9" t="s">
        <v>1343</v>
      </c>
      <c r="O764" s="109">
        <f>VLOOKUP(N764,Casilleros!$A$4:$Q$830,16,FALSE)</f>
        <v>0</v>
      </c>
      <c r="S764" s="61" t="str">
        <f t="shared" si="147"/>
        <v>886</v>
      </c>
      <c r="T764" s="64" t="str">
        <f t="shared" si="136"/>
        <v>CONCILIACIÓN TRIBUTARIA</v>
      </c>
      <c r="U764" s="64" t="str">
        <f t="shared" si="137"/>
        <v>OTRO RESULTADO INTEGRAL DEL PERIODO (INFORMATIVO)</v>
      </c>
      <c r="V764" s="64" t="str">
        <f t="shared" si="141"/>
        <v>La parte efectiva de las ganancias y pérdidas de los instrumentos de cobertura en una cobertura de flujos de efectivo</v>
      </c>
      <c r="W764" s="64" t="str">
        <f t="shared" si="142"/>
        <v/>
      </c>
      <c r="X764" s="64" t="str">
        <f t="shared" si="138"/>
        <v/>
      </c>
      <c r="Y764" s="64" t="str">
        <f t="shared" si="139"/>
        <v/>
      </c>
      <c r="Z764" s="64" t="str">
        <f t="shared" si="140"/>
        <v/>
      </c>
      <c r="AA764" s="69" t="str">
        <f t="shared" si="148"/>
        <v>OTRO RESULTADO INTEGRAL DEL PERIODO (INFORMATIVO)_La parte efectiva de las ganancias y pérdidas de los instrumentos de cobertura en una cobertura de flujos de efectivo_</v>
      </c>
    </row>
    <row r="765" spans="1:425">
      <c r="A765" s="53"/>
      <c r="B765" s="53"/>
      <c r="C765" s="242" t="s">
        <v>122</v>
      </c>
      <c r="D765" s="242"/>
      <c r="E765" s="242"/>
      <c r="F765" s="242"/>
      <c r="G765" s="242"/>
      <c r="H765" s="242"/>
      <c r="I765" s="242"/>
      <c r="J765" s="242"/>
      <c r="K765" s="242"/>
      <c r="L765" s="242"/>
      <c r="M765" s="242"/>
      <c r="N765" s="9" t="s">
        <v>1344</v>
      </c>
      <c r="O765" s="109">
        <f>VLOOKUP(N765,Casilleros!$A$4:$Q$830,16,FALSE)</f>
        <v>0</v>
      </c>
      <c r="S765" s="61" t="str">
        <f t="shared" si="147"/>
        <v>887</v>
      </c>
      <c r="T765" s="64" t="str">
        <f t="shared" si="136"/>
        <v>CONCILIACIÓN TRIBUTARIA</v>
      </c>
      <c r="U765" s="64" t="str">
        <f t="shared" si="137"/>
        <v>OTRO RESULTADO INTEGRAL DEL PERIODO (INFORMATIVO)</v>
      </c>
      <c r="V765" s="64" t="str">
        <f t="shared" si="141"/>
        <v>Otros</v>
      </c>
      <c r="W765" s="64" t="str">
        <f t="shared" si="142"/>
        <v/>
      </c>
      <c r="X765" s="64" t="str">
        <f t="shared" si="138"/>
        <v/>
      </c>
      <c r="Y765" s="64" t="str">
        <f t="shared" si="139"/>
        <v/>
      </c>
      <c r="Z765" s="64" t="str">
        <f t="shared" si="140"/>
        <v/>
      </c>
      <c r="AA765" s="69" t="str">
        <f t="shared" si="148"/>
        <v>OTRO RESULTADO INTEGRAL DEL PERIODO (INFORMATIVO)_Otros_</v>
      </c>
    </row>
    <row r="766" spans="1:425">
      <c r="A766" s="53"/>
      <c r="B766" s="236" t="s">
        <v>1345</v>
      </c>
      <c r="C766" s="236"/>
      <c r="D766" s="236"/>
      <c r="E766" s="236"/>
      <c r="F766" s="236"/>
      <c r="G766" s="236"/>
      <c r="H766" s="236"/>
      <c r="I766" s="236"/>
      <c r="J766" s="236"/>
      <c r="K766" s="236"/>
      <c r="L766" s="236"/>
      <c r="M766" s="236"/>
      <c r="N766" s="236"/>
      <c r="O766" s="236"/>
      <c r="S766" s="61">
        <f t="shared" si="147"/>
        <v>0</v>
      </c>
      <c r="T766" s="64" t="str">
        <f t="shared" ref="T766:T779" si="149">IF(A766&lt;&gt;"",A766,T765)</f>
        <v>CONCILIACIÓN TRIBUTARIA</v>
      </c>
      <c r="U766" s="64" t="str">
        <f t="shared" ref="U766:U779" si="150">IF(T765&lt;&gt;T766,"",(IF(B766&lt;&gt;"",B766,U765)))</f>
        <v xml:space="preserve">GASTO (INGRESO) POR IMPUESTO A LA RENTA DEL PERIODO (INFORMATIVO) </v>
      </c>
      <c r="V766" s="64" t="str">
        <f t="shared" si="141"/>
        <v/>
      </c>
      <c r="W766" s="64" t="str">
        <f t="shared" si="142"/>
        <v/>
      </c>
      <c r="X766" s="64" t="str">
        <f t="shared" ref="X766:X779" si="151">IF(W765&lt;&gt;W766,"",(IF(E766&lt;&gt;"",E766,X765)))</f>
        <v/>
      </c>
      <c r="Y766" s="64" t="str">
        <f t="shared" ref="Y766:Y779" si="152">IF(X765&lt;&gt;X766,"",(IF(F766&lt;&gt;"",F766,Y765)))</f>
        <v/>
      </c>
      <c r="Z766" s="64" t="str">
        <f t="shared" ref="Z766:Z779" si="153">IF(Y765&lt;&gt;Y766,"",(IF(G766&lt;&gt;"",G766,Z765)))</f>
        <v/>
      </c>
      <c r="AA766" s="64" t="str">
        <f>IF(X766&lt;&gt;"",CONCATENATE(W766,"_",X766,"_",Y766,"_",Z766,""),CONCATENATE(V766, "_",W766,""))</f>
        <v>_</v>
      </c>
    </row>
    <row r="767" spans="1:425">
      <c r="A767" s="53"/>
      <c r="B767" s="53"/>
      <c r="C767" s="242" t="s">
        <v>1346</v>
      </c>
      <c r="D767" s="242"/>
      <c r="E767" s="242"/>
      <c r="F767" s="242"/>
      <c r="G767" s="242"/>
      <c r="H767" s="242"/>
      <c r="I767" s="242"/>
      <c r="J767" s="242"/>
      <c r="K767" s="242"/>
      <c r="L767" s="242"/>
      <c r="M767" s="242"/>
      <c r="N767" s="9" t="s">
        <v>1347</v>
      </c>
      <c r="O767" s="106">
        <f>VLOOKUP(N767,Casilleros!$A$4:$Q$830,16,FALSE)</f>
        <v>0</v>
      </c>
      <c r="S767" s="61" t="str">
        <f t="shared" si="147"/>
        <v>888</v>
      </c>
      <c r="T767" s="64" t="str">
        <f t="shared" si="149"/>
        <v>CONCILIACIÓN TRIBUTARIA</v>
      </c>
      <c r="U767" s="64" t="str">
        <f t="shared" si="150"/>
        <v xml:space="preserve">GASTO (INGRESO) POR IMPUESTO A LA RENTA DEL PERIODO (INFORMATIVO) </v>
      </c>
      <c r="V767" s="64" t="str">
        <f t="shared" si="141"/>
        <v>Gasto (ingreso) por impuesto a la renta corriente</v>
      </c>
      <c r="W767" s="64" t="str">
        <f t="shared" si="142"/>
        <v/>
      </c>
      <c r="X767" s="64" t="str">
        <f t="shared" si="151"/>
        <v/>
      </c>
      <c r="Y767" s="64" t="str">
        <f t="shared" si="152"/>
        <v/>
      </c>
      <c r="Z767" s="64" t="str">
        <f t="shared" si="153"/>
        <v/>
      </c>
      <c r="AA767" s="69" t="str">
        <f t="shared" si="148"/>
        <v>GASTO (INGRESO) POR IMPUESTO A LA RENTA DEL PERIODO (INFORMATIVO) _Gasto (ingreso) por impuesto a la renta corriente_</v>
      </c>
    </row>
    <row r="768" spans="1:425">
      <c r="A768" s="53"/>
      <c r="B768" s="53"/>
      <c r="C768" s="242" t="s">
        <v>1348</v>
      </c>
      <c r="D768" s="242"/>
      <c r="E768" s="242"/>
      <c r="F768" s="242"/>
      <c r="G768" s="242"/>
      <c r="H768" s="242"/>
      <c r="I768" s="242"/>
      <c r="J768" s="242"/>
      <c r="K768" s="242"/>
      <c r="L768" s="242"/>
      <c r="M768" s="242"/>
      <c r="N768" s="9" t="s">
        <v>1349</v>
      </c>
      <c r="O768" s="109">
        <f>VLOOKUP(N768,Casilleros!$A$4:$Q$830,16,FALSE)</f>
        <v>0</v>
      </c>
      <c r="S768" s="61" t="str">
        <f t="shared" si="147"/>
        <v>889</v>
      </c>
      <c r="T768" s="64" t="str">
        <f t="shared" si="149"/>
        <v>CONCILIACIÓN TRIBUTARIA</v>
      </c>
      <c r="U768" s="64" t="str">
        <f t="shared" si="150"/>
        <v xml:space="preserve">GASTO (INGRESO) POR IMPUESTO A LA RENTA DEL PERIODO (INFORMATIVO) </v>
      </c>
      <c r="V768" s="64" t="str">
        <f t="shared" si="141"/>
        <v>Gasto (ingreso) por impuesto a la renta diferido</v>
      </c>
      <c r="W768" s="64" t="str">
        <f t="shared" si="142"/>
        <v/>
      </c>
      <c r="X768" s="64" t="str">
        <f t="shared" si="151"/>
        <v/>
      </c>
      <c r="Y768" s="64" t="str">
        <f t="shared" si="152"/>
        <v/>
      </c>
      <c r="Z768" s="64" t="str">
        <f t="shared" si="153"/>
        <v/>
      </c>
      <c r="AA768" s="69" t="str">
        <f t="shared" si="148"/>
        <v>GASTO (INGRESO) POR IMPUESTO A LA RENTA DEL PERIODO (INFORMATIVO) _Gasto (ingreso) por impuesto a la renta diferido_</v>
      </c>
    </row>
    <row r="769" spans="1:27">
      <c r="A769" s="53"/>
      <c r="B769" s="236" t="s">
        <v>1350</v>
      </c>
      <c r="C769" s="236"/>
      <c r="D769" s="236"/>
      <c r="E769" s="236"/>
      <c r="F769" s="236"/>
      <c r="G769" s="236"/>
      <c r="H769" s="236"/>
      <c r="I769" s="236"/>
      <c r="J769" s="236"/>
      <c r="K769" s="236"/>
      <c r="L769" s="236"/>
      <c r="M769" s="236"/>
      <c r="N769" s="236"/>
      <c r="O769" s="236"/>
      <c r="S769" s="61">
        <f t="shared" si="147"/>
        <v>0</v>
      </c>
      <c r="T769" s="64" t="str">
        <f t="shared" si="149"/>
        <v>CONCILIACIÓN TRIBUTARIA</v>
      </c>
      <c r="U769" s="64" t="str">
        <f t="shared" si="150"/>
        <v>TOTALES</v>
      </c>
      <c r="V769" s="64" t="str">
        <f t="shared" si="141"/>
        <v/>
      </c>
      <c r="W769" s="64" t="str">
        <f t="shared" si="142"/>
        <v/>
      </c>
      <c r="X769" s="64" t="str">
        <f t="shared" si="151"/>
        <v/>
      </c>
      <c r="Y769" s="64" t="str">
        <f t="shared" si="152"/>
        <v/>
      </c>
      <c r="Z769" s="64" t="str">
        <f t="shared" si="153"/>
        <v/>
      </c>
      <c r="AA769" s="64" t="str">
        <f t="shared" ref="AA769:AA779" si="154">IF(X769&lt;&gt;"",CONCATENATE(W769,"_",X769,"_",Y769,"_",Z769,""),CONCATENATE(V769, "_",W769,""))</f>
        <v>_</v>
      </c>
    </row>
    <row r="770" spans="1:27">
      <c r="A770" s="53"/>
      <c r="B770" s="53"/>
      <c r="C770" s="242" t="s">
        <v>1351</v>
      </c>
      <c r="D770" s="242"/>
      <c r="E770" s="242"/>
      <c r="F770" s="242"/>
      <c r="G770" s="242"/>
      <c r="H770" s="242"/>
      <c r="I770" s="242"/>
      <c r="J770" s="242"/>
      <c r="K770" s="242"/>
      <c r="L770" s="242"/>
      <c r="M770" s="242"/>
      <c r="N770" s="9" t="s">
        <v>1352</v>
      </c>
      <c r="O770" s="55"/>
      <c r="S770" s="61" t="str">
        <f t="shared" si="147"/>
        <v>890</v>
      </c>
      <c r="T770" s="64" t="str">
        <f t="shared" si="149"/>
        <v>CONCILIACIÓN TRIBUTARIA</v>
      </c>
      <c r="U770" s="64" t="str">
        <f t="shared" si="150"/>
        <v>TOTALES</v>
      </c>
      <c r="V770" s="64" t="str">
        <f t="shared" si="141"/>
        <v>Pago previo (Informativo)</v>
      </c>
      <c r="W770" s="64" t="str">
        <f t="shared" si="142"/>
        <v/>
      </c>
      <c r="X770" s="64" t="str">
        <f t="shared" si="151"/>
        <v/>
      </c>
      <c r="Y770" s="64" t="str">
        <f t="shared" si="152"/>
        <v/>
      </c>
      <c r="Z770" s="64" t="str">
        <f t="shared" si="153"/>
        <v/>
      </c>
      <c r="AA770" s="64" t="str">
        <f t="shared" si="154"/>
        <v>Pago previo (Informativo)_</v>
      </c>
    </row>
    <row r="771" spans="1:27">
      <c r="A771" s="53"/>
      <c r="B771" s="53"/>
      <c r="C771" s="239" t="s">
        <v>1353</v>
      </c>
      <c r="D771" s="239"/>
      <c r="E771" s="239"/>
      <c r="F771" s="239"/>
      <c r="G771" s="239"/>
      <c r="H771" s="239"/>
      <c r="I771" s="239"/>
      <c r="J771" s="239"/>
      <c r="K771" s="239"/>
      <c r="L771" s="239"/>
      <c r="M771" s="239"/>
      <c r="N771" s="239"/>
      <c r="O771" s="239"/>
      <c r="S771" s="61">
        <f t="shared" si="147"/>
        <v>0</v>
      </c>
      <c r="T771" s="64" t="str">
        <f t="shared" si="149"/>
        <v>CONCILIACIÓN TRIBUTARIA</v>
      </c>
      <c r="U771" s="64" t="str">
        <f t="shared" si="150"/>
        <v>TOTALES</v>
      </c>
      <c r="V771" s="64" t="str">
        <f t="shared" si="141"/>
        <v>DETALLE DE IMPUTACIÓN AL PAGO (PARA DECLARACIONES SUSTITUTIVAS)</v>
      </c>
      <c r="W771" s="64" t="str">
        <f t="shared" si="142"/>
        <v/>
      </c>
      <c r="X771" s="64" t="str">
        <f t="shared" si="151"/>
        <v/>
      </c>
      <c r="Y771" s="64" t="str">
        <f t="shared" si="152"/>
        <v/>
      </c>
      <c r="Z771" s="64" t="str">
        <f t="shared" si="153"/>
        <v/>
      </c>
      <c r="AA771" s="64" t="str">
        <f t="shared" si="154"/>
        <v>DETALLE DE IMPUTACIÓN AL PAGO (PARA DECLARACIONES SUSTITUTIVAS)_</v>
      </c>
    </row>
    <row r="772" spans="1:27">
      <c r="A772" s="53"/>
      <c r="B772" s="53"/>
      <c r="C772" s="53"/>
      <c r="D772" s="242" t="s">
        <v>1354</v>
      </c>
      <c r="E772" s="242"/>
      <c r="F772" s="242"/>
      <c r="G772" s="242"/>
      <c r="H772" s="242"/>
      <c r="I772" s="242"/>
      <c r="J772" s="242"/>
      <c r="K772" s="242"/>
      <c r="L772" s="242"/>
      <c r="M772" s="242"/>
      <c r="N772" s="9" t="s">
        <v>1355</v>
      </c>
      <c r="O772" s="55"/>
      <c r="S772" s="61" t="str">
        <f t="shared" si="147"/>
        <v>897</v>
      </c>
      <c r="T772" s="64" t="str">
        <f t="shared" si="149"/>
        <v>CONCILIACIÓN TRIBUTARIA</v>
      </c>
      <c r="U772" s="64" t="str">
        <f t="shared" si="150"/>
        <v>TOTALES</v>
      </c>
      <c r="V772" s="64" t="str">
        <f t="shared" si="141"/>
        <v>DETALLE DE IMPUTACIÓN AL PAGO (PARA DECLARACIONES SUSTITUTIVAS)</v>
      </c>
      <c r="W772" s="64" t="str">
        <f t="shared" si="142"/>
        <v>Interés</v>
      </c>
      <c r="X772" s="64" t="str">
        <f t="shared" si="151"/>
        <v/>
      </c>
      <c r="Y772" s="64" t="str">
        <f t="shared" si="152"/>
        <v/>
      </c>
      <c r="Z772" s="64" t="str">
        <f t="shared" si="153"/>
        <v/>
      </c>
      <c r="AA772" s="64" t="str">
        <f t="shared" si="154"/>
        <v>DETALLE DE IMPUTACIÓN AL PAGO (PARA DECLARACIONES SUSTITUTIVAS)_Interés</v>
      </c>
    </row>
    <row r="773" spans="1:27">
      <c r="A773" s="53"/>
      <c r="B773" s="53"/>
      <c r="C773" s="53"/>
      <c r="D773" s="242" t="s">
        <v>1356</v>
      </c>
      <c r="E773" s="242"/>
      <c r="F773" s="242"/>
      <c r="G773" s="242"/>
      <c r="H773" s="242"/>
      <c r="I773" s="242"/>
      <c r="J773" s="242"/>
      <c r="K773" s="242"/>
      <c r="L773" s="242"/>
      <c r="M773" s="242"/>
      <c r="N773" s="9" t="s">
        <v>1357</v>
      </c>
      <c r="O773" s="55"/>
      <c r="S773" s="61" t="str">
        <f t="shared" si="147"/>
        <v>898</v>
      </c>
      <c r="T773" s="64" t="str">
        <f t="shared" si="149"/>
        <v>CONCILIACIÓN TRIBUTARIA</v>
      </c>
      <c r="U773" s="64" t="str">
        <f t="shared" si="150"/>
        <v>TOTALES</v>
      </c>
      <c r="V773" s="64" t="str">
        <f t="shared" si="141"/>
        <v>DETALLE DE IMPUTACIÓN AL PAGO (PARA DECLARACIONES SUSTITUTIVAS)</v>
      </c>
      <c r="W773" s="64" t="str">
        <f t="shared" si="142"/>
        <v>Impuesto</v>
      </c>
      <c r="X773" s="64" t="str">
        <f t="shared" si="151"/>
        <v/>
      </c>
      <c r="Y773" s="64" t="str">
        <f t="shared" si="152"/>
        <v/>
      </c>
      <c r="Z773" s="64" t="str">
        <f t="shared" si="153"/>
        <v/>
      </c>
      <c r="AA773" s="64" t="str">
        <f t="shared" si="154"/>
        <v>DETALLE DE IMPUTACIÓN AL PAGO (PARA DECLARACIONES SUSTITUTIVAS)_Impuesto</v>
      </c>
    </row>
    <row r="774" spans="1:27">
      <c r="A774" s="53"/>
      <c r="B774" s="53"/>
      <c r="C774" s="53"/>
      <c r="D774" s="242" t="s">
        <v>1358</v>
      </c>
      <c r="E774" s="242"/>
      <c r="F774" s="242"/>
      <c r="G774" s="242"/>
      <c r="H774" s="242"/>
      <c r="I774" s="242"/>
      <c r="J774" s="242"/>
      <c r="K774" s="242"/>
      <c r="L774" s="242"/>
      <c r="M774" s="242"/>
      <c r="N774" s="9" t="s">
        <v>1359</v>
      </c>
      <c r="O774" s="55"/>
      <c r="S774" s="61" t="str">
        <f t="shared" si="147"/>
        <v>899</v>
      </c>
      <c r="T774" s="64" t="str">
        <f t="shared" si="149"/>
        <v>CONCILIACIÓN TRIBUTARIA</v>
      </c>
      <c r="U774" s="64" t="str">
        <f t="shared" si="150"/>
        <v>TOTALES</v>
      </c>
      <c r="V774" s="64" t="str">
        <f t="shared" si="141"/>
        <v>DETALLE DE IMPUTACIÓN AL PAGO (PARA DECLARACIONES SUSTITUTIVAS)</v>
      </c>
      <c r="W774" s="64" t="str">
        <f t="shared" si="142"/>
        <v>Multa</v>
      </c>
      <c r="X774" s="64" t="str">
        <f t="shared" si="151"/>
        <v/>
      </c>
      <c r="Y774" s="64" t="str">
        <f t="shared" si="152"/>
        <v/>
      </c>
      <c r="Z774" s="64" t="str">
        <f t="shared" si="153"/>
        <v/>
      </c>
      <c r="AA774" s="64" t="str">
        <f t="shared" si="154"/>
        <v>DETALLE DE IMPUTACIÓN AL PAGO (PARA DECLARACIONES SUSTITUTIVAS)_Multa</v>
      </c>
    </row>
    <row r="775" spans="1:27">
      <c r="A775" s="53"/>
      <c r="B775" s="53"/>
      <c r="C775" s="239" t="s">
        <v>1360</v>
      </c>
      <c r="D775" s="239"/>
      <c r="E775" s="239"/>
      <c r="F775" s="239"/>
      <c r="G775" s="239"/>
      <c r="H775" s="239"/>
      <c r="I775" s="239"/>
      <c r="J775" s="239"/>
      <c r="K775" s="239"/>
      <c r="L775" s="239"/>
      <c r="M775" s="239"/>
      <c r="N775" s="239"/>
      <c r="O775" s="239"/>
      <c r="S775" s="61">
        <f t="shared" si="147"/>
        <v>0</v>
      </c>
      <c r="T775" s="64" t="str">
        <f t="shared" si="149"/>
        <v>CONCILIACIÓN TRIBUTARIA</v>
      </c>
      <c r="U775" s="64" t="str">
        <f t="shared" si="150"/>
        <v>TOTALES</v>
      </c>
      <c r="V775" s="64" t="str">
        <f t="shared" si="141"/>
        <v>VALORES A PAGAR Y FORMAS DE PAGO (LUEGO DE IMPUTACIÓN AL PAGO EN DECLARACIONES SUSTITUTIVAS)</v>
      </c>
      <c r="W775" s="64" t="str">
        <f t="shared" si="142"/>
        <v/>
      </c>
      <c r="X775" s="64" t="str">
        <f t="shared" si="151"/>
        <v/>
      </c>
      <c r="Y775" s="64" t="str">
        <f t="shared" si="152"/>
        <v/>
      </c>
      <c r="Z775" s="64" t="str">
        <f t="shared" si="153"/>
        <v/>
      </c>
      <c r="AA775" s="64" t="str">
        <f t="shared" si="154"/>
        <v>VALORES A PAGAR Y FORMAS DE PAGO (LUEGO DE IMPUTACIÓN AL PAGO EN DECLARACIONES SUSTITUTIVAS)_</v>
      </c>
    </row>
    <row r="776" spans="1:27">
      <c r="A776" s="53"/>
      <c r="B776" s="53"/>
      <c r="C776" s="53"/>
      <c r="D776" s="288" t="s">
        <v>1361</v>
      </c>
      <c r="E776" s="288"/>
      <c r="F776" s="288"/>
      <c r="G776" s="288"/>
      <c r="H776" s="288"/>
      <c r="I776" s="288"/>
      <c r="J776" s="288"/>
      <c r="K776" s="288"/>
      <c r="L776" s="288"/>
      <c r="M776" s="288"/>
      <c r="N776" s="94" t="s">
        <v>1362</v>
      </c>
      <c r="O776" s="95" t="e">
        <f>+O735</f>
        <v>#REF!</v>
      </c>
      <c r="S776" s="61" t="str">
        <f t="shared" si="147"/>
        <v>902</v>
      </c>
      <c r="T776" s="64" t="str">
        <f t="shared" si="149"/>
        <v>CONCILIACIÓN TRIBUTARIA</v>
      </c>
      <c r="U776" s="64" t="str">
        <f t="shared" si="150"/>
        <v>TOTALES</v>
      </c>
      <c r="V776" s="64" t="str">
        <f t="shared" si="141"/>
        <v>VALORES A PAGAR Y FORMAS DE PAGO (LUEGO DE IMPUTACIÓN AL PAGO EN DECLARACIONES SUSTITUTIVAS)</v>
      </c>
      <c r="W776" s="64" t="str">
        <f t="shared" si="142"/>
        <v>TOTAL IMPUESTO A PAGAR</v>
      </c>
      <c r="X776" s="64" t="str">
        <f t="shared" si="151"/>
        <v/>
      </c>
      <c r="Y776" s="64" t="str">
        <f t="shared" si="152"/>
        <v/>
      </c>
      <c r="Z776" s="64" t="str">
        <f t="shared" si="153"/>
        <v/>
      </c>
      <c r="AA776" s="64" t="str">
        <f t="shared" si="154"/>
        <v>VALORES A PAGAR Y FORMAS DE PAGO (LUEGO DE IMPUTACIÓN AL PAGO EN DECLARACIONES SUSTITUTIVAS)_TOTAL IMPUESTO A PAGAR</v>
      </c>
    </row>
    <row r="777" spans="1:27">
      <c r="A777" s="53"/>
      <c r="B777" s="53"/>
      <c r="C777" s="53"/>
      <c r="D777" s="242" t="s">
        <v>1363</v>
      </c>
      <c r="E777" s="242"/>
      <c r="F777" s="242"/>
      <c r="G777" s="242"/>
      <c r="H777" s="242"/>
      <c r="I777" s="242"/>
      <c r="J777" s="242"/>
      <c r="K777" s="242"/>
      <c r="L777" s="242"/>
      <c r="M777" s="242"/>
      <c r="N777" s="9" t="s">
        <v>1364</v>
      </c>
      <c r="O777" s="55"/>
      <c r="S777" s="61" t="str">
        <f t="shared" si="147"/>
        <v>903</v>
      </c>
      <c r="T777" s="64" t="str">
        <f t="shared" si="149"/>
        <v>CONCILIACIÓN TRIBUTARIA</v>
      </c>
      <c r="U777" s="64" t="str">
        <f t="shared" si="150"/>
        <v>TOTALES</v>
      </c>
      <c r="V777" s="64" t="str">
        <f t="shared" si="141"/>
        <v>VALORES A PAGAR Y FORMAS DE PAGO (LUEGO DE IMPUTACIÓN AL PAGO EN DECLARACIONES SUSTITUTIVAS)</v>
      </c>
      <c r="W777" s="64" t="str">
        <f t="shared" si="142"/>
        <v xml:space="preserve">Interés por mora </v>
      </c>
      <c r="X777" s="64" t="str">
        <f t="shared" si="151"/>
        <v/>
      </c>
      <c r="Y777" s="64" t="str">
        <f t="shared" si="152"/>
        <v/>
      </c>
      <c r="Z777" s="64" t="str">
        <f t="shared" si="153"/>
        <v/>
      </c>
      <c r="AA777" s="64" t="str">
        <f t="shared" si="154"/>
        <v xml:space="preserve">VALORES A PAGAR Y FORMAS DE PAGO (LUEGO DE IMPUTACIÓN AL PAGO EN DECLARACIONES SUSTITUTIVAS)_Interés por mora </v>
      </c>
    </row>
    <row r="778" spans="1:27">
      <c r="A778" s="53"/>
      <c r="B778" s="53"/>
      <c r="C778" s="53"/>
      <c r="D778" s="242" t="s">
        <v>1365</v>
      </c>
      <c r="E778" s="242"/>
      <c r="F778" s="242"/>
      <c r="G778" s="242"/>
      <c r="H778" s="242"/>
      <c r="I778" s="242"/>
      <c r="J778" s="242"/>
      <c r="K778" s="242"/>
      <c r="L778" s="242"/>
      <c r="M778" s="242"/>
      <c r="N778" s="9" t="s">
        <v>1366</v>
      </c>
      <c r="O778" s="55"/>
      <c r="S778" s="61" t="str">
        <f t="shared" si="147"/>
        <v>904</v>
      </c>
      <c r="T778" s="64" t="str">
        <f t="shared" si="149"/>
        <v>CONCILIACIÓN TRIBUTARIA</v>
      </c>
      <c r="U778" s="64" t="str">
        <f t="shared" si="150"/>
        <v>TOTALES</v>
      </c>
      <c r="V778" s="64" t="str">
        <f t="shared" si="141"/>
        <v>VALORES A PAGAR Y FORMAS DE PAGO (LUEGO DE IMPUTACIÓN AL PAGO EN DECLARACIONES SUSTITUTIVAS)</v>
      </c>
      <c r="W778" s="64" t="str">
        <f t="shared" si="142"/>
        <v xml:space="preserve">Multa </v>
      </c>
      <c r="X778" s="64" t="str">
        <f t="shared" si="151"/>
        <v/>
      </c>
      <c r="Y778" s="64" t="str">
        <f t="shared" si="152"/>
        <v/>
      </c>
      <c r="Z778" s="64" t="str">
        <f t="shared" si="153"/>
        <v/>
      </c>
      <c r="AA778" s="64" t="str">
        <f t="shared" si="154"/>
        <v xml:space="preserve">VALORES A PAGAR Y FORMAS DE PAGO (LUEGO DE IMPUTACIÓN AL PAGO EN DECLARACIONES SUSTITUTIVAS)_Multa </v>
      </c>
    </row>
    <row r="779" spans="1:27">
      <c r="A779" s="53"/>
      <c r="B779" s="53"/>
      <c r="C779" s="53"/>
      <c r="D779" s="288" t="s">
        <v>1367</v>
      </c>
      <c r="E779" s="288"/>
      <c r="F779" s="288"/>
      <c r="G779" s="288"/>
      <c r="H779" s="288"/>
      <c r="I779" s="288"/>
      <c r="J779" s="288"/>
      <c r="K779" s="288"/>
      <c r="L779" s="288"/>
      <c r="M779" s="288"/>
      <c r="N779" s="94" t="s">
        <v>1368</v>
      </c>
      <c r="O779" s="95" t="e">
        <f>SUM(O776:O778)</f>
        <v>#REF!</v>
      </c>
      <c r="S779" s="61" t="str">
        <f t="shared" si="147"/>
        <v>999</v>
      </c>
      <c r="T779" s="64" t="str">
        <f t="shared" si="149"/>
        <v>CONCILIACIÓN TRIBUTARIA</v>
      </c>
      <c r="U779" s="64" t="str">
        <f t="shared" si="150"/>
        <v>TOTALES</v>
      </c>
      <c r="V779" s="64" t="str">
        <f t="shared" si="141"/>
        <v>VALORES A PAGAR Y FORMAS DE PAGO (LUEGO DE IMPUTACIÓN AL PAGO EN DECLARACIONES SUSTITUTIVAS)</v>
      </c>
      <c r="W779" s="64" t="str">
        <f t="shared" si="142"/>
        <v>TOTAL PAGADO</v>
      </c>
      <c r="X779" s="64" t="str">
        <f t="shared" si="151"/>
        <v/>
      </c>
      <c r="Y779" s="64" t="str">
        <f t="shared" si="152"/>
        <v/>
      </c>
      <c r="Z779" s="64" t="str">
        <f t="shared" si="153"/>
        <v/>
      </c>
      <c r="AA779" s="64" t="str">
        <f t="shared" si="154"/>
        <v>VALORES A PAGAR Y FORMAS DE PAGO (LUEGO DE IMPUTACIÓN AL PAGO EN DECLARACIONES SUSTITUTIVAS)_TOTAL PAGADO</v>
      </c>
    </row>
  </sheetData>
  <mergeCells count="923">
    <mergeCell ref="D779:M779"/>
    <mergeCell ref="D773:M773"/>
    <mergeCell ref="D774:M774"/>
    <mergeCell ref="C775:O775"/>
    <mergeCell ref="D776:M776"/>
    <mergeCell ref="D777:M777"/>
    <mergeCell ref="D778:M778"/>
    <mergeCell ref="C767:M767"/>
    <mergeCell ref="C768:M768"/>
    <mergeCell ref="B769:O769"/>
    <mergeCell ref="C770:M770"/>
    <mergeCell ref="C771:O771"/>
    <mergeCell ref="D772:M772"/>
    <mergeCell ref="C761:M761"/>
    <mergeCell ref="C762:M762"/>
    <mergeCell ref="C763:M763"/>
    <mergeCell ref="C764:M764"/>
    <mergeCell ref="C765:M765"/>
    <mergeCell ref="B766:O766"/>
    <mergeCell ref="D755:M755"/>
    <mergeCell ref="B756:O756"/>
    <mergeCell ref="C757:O757"/>
    <mergeCell ref="D758:M758"/>
    <mergeCell ref="D759:M759"/>
    <mergeCell ref="D760:M760"/>
    <mergeCell ref="B749:M749"/>
    <mergeCell ref="B750:O750"/>
    <mergeCell ref="C751:O751"/>
    <mergeCell ref="D752:M752"/>
    <mergeCell ref="D753:M753"/>
    <mergeCell ref="D754:M754"/>
    <mergeCell ref="B743:M743"/>
    <mergeCell ref="B744:M744"/>
    <mergeCell ref="B745:M745"/>
    <mergeCell ref="B746:M746"/>
    <mergeCell ref="B747:M747"/>
    <mergeCell ref="B748:M748"/>
    <mergeCell ref="B737:O737"/>
    <mergeCell ref="B738:M738"/>
    <mergeCell ref="B739:M739"/>
    <mergeCell ref="B740:M740"/>
    <mergeCell ref="B741:M741"/>
    <mergeCell ref="B742:M742"/>
    <mergeCell ref="B731:M731"/>
    <mergeCell ref="B732:M732"/>
    <mergeCell ref="C733:M733"/>
    <mergeCell ref="C734:M734"/>
    <mergeCell ref="B735:M735"/>
    <mergeCell ref="B736:M736"/>
    <mergeCell ref="D725:M725"/>
    <mergeCell ref="C726:M726"/>
    <mergeCell ref="C727:M727"/>
    <mergeCell ref="C728:M728"/>
    <mergeCell ref="C729:M729"/>
    <mergeCell ref="C730:M730"/>
    <mergeCell ref="C719:M719"/>
    <mergeCell ref="C720:M720"/>
    <mergeCell ref="C721:M721"/>
    <mergeCell ref="C722:M722"/>
    <mergeCell ref="C723:O723"/>
    <mergeCell ref="D724:M724"/>
    <mergeCell ref="C713:M713"/>
    <mergeCell ref="C714:M714"/>
    <mergeCell ref="C715:M715"/>
    <mergeCell ref="C716:M716"/>
    <mergeCell ref="C717:M717"/>
    <mergeCell ref="C718:M718"/>
    <mergeCell ref="C707:M707"/>
    <mergeCell ref="C708:M708"/>
    <mergeCell ref="C709:M709"/>
    <mergeCell ref="C710:M710"/>
    <mergeCell ref="C711:M711"/>
    <mergeCell ref="C712:M712"/>
    <mergeCell ref="C701:M701"/>
    <mergeCell ref="C702:M702"/>
    <mergeCell ref="C703:M703"/>
    <mergeCell ref="C704:M704"/>
    <mergeCell ref="C705:M705"/>
    <mergeCell ref="C706:M706"/>
    <mergeCell ref="E695:K695"/>
    <mergeCell ref="D696:K696"/>
    <mergeCell ref="D697:K697"/>
    <mergeCell ref="C698:M698"/>
    <mergeCell ref="C699:M699"/>
    <mergeCell ref="C700:M700"/>
    <mergeCell ref="C691:O691"/>
    <mergeCell ref="D692:M692"/>
    <mergeCell ref="D693:K693"/>
    <mergeCell ref="L693:M693"/>
    <mergeCell ref="N693:O693"/>
    <mergeCell ref="E694:K694"/>
    <mergeCell ref="B685:M685"/>
    <mergeCell ref="B686:M686"/>
    <mergeCell ref="C687:O687"/>
    <mergeCell ref="D688:M688"/>
    <mergeCell ref="D689:M689"/>
    <mergeCell ref="D690:M690"/>
    <mergeCell ref="N680:O680"/>
    <mergeCell ref="E681:K681"/>
    <mergeCell ref="E682:K682"/>
    <mergeCell ref="D683:K683"/>
    <mergeCell ref="L683:M683"/>
    <mergeCell ref="D684:K684"/>
    <mergeCell ref="D676:K676"/>
    <mergeCell ref="D677:K677"/>
    <mergeCell ref="D678:K678"/>
    <mergeCell ref="D679:K679"/>
    <mergeCell ref="D680:K680"/>
    <mergeCell ref="L680:M680"/>
    <mergeCell ref="C672:K672"/>
    <mergeCell ref="L672:M672"/>
    <mergeCell ref="N672:O672"/>
    <mergeCell ref="D673:K673"/>
    <mergeCell ref="D674:K674"/>
    <mergeCell ref="D675:K675"/>
    <mergeCell ref="D666:M666"/>
    <mergeCell ref="D667:M667"/>
    <mergeCell ref="D668:M668"/>
    <mergeCell ref="D669:M669"/>
    <mergeCell ref="D670:M670"/>
    <mergeCell ref="D671:M671"/>
    <mergeCell ref="C660:O660"/>
    <mergeCell ref="D661:M661"/>
    <mergeCell ref="D662:M662"/>
    <mergeCell ref="D663:M663"/>
    <mergeCell ref="D664:M664"/>
    <mergeCell ref="D665:M665"/>
    <mergeCell ref="C656:K656"/>
    <mergeCell ref="L656:M656"/>
    <mergeCell ref="N656:O656"/>
    <mergeCell ref="D657:K657"/>
    <mergeCell ref="D658:K658"/>
    <mergeCell ref="D659:K659"/>
    <mergeCell ref="L659:M659"/>
    <mergeCell ref="B650:M650"/>
    <mergeCell ref="B651:M651"/>
    <mergeCell ref="B652:M652"/>
    <mergeCell ref="A653:O653"/>
    <mergeCell ref="B654:M654"/>
    <mergeCell ref="B655:M655"/>
    <mergeCell ref="B644:M644"/>
    <mergeCell ref="B645:M645"/>
    <mergeCell ref="B646:M646"/>
    <mergeCell ref="B647:M647"/>
    <mergeCell ref="B648:M648"/>
    <mergeCell ref="B649:M649"/>
    <mergeCell ref="D640:K640"/>
    <mergeCell ref="C641:K641"/>
    <mergeCell ref="B642:I642"/>
    <mergeCell ref="L642:O642"/>
    <mergeCell ref="B643:K643"/>
    <mergeCell ref="N643:O643"/>
    <mergeCell ref="G634:K634"/>
    <mergeCell ref="G635:K635"/>
    <mergeCell ref="E636:K636"/>
    <mergeCell ref="E637:K637"/>
    <mergeCell ref="E638:K638"/>
    <mergeCell ref="D639:K639"/>
    <mergeCell ref="F630:K630"/>
    <mergeCell ref="L630:M630"/>
    <mergeCell ref="N630:O630"/>
    <mergeCell ref="G631:K631"/>
    <mergeCell ref="G632:K632"/>
    <mergeCell ref="F633:K633"/>
    <mergeCell ref="L633:M633"/>
    <mergeCell ref="N633:O633"/>
    <mergeCell ref="F626:K626"/>
    <mergeCell ref="L626:M626"/>
    <mergeCell ref="N626:O626"/>
    <mergeCell ref="G627:K627"/>
    <mergeCell ref="G628:K628"/>
    <mergeCell ref="E629:O629"/>
    <mergeCell ref="E622:O622"/>
    <mergeCell ref="F623:K623"/>
    <mergeCell ref="L623:M623"/>
    <mergeCell ref="N623:O623"/>
    <mergeCell ref="G624:K624"/>
    <mergeCell ref="G625:K625"/>
    <mergeCell ref="G618:K618"/>
    <mergeCell ref="F619:K619"/>
    <mergeCell ref="L619:M619"/>
    <mergeCell ref="N619:O619"/>
    <mergeCell ref="G620:K620"/>
    <mergeCell ref="G621:K621"/>
    <mergeCell ref="G614:K614"/>
    <mergeCell ref="E615:O615"/>
    <mergeCell ref="F616:K616"/>
    <mergeCell ref="L616:M616"/>
    <mergeCell ref="N616:O616"/>
    <mergeCell ref="G617:K617"/>
    <mergeCell ref="G610:K610"/>
    <mergeCell ref="G611:K611"/>
    <mergeCell ref="F612:K612"/>
    <mergeCell ref="L612:M612"/>
    <mergeCell ref="N612:O612"/>
    <mergeCell ref="G613:K613"/>
    <mergeCell ref="D605:I605"/>
    <mergeCell ref="C606:O606"/>
    <mergeCell ref="D607:O607"/>
    <mergeCell ref="E608:O608"/>
    <mergeCell ref="F609:K609"/>
    <mergeCell ref="L609:M609"/>
    <mergeCell ref="N609:O609"/>
    <mergeCell ref="F600:I600"/>
    <mergeCell ref="D601:I601"/>
    <mergeCell ref="D602:I602"/>
    <mergeCell ref="D603:I603"/>
    <mergeCell ref="D604:I604"/>
    <mergeCell ref="J604:K604"/>
    <mergeCell ref="F597:I597"/>
    <mergeCell ref="E598:I598"/>
    <mergeCell ref="J598:K598"/>
    <mergeCell ref="L598:M598"/>
    <mergeCell ref="N598:O598"/>
    <mergeCell ref="F599:I599"/>
    <mergeCell ref="D594:O594"/>
    <mergeCell ref="E595:I595"/>
    <mergeCell ref="J595:K595"/>
    <mergeCell ref="L595:M595"/>
    <mergeCell ref="N595:O595"/>
    <mergeCell ref="F596:I596"/>
    <mergeCell ref="E591:I591"/>
    <mergeCell ref="J591:K591"/>
    <mergeCell ref="L591:M591"/>
    <mergeCell ref="N591:O591"/>
    <mergeCell ref="F592:I592"/>
    <mergeCell ref="F593:I593"/>
    <mergeCell ref="E588:I588"/>
    <mergeCell ref="J588:K588"/>
    <mergeCell ref="L588:M588"/>
    <mergeCell ref="N588:O588"/>
    <mergeCell ref="F589:I589"/>
    <mergeCell ref="F590:I590"/>
    <mergeCell ref="D582:I582"/>
    <mergeCell ref="D583:I583"/>
    <mergeCell ref="D584:I584"/>
    <mergeCell ref="D585:I585"/>
    <mergeCell ref="D586:I586"/>
    <mergeCell ref="D587:O587"/>
    <mergeCell ref="D578:I578"/>
    <mergeCell ref="J578:K578"/>
    <mergeCell ref="D579:I579"/>
    <mergeCell ref="J579:K579"/>
    <mergeCell ref="D580:I580"/>
    <mergeCell ref="D581:I581"/>
    <mergeCell ref="J581:K581"/>
    <mergeCell ref="D574:I574"/>
    <mergeCell ref="J574:K574"/>
    <mergeCell ref="D575:I575"/>
    <mergeCell ref="J575:K575"/>
    <mergeCell ref="D576:I576"/>
    <mergeCell ref="D577:I577"/>
    <mergeCell ref="J577:K577"/>
    <mergeCell ref="D571:I571"/>
    <mergeCell ref="D572:I572"/>
    <mergeCell ref="C573:I573"/>
    <mergeCell ref="J573:K573"/>
    <mergeCell ref="L573:M573"/>
    <mergeCell ref="N573:O573"/>
    <mergeCell ref="D568:I568"/>
    <mergeCell ref="D569:I569"/>
    <mergeCell ref="C570:I570"/>
    <mergeCell ref="J570:K570"/>
    <mergeCell ref="L570:M570"/>
    <mergeCell ref="N570:O570"/>
    <mergeCell ref="D565:I565"/>
    <mergeCell ref="J565:K565"/>
    <mergeCell ref="D566:I566"/>
    <mergeCell ref="J566:K566"/>
    <mergeCell ref="D567:I567"/>
    <mergeCell ref="J567:K567"/>
    <mergeCell ref="L561:M561"/>
    <mergeCell ref="N561:O561"/>
    <mergeCell ref="D562:I562"/>
    <mergeCell ref="D563:I563"/>
    <mergeCell ref="D564:I564"/>
    <mergeCell ref="J564:K564"/>
    <mergeCell ref="D558:I558"/>
    <mergeCell ref="J558:K558"/>
    <mergeCell ref="D559:I559"/>
    <mergeCell ref="J559:K559"/>
    <mergeCell ref="D560:I560"/>
    <mergeCell ref="C561:I561"/>
    <mergeCell ref="J561:K561"/>
    <mergeCell ref="D554:I554"/>
    <mergeCell ref="J554:K554"/>
    <mergeCell ref="D555:I555"/>
    <mergeCell ref="D556:I556"/>
    <mergeCell ref="D557:I557"/>
    <mergeCell ref="J557:K557"/>
    <mergeCell ref="L550:M550"/>
    <mergeCell ref="N550:O550"/>
    <mergeCell ref="D551:I551"/>
    <mergeCell ref="J551:K551"/>
    <mergeCell ref="D552:I552"/>
    <mergeCell ref="D553:I553"/>
    <mergeCell ref="J553:K553"/>
    <mergeCell ref="E546:I546"/>
    <mergeCell ref="E547:I547"/>
    <mergeCell ref="E548:I548"/>
    <mergeCell ref="D549:I549"/>
    <mergeCell ref="C550:I550"/>
    <mergeCell ref="J550:K550"/>
    <mergeCell ref="D543:I543"/>
    <mergeCell ref="D544:I544"/>
    <mergeCell ref="D545:I545"/>
    <mergeCell ref="J545:K545"/>
    <mergeCell ref="L545:M545"/>
    <mergeCell ref="N545:O545"/>
    <mergeCell ref="D540:I540"/>
    <mergeCell ref="D541:I541"/>
    <mergeCell ref="C542:I542"/>
    <mergeCell ref="J542:K542"/>
    <mergeCell ref="L542:M542"/>
    <mergeCell ref="N542:O542"/>
    <mergeCell ref="L535:M535"/>
    <mergeCell ref="N535:O535"/>
    <mergeCell ref="E536:I536"/>
    <mergeCell ref="E537:I537"/>
    <mergeCell ref="E538:I538"/>
    <mergeCell ref="E539:I539"/>
    <mergeCell ref="E531:I531"/>
    <mergeCell ref="E532:I532"/>
    <mergeCell ref="D533:I533"/>
    <mergeCell ref="D534:I534"/>
    <mergeCell ref="D535:I535"/>
    <mergeCell ref="J535:K535"/>
    <mergeCell ref="D528:I528"/>
    <mergeCell ref="C529:O529"/>
    <mergeCell ref="D530:I530"/>
    <mergeCell ref="J530:K530"/>
    <mergeCell ref="L530:M530"/>
    <mergeCell ref="N530:O530"/>
    <mergeCell ref="D522:I522"/>
    <mergeCell ref="D523:I523"/>
    <mergeCell ref="D524:I524"/>
    <mergeCell ref="D525:I525"/>
    <mergeCell ref="D526:I526"/>
    <mergeCell ref="D527:I527"/>
    <mergeCell ref="D519:I519"/>
    <mergeCell ref="C520:I520"/>
    <mergeCell ref="J520:K520"/>
    <mergeCell ref="L520:M520"/>
    <mergeCell ref="N520:O520"/>
    <mergeCell ref="D521:I521"/>
    <mergeCell ref="D517:I517"/>
    <mergeCell ref="L517:M517"/>
    <mergeCell ref="N517:O517"/>
    <mergeCell ref="D518:I518"/>
    <mergeCell ref="L518:M518"/>
    <mergeCell ref="N518:O518"/>
    <mergeCell ref="N514:O514"/>
    <mergeCell ref="D515:I515"/>
    <mergeCell ref="L515:M515"/>
    <mergeCell ref="N515:O515"/>
    <mergeCell ref="D516:I516"/>
    <mergeCell ref="L516:M516"/>
    <mergeCell ref="N516:O516"/>
    <mergeCell ref="D512:I512"/>
    <mergeCell ref="L512:M512"/>
    <mergeCell ref="D513:I513"/>
    <mergeCell ref="L513:M513"/>
    <mergeCell ref="D514:I514"/>
    <mergeCell ref="L514:M514"/>
    <mergeCell ref="D510:I510"/>
    <mergeCell ref="L510:M510"/>
    <mergeCell ref="N510:O510"/>
    <mergeCell ref="D511:I511"/>
    <mergeCell ref="L511:M511"/>
    <mergeCell ref="N511:O511"/>
    <mergeCell ref="D507:I507"/>
    <mergeCell ref="L507:M507"/>
    <mergeCell ref="N507:O507"/>
    <mergeCell ref="D508:I508"/>
    <mergeCell ref="L508:M508"/>
    <mergeCell ref="D509:I509"/>
    <mergeCell ref="B503:M503"/>
    <mergeCell ref="B504:M504"/>
    <mergeCell ref="B505:O505"/>
    <mergeCell ref="C506:I506"/>
    <mergeCell ref="J506:K506"/>
    <mergeCell ref="L506:M506"/>
    <mergeCell ref="N506:O506"/>
    <mergeCell ref="B497:O497"/>
    <mergeCell ref="C498:M498"/>
    <mergeCell ref="C499:M499"/>
    <mergeCell ref="B500:M500"/>
    <mergeCell ref="B501:M501"/>
    <mergeCell ref="B502:M502"/>
    <mergeCell ref="B491:M491"/>
    <mergeCell ref="B492:M492"/>
    <mergeCell ref="B493:M493"/>
    <mergeCell ref="B494:O494"/>
    <mergeCell ref="C495:M495"/>
    <mergeCell ref="C496:M496"/>
    <mergeCell ref="N486:O486"/>
    <mergeCell ref="C487:K487"/>
    <mergeCell ref="C488:K488"/>
    <mergeCell ref="N488:O488"/>
    <mergeCell ref="B489:M489"/>
    <mergeCell ref="B490:M490"/>
    <mergeCell ref="E482:K482"/>
    <mergeCell ref="E483:K483"/>
    <mergeCell ref="D484:K484"/>
    <mergeCell ref="D485:K485"/>
    <mergeCell ref="C486:K486"/>
    <mergeCell ref="L486:M486"/>
    <mergeCell ref="F478:K478"/>
    <mergeCell ref="L478:M478"/>
    <mergeCell ref="N478:O478"/>
    <mergeCell ref="G479:K479"/>
    <mergeCell ref="G480:K480"/>
    <mergeCell ref="E481:K481"/>
    <mergeCell ref="L481:M481"/>
    <mergeCell ref="N481:O481"/>
    <mergeCell ref="E474:O474"/>
    <mergeCell ref="F475:K475"/>
    <mergeCell ref="L475:M475"/>
    <mergeCell ref="N475:O475"/>
    <mergeCell ref="G476:K476"/>
    <mergeCell ref="G477:K477"/>
    <mergeCell ref="G470:K470"/>
    <mergeCell ref="F471:K471"/>
    <mergeCell ref="L471:M471"/>
    <mergeCell ref="N471:O471"/>
    <mergeCell ref="G472:K472"/>
    <mergeCell ref="G473:K473"/>
    <mergeCell ref="G466:K466"/>
    <mergeCell ref="E467:O467"/>
    <mergeCell ref="F468:K468"/>
    <mergeCell ref="L468:M468"/>
    <mergeCell ref="N468:O468"/>
    <mergeCell ref="G469:K469"/>
    <mergeCell ref="G462:K462"/>
    <mergeCell ref="G463:K463"/>
    <mergeCell ref="F464:K464"/>
    <mergeCell ref="L464:M464"/>
    <mergeCell ref="N464:O464"/>
    <mergeCell ref="G465:K465"/>
    <mergeCell ref="G458:K458"/>
    <mergeCell ref="G459:K459"/>
    <mergeCell ref="E460:O460"/>
    <mergeCell ref="F461:K461"/>
    <mergeCell ref="L461:M461"/>
    <mergeCell ref="N461:O461"/>
    <mergeCell ref="F454:K454"/>
    <mergeCell ref="L454:M454"/>
    <mergeCell ref="N454:O454"/>
    <mergeCell ref="G455:K455"/>
    <mergeCell ref="G456:K456"/>
    <mergeCell ref="F457:K457"/>
    <mergeCell ref="L457:M457"/>
    <mergeCell ref="N457:O457"/>
    <mergeCell ref="E448:K448"/>
    <mergeCell ref="D449:K449"/>
    <mergeCell ref="D450:K450"/>
    <mergeCell ref="C451:O451"/>
    <mergeCell ref="D452:O452"/>
    <mergeCell ref="E453:O453"/>
    <mergeCell ref="E444:K444"/>
    <mergeCell ref="E445:K445"/>
    <mergeCell ref="D446:K446"/>
    <mergeCell ref="L446:M446"/>
    <mergeCell ref="N446:O446"/>
    <mergeCell ref="E447:K447"/>
    <mergeCell ref="E440:K440"/>
    <mergeCell ref="E441:K441"/>
    <mergeCell ref="D442:K442"/>
    <mergeCell ref="L442:M442"/>
    <mergeCell ref="N442:O442"/>
    <mergeCell ref="E443:K443"/>
    <mergeCell ref="E436:K436"/>
    <mergeCell ref="E437:K437"/>
    <mergeCell ref="E438:K438"/>
    <mergeCell ref="D439:K439"/>
    <mergeCell ref="L439:M439"/>
    <mergeCell ref="N439:O439"/>
    <mergeCell ref="N430:O430"/>
    <mergeCell ref="E431:K431"/>
    <mergeCell ref="E432:K432"/>
    <mergeCell ref="E433:K433"/>
    <mergeCell ref="E434:K434"/>
    <mergeCell ref="E435:K435"/>
    <mergeCell ref="E426:K426"/>
    <mergeCell ref="E427:K427"/>
    <mergeCell ref="E428:K428"/>
    <mergeCell ref="E429:K429"/>
    <mergeCell ref="D430:K430"/>
    <mergeCell ref="L430:M430"/>
    <mergeCell ref="E420:K420"/>
    <mergeCell ref="E421:K421"/>
    <mergeCell ref="E422:K422"/>
    <mergeCell ref="E423:K423"/>
    <mergeCell ref="E424:K424"/>
    <mergeCell ref="E425:K425"/>
    <mergeCell ref="D416:K416"/>
    <mergeCell ref="D417:K417"/>
    <mergeCell ref="D418:K418"/>
    <mergeCell ref="D419:K419"/>
    <mergeCell ref="L419:M419"/>
    <mergeCell ref="N419:O419"/>
    <mergeCell ref="E410:K410"/>
    <mergeCell ref="E411:K411"/>
    <mergeCell ref="D412:K412"/>
    <mergeCell ref="D413:K413"/>
    <mergeCell ref="D414:K414"/>
    <mergeCell ref="D415:K415"/>
    <mergeCell ref="D406:K406"/>
    <mergeCell ref="L406:M406"/>
    <mergeCell ref="N406:O406"/>
    <mergeCell ref="E407:K407"/>
    <mergeCell ref="E408:K408"/>
    <mergeCell ref="D409:K409"/>
    <mergeCell ref="L409:M409"/>
    <mergeCell ref="N409:O409"/>
    <mergeCell ref="D401:K401"/>
    <mergeCell ref="D402:K402"/>
    <mergeCell ref="D403:K403"/>
    <mergeCell ref="C404:K404"/>
    <mergeCell ref="N404:O404"/>
    <mergeCell ref="C405:O405"/>
    <mergeCell ref="E397:K397"/>
    <mergeCell ref="D398:K398"/>
    <mergeCell ref="L398:M398"/>
    <mergeCell ref="N398:O398"/>
    <mergeCell ref="E399:K399"/>
    <mergeCell ref="E400:K400"/>
    <mergeCell ref="E393:K393"/>
    <mergeCell ref="E394:K394"/>
    <mergeCell ref="D395:K395"/>
    <mergeCell ref="L395:M395"/>
    <mergeCell ref="N395:O395"/>
    <mergeCell ref="E396:K396"/>
    <mergeCell ref="A389:O389"/>
    <mergeCell ref="B390:O390"/>
    <mergeCell ref="C391:O391"/>
    <mergeCell ref="D392:K392"/>
    <mergeCell ref="L392:M392"/>
    <mergeCell ref="N392:O392"/>
    <mergeCell ref="D383:M383"/>
    <mergeCell ref="D384:M384"/>
    <mergeCell ref="C385:M385"/>
    <mergeCell ref="C386:M386"/>
    <mergeCell ref="B387:M387"/>
    <mergeCell ref="B388:M388"/>
    <mergeCell ref="E377:M377"/>
    <mergeCell ref="E378:M378"/>
    <mergeCell ref="E379:M379"/>
    <mergeCell ref="D380:M380"/>
    <mergeCell ref="D381:M381"/>
    <mergeCell ref="D382:M382"/>
    <mergeCell ref="D371:M371"/>
    <mergeCell ref="D372:M372"/>
    <mergeCell ref="D373:M373"/>
    <mergeCell ref="D374:M374"/>
    <mergeCell ref="C375:O375"/>
    <mergeCell ref="D376:O376"/>
    <mergeCell ref="D365:M365"/>
    <mergeCell ref="D366:M366"/>
    <mergeCell ref="D367:M367"/>
    <mergeCell ref="D368:M368"/>
    <mergeCell ref="D369:M369"/>
    <mergeCell ref="D370:M370"/>
    <mergeCell ref="C359:O359"/>
    <mergeCell ref="D360:M360"/>
    <mergeCell ref="D361:M361"/>
    <mergeCell ref="D362:M362"/>
    <mergeCell ref="C363:O363"/>
    <mergeCell ref="D364:M364"/>
    <mergeCell ref="C353:M353"/>
    <mergeCell ref="B354:M354"/>
    <mergeCell ref="B355:O355"/>
    <mergeCell ref="C356:M356"/>
    <mergeCell ref="C357:M357"/>
    <mergeCell ref="C358:M358"/>
    <mergeCell ref="E347:M347"/>
    <mergeCell ref="D348:O348"/>
    <mergeCell ref="E349:M349"/>
    <mergeCell ref="E350:M350"/>
    <mergeCell ref="C351:M351"/>
    <mergeCell ref="C352:M352"/>
    <mergeCell ref="E341:M341"/>
    <mergeCell ref="E342:M342"/>
    <mergeCell ref="E343:M343"/>
    <mergeCell ref="D344:O344"/>
    <mergeCell ref="E345:M345"/>
    <mergeCell ref="E346:M346"/>
    <mergeCell ref="D335:O335"/>
    <mergeCell ref="E336:M336"/>
    <mergeCell ref="E337:M337"/>
    <mergeCell ref="E338:M338"/>
    <mergeCell ref="E339:M339"/>
    <mergeCell ref="E340:M340"/>
    <mergeCell ref="D329:M329"/>
    <mergeCell ref="D330:M330"/>
    <mergeCell ref="D331:O331"/>
    <mergeCell ref="E332:M332"/>
    <mergeCell ref="E333:M333"/>
    <mergeCell ref="E334:M334"/>
    <mergeCell ref="F323:M323"/>
    <mergeCell ref="D324:M324"/>
    <mergeCell ref="D325:M325"/>
    <mergeCell ref="D326:O326"/>
    <mergeCell ref="E327:M327"/>
    <mergeCell ref="E328:M328"/>
    <mergeCell ref="D317:O317"/>
    <mergeCell ref="E318:O318"/>
    <mergeCell ref="F319:M319"/>
    <mergeCell ref="F320:M320"/>
    <mergeCell ref="E321:O321"/>
    <mergeCell ref="F322:M322"/>
    <mergeCell ref="F311:O311"/>
    <mergeCell ref="G312:M312"/>
    <mergeCell ref="G313:M313"/>
    <mergeCell ref="F314:O314"/>
    <mergeCell ref="G315:M315"/>
    <mergeCell ref="G316:M316"/>
    <mergeCell ref="G305:M305"/>
    <mergeCell ref="G306:M306"/>
    <mergeCell ref="E307:O307"/>
    <mergeCell ref="F308:O308"/>
    <mergeCell ref="G309:M309"/>
    <mergeCell ref="G310:M310"/>
    <mergeCell ref="D299:O299"/>
    <mergeCell ref="E300:O300"/>
    <mergeCell ref="F301:O301"/>
    <mergeCell ref="G302:M302"/>
    <mergeCell ref="G303:M303"/>
    <mergeCell ref="F304:O304"/>
    <mergeCell ref="E293:M293"/>
    <mergeCell ref="D294:O294"/>
    <mergeCell ref="E295:M295"/>
    <mergeCell ref="E296:M296"/>
    <mergeCell ref="C297:M297"/>
    <mergeCell ref="C298:O298"/>
    <mergeCell ref="E287:M287"/>
    <mergeCell ref="E288:M288"/>
    <mergeCell ref="E289:M289"/>
    <mergeCell ref="D290:O290"/>
    <mergeCell ref="E291:M291"/>
    <mergeCell ref="E292:M292"/>
    <mergeCell ref="D281:O281"/>
    <mergeCell ref="E282:M282"/>
    <mergeCell ref="E283:M283"/>
    <mergeCell ref="E284:M284"/>
    <mergeCell ref="E285:M285"/>
    <mergeCell ref="E286:M286"/>
    <mergeCell ref="D275:M275"/>
    <mergeCell ref="D276:O276"/>
    <mergeCell ref="E277:M277"/>
    <mergeCell ref="E278:M278"/>
    <mergeCell ref="E279:M279"/>
    <mergeCell ref="E280:M280"/>
    <mergeCell ref="D269:M269"/>
    <mergeCell ref="D270:M270"/>
    <mergeCell ref="D271:O271"/>
    <mergeCell ref="E272:M272"/>
    <mergeCell ref="E273:M273"/>
    <mergeCell ref="D274:M274"/>
    <mergeCell ref="E263:O263"/>
    <mergeCell ref="F264:M264"/>
    <mergeCell ref="F265:M265"/>
    <mergeCell ref="E266:O266"/>
    <mergeCell ref="F267:M267"/>
    <mergeCell ref="F268:M268"/>
    <mergeCell ref="G257:M257"/>
    <mergeCell ref="G258:M258"/>
    <mergeCell ref="F259:O259"/>
    <mergeCell ref="G260:M260"/>
    <mergeCell ref="G261:M261"/>
    <mergeCell ref="D262:O262"/>
    <mergeCell ref="G251:M251"/>
    <mergeCell ref="G252:M252"/>
    <mergeCell ref="F253:O253"/>
    <mergeCell ref="G254:M254"/>
    <mergeCell ref="G255:M255"/>
    <mergeCell ref="F256:O256"/>
    <mergeCell ref="G245:M245"/>
    <mergeCell ref="F246:O246"/>
    <mergeCell ref="G247:M247"/>
    <mergeCell ref="G248:M248"/>
    <mergeCell ref="E249:O249"/>
    <mergeCell ref="F250:O250"/>
    <mergeCell ref="B239:O239"/>
    <mergeCell ref="C240:O240"/>
    <mergeCell ref="D241:O241"/>
    <mergeCell ref="E242:O242"/>
    <mergeCell ref="F243:O243"/>
    <mergeCell ref="G244:M244"/>
    <mergeCell ref="D233:M233"/>
    <mergeCell ref="D234:M234"/>
    <mergeCell ref="C235:M235"/>
    <mergeCell ref="C236:M236"/>
    <mergeCell ref="C237:M237"/>
    <mergeCell ref="B238:M238"/>
    <mergeCell ref="D227:M227"/>
    <mergeCell ref="D228:M228"/>
    <mergeCell ref="D229:M229"/>
    <mergeCell ref="C230:O230"/>
    <mergeCell ref="D231:M231"/>
    <mergeCell ref="D232:M232"/>
    <mergeCell ref="D221:M221"/>
    <mergeCell ref="D222:M222"/>
    <mergeCell ref="D223:M223"/>
    <mergeCell ref="D224:M224"/>
    <mergeCell ref="D225:M225"/>
    <mergeCell ref="D226:M226"/>
    <mergeCell ref="F215:M215"/>
    <mergeCell ref="F216:M216"/>
    <mergeCell ref="D217:M217"/>
    <mergeCell ref="C218:M218"/>
    <mergeCell ref="C219:O219"/>
    <mergeCell ref="D220:M220"/>
    <mergeCell ref="E209:M209"/>
    <mergeCell ref="D210:O210"/>
    <mergeCell ref="E211:M211"/>
    <mergeCell ref="E212:M212"/>
    <mergeCell ref="E213:O213"/>
    <mergeCell ref="F214:M214"/>
    <mergeCell ref="D203:O203"/>
    <mergeCell ref="E204:M204"/>
    <mergeCell ref="E205:M205"/>
    <mergeCell ref="E206:M206"/>
    <mergeCell ref="D207:O207"/>
    <mergeCell ref="E208:M208"/>
    <mergeCell ref="G197:M197"/>
    <mergeCell ref="G198:M198"/>
    <mergeCell ref="F199:O199"/>
    <mergeCell ref="G200:M200"/>
    <mergeCell ref="G201:M201"/>
    <mergeCell ref="G202:M202"/>
    <mergeCell ref="F191:O191"/>
    <mergeCell ref="G192:M192"/>
    <mergeCell ref="G193:M193"/>
    <mergeCell ref="G194:M194"/>
    <mergeCell ref="F195:O195"/>
    <mergeCell ref="G196:M196"/>
    <mergeCell ref="G185:M185"/>
    <mergeCell ref="F186:O186"/>
    <mergeCell ref="G187:M187"/>
    <mergeCell ref="G188:M188"/>
    <mergeCell ref="G189:M189"/>
    <mergeCell ref="E190:O190"/>
    <mergeCell ref="E179:M179"/>
    <mergeCell ref="D180:O180"/>
    <mergeCell ref="E181:O181"/>
    <mergeCell ref="F182:O182"/>
    <mergeCell ref="G183:M183"/>
    <mergeCell ref="G184:M184"/>
    <mergeCell ref="F173:M173"/>
    <mergeCell ref="F174:M174"/>
    <mergeCell ref="E175:O175"/>
    <mergeCell ref="F176:M176"/>
    <mergeCell ref="F177:M177"/>
    <mergeCell ref="E178:M178"/>
    <mergeCell ref="E167:M167"/>
    <mergeCell ref="D168:O168"/>
    <mergeCell ref="E169:O169"/>
    <mergeCell ref="F170:M170"/>
    <mergeCell ref="F171:M171"/>
    <mergeCell ref="E172:O172"/>
    <mergeCell ref="F161:M161"/>
    <mergeCell ref="F162:M162"/>
    <mergeCell ref="D163:O163"/>
    <mergeCell ref="E164:M164"/>
    <mergeCell ref="E165:M165"/>
    <mergeCell ref="E166:M166"/>
    <mergeCell ref="F155:M155"/>
    <mergeCell ref="F156:M156"/>
    <mergeCell ref="F157:M157"/>
    <mergeCell ref="E158:O158"/>
    <mergeCell ref="F159:M159"/>
    <mergeCell ref="F160:M160"/>
    <mergeCell ref="F149:M149"/>
    <mergeCell ref="E150:M150"/>
    <mergeCell ref="E151:M151"/>
    <mergeCell ref="D152:O152"/>
    <mergeCell ref="E153:O153"/>
    <mergeCell ref="F154:M154"/>
    <mergeCell ref="D143:O143"/>
    <mergeCell ref="E144:O144"/>
    <mergeCell ref="F145:M145"/>
    <mergeCell ref="F146:M146"/>
    <mergeCell ref="E147:O147"/>
    <mergeCell ref="F148:M148"/>
    <mergeCell ref="E137:M137"/>
    <mergeCell ref="E138:M138"/>
    <mergeCell ref="E139:M139"/>
    <mergeCell ref="E140:M140"/>
    <mergeCell ref="E141:M141"/>
    <mergeCell ref="E142:M142"/>
    <mergeCell ref="E131:O131"/>
    <mergeCell ref="F132:M132"/>
    <mergeCell ref="F133:M133"/>
    <mergeCell ref="E134:M134"/>
    <mergeCell ref="D135:O135"/>
    <mergeCell ref="E136:M136"/>
    <mergeCell ref="F125:M125"/>
    <mergeCell ref="F126:M126"/>
    <mergeCell ref="F127:M127"/>
    <mergeCell ref="F128:M128"/>
    <mergeCell ref="F129:M129"/>
    <mergeCell ref="E130:M130"/>
    <mergeCell ref="E119:M119"/>
    <mergeCell ref="E120:M120"/>
    <mergeCell ref="E121:M121"/>
    <mergeCell ref="E122:O122"/>
    <mergeCell ref="F123:M123"/>
    <mergeCell ref="F124:M124"/>
    <mergeCell ref="F113:M113"/>
    <mergeCell ref="F114:M114"/>
    <mergeCell ref="E115:O115"/>
    <mergeCell ref="F116:M116"/>
    <mergeCell ref="F117:M117"/>
    <mergeCell ref="E118:M118"/>
    <mergeCell ref="F107:M107"/>
    <mergeCell ref="F108:M108"/>
    <mergeCell ref="E109:O109"/>
    <mergeCell ref="F110:M110"/>
    <mergeCell ref="F111:M111"/>
    <mergeCell ref="E112:O112"/>
    <mergeCell ref="C101:O101"/>
    <mergeCell ref="D102:O102"/>
    <mergeCell ref="E103:O103"/>
    <mergeCell ref="F104:M104"/>
    <mergeCell ref="F105:M105"/>
    <mergeCell ref="E106:O106"/>
    <mergeCell ref="E95:M95"/>
    <mergeCell ref="E96:M96"/>
    <mergeCell ref="E97:M97"/>
    <mergeCell ref="E98:M98"/>
    <mergeCell ref="D99:M99"/>
    <mergeCell ref="C100:M100"/>
    <mergeCell ref="F89:M89"/>
    <mergeCell ref="E90:O90"/>
    <mergeCell ref="F91:M91"/>
    <mergeCell ref="F92:M92"/>
    <mergeCell ref="F93:M93"/>
    <mergeCell ref="D94:O94"/>
    <mergeCell ref="E83:M83"/>
    <mergeCell ref="E84:M84"/>
    <mergeCell ref="D85:O85"/>
    <mergeCell ref="E86:O86"/>
    <mergeCell ref="F87:M87"/>
    <mergeCell ref="F88:M88"/>
    <mergeCell ref="E77:M77"/>
    <mergeCell ref="E78:M78"/>
    <mergeCell ref="E79:M79"/>
    <mergeCell ref="E80:M80"/>
    <mergeCell ref="E81:M81"/>
    <mergeCell ref="D82:O82"/>
    <mergeCell ref="E71:M71"/>
    <mergeCell ref="D72:O72"/>
    <mergeCell ref="E73:M73"/>
    <mergeCell ref="E74:M74"/>
    <mergeCell ref="E75:M75"/>
    <mergeCell ref="E76:M76"/>
    <mergeCell ref="E65:M65"/>
    <mergeCell ref="E66:M66"/>
    <mergeCell ref="D67:O67"/>
    <mergeCell ref="E68:M68"/>
    <mergeCell ref="E69:M69"/>
    <mergeCell ref="E70:M70"/>
    <mergeCell ref="E59:M59"/>
    <mergeCell ref="E60:M60"/>
    <mergeCell ref="D61:O61"/>
    <mergeCell ref="E62:M62"/>
    <mergeCell ref="E63:M63"/>
    <mergeCell ref="D64:O64"/>
    <mergeCell ref="F53:O53"/>
    <mergeCell ref="G54:M54"/>
    <mergeCell ref="G55:M55"/>
    <mergeCell ref="G56:M56"/>
    <mergeCell ref="D57:O57"/>
    <mergeCell ref="E58:M58"/>
    <mergeCell ref="G47:M47"/>
    <mergeCell ref="G48:M48"/>
    <mergeCell ref="F49:O49"/>
    <mergeCell ref="G50:M50"/>
    <mergeCell ref="G51:M51"/>
    <mergeCell ref="G52:M52"/>
    <mergeCell ref="G41:M41"/>
    <mergeCell ref="E42:O42"/>
    <mergeCell ref="F43:O43"/>
    <mergeCell ref="G44:M44"/>
    <mergeCell ref="G45:M45"/>
    <mergeCell ref="F46:O46"/>
    <mergeCell ref="G35:M35"/>
    <mergeCell ref="G36:M36"/>
    <mergeCell ref="G37:M37"/>
    <mergeCell ref="F38:O38"/>
    <mergeCell ref="G39:M39"/>
    <mergeCell ref="G40:M40"/>
    <mergeCell ref="A30:B30"/>
    <mergeCell ref="C30:O30"/>
    <mergeCell ref="D31:M31"/>
    <mergeCell ref="D32:O32"/>
    <mergeCell ref="E33:O33"/>
    <mergeCell ref="F34:O34"/>
    <mergeCell ref="C24:M24"/>
    <mergeCell ref="C25:M25"/>
    <mergeCell ref="B26:M26"/>
    <mergeCell ref="B27:M27"/>
    <mergeCell ref="A28:O28"/>
    <mergeCell ref="B29:O29"/>
    <mergeCell ref="C18:M18"/>
    <mergeCell ref="C19:M19"/>
    <mergeCell ref="B20:O20"/>
    <mergeCell ref="C21:M21"/>
    <mergeCell ref="C22:M22"/>
    <mergeCell ref="C23:M23"/>
    <mergeCell ref="C12:M12"/>
    <mergeCell ref="C13:M13"/>
    <mergeCell ref="B14:O14"/>
    <mergeCell ref="C15:M15"/>
    <mergeCell ref="C16:M16"/>
    <mergeCell ref="C17:M17"/>
    <mergeCell ref="A5:O5"/>
    <mergeCell ref="A7:O7"/>
    <mergeCell ref="B8:O8"/>
    <mergeCell ref="C9:M9"/>
    <mergeCell ref="C10:M10"/>
    <mergeCell ref="C11:M11"/>
  </mergeCells>
  <pageMargins left="0.39370078740157483" right="0.11811023622047245" top="0.74803149606299213" bottom="0.74803149606299213" header="0.31496062992125984" footer="0.31496062992125984"/>
  <pageSetup paperSize="9" scale="10" fitToHeight="10" orientation="portrait" r:id="rId1"/>
  <rowBreaks count="1" manualBreakCount="1">
    <brk id="507" max="14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view="pageBreakPreview" zoomScaleNormal="100" zoomScaleSheetLayoutView="100" workbookViewId="0">
      <selection activeCell="D5" sqref="D5"/>
    </sheetView>
  </sheetViews>
  <sheetFormatPr baseColWidth="10" defaultRowHeight="13"/>
  <cols>
    <col min="1" max="1" width="15.83203125" bestFit="1" customWidth="1"/>
    <col min="2" max="3" width="12.5" bestFit="1" customWidth="1"/>
    <col min="4" max="5" width="8.5" customWidth="1"/>
  </cols>
  <sheetData>
    <row r="1" spans="1:5" ht="14">
      <c r="A1" s="192"/>
      <c r="B1" s="290" t="s">
        <v>562</v>
      </c>
      <c r="C1" s="290"/>
      <c r="D1" s="290" t="s">
        <v>2333</v>
      </c>
      <c r="E1" s="290"/>
    </row>
    <row r="2" spans="1:5" ht="15">
      <c r="A2" s="192" t="s">
        <v>2334</v>
      </c>
      <c r="B2" s="192" t="s">
        <v>2335</v>
      </c>
      <c r="C2" s="192" t="s">
        <v>2336</v>
      </c>
      <c r="D2" s="192" t="s">
        <v>2335</v>
      </c>
      <c r="E2" s="192" t="s">
        <v>2336</v>
      </c>
    </row>
    <row r="3" spans="1:5" ht="14">
      <c r="A3" s="193" t="s">
        <v>2337</v>
      </c>
      <c r="B3" s="194">
        <v>0</v>
      </c>
      <c r="C3" s="194">
        <v>300000</v>
      </c>
      <c r="D3" s="195">
        <v>1</v>
      </c>
      <c r="E3" s="195">
        <v>9</v>
      </c>
    </row>
    <row r="4" spans="1:5" ht="14">
      <c r="A4" s="193" t="s">
        <v>2338</v>
      </c>
      <c r="B4" s="194">
        <f>+C3+1</f>
        <v>300001</v>
      </c>
      <c r="C4" s="194">
        <v>1000000</v>
      </c>
      <c r="D4" s="195">
        <f>+E3+1</f>
        <v>10</v>
      </c>
      <c r="E4" s="195">
        <v>49</v>
      </c>
    </row>
    <row r="5" spans="1:5" ht="14">
      <c r="A5" s="193" t="s">
        <v>2339</v>
      </c>
      <c r="B5" s="194">
        <f>+C4+1</f>
        <v>1000001</v>
      </c>
      <c r="C5" s="194">
        <v>5000000</v>
      </c>
      <c r="D5" s="195">
        <f>+E4+1</f>
        <v>50</v>
      </c>
      <c r="E5" s="195">
        <v>199</v>
      </c>
    </row>
  </sheetData>
  <mergeCells count="2">
    <mergeCell ref="B1:C1"/>
    <mergeCell ref="D1:E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5">
    <pageSetUpPr fitToPage="1"/>
  </sheetPr>
  <dimension ref="A1:Y832"/>
  <sheetViews>
    <sheetView zoomScale="70" zoomScaleNormal="70" workbookViewId="0">
      <pane xSplit="10" ySplit="4" topLeftCell="K5" activePane="bottomRight" state="frozen"/>
      <selection pane="topRight" activeCell="K1" sqref="K1"/>
      <selection pane="bottomLeft" activeCell="A5" sqref="A5"/>
      <selection pane="bottomRight" activeCell="K5" sqref="K5"/>
    </sheetView>
  </sheetViews>
  <sheetFormatPr baseColWidth="10" defaultColWidth="11.5" defaultRowHeight="14" outlineLevelCol="1"/>
  <cols>
    <col min="1" max="1" width="7.5" style="56" customWidth="1"/>
    <col min="2" max="8" width="9.83203125" style="7" hidden="1" customWidth="1" outlineLevel="1"/>
    <col min="9" max="9" width="51.6640625" style="7" customWidth="1" collapsed="1"/>
    <col min="10" max="10" width="42" style="7" customWidth="1"/>
    <col min="11" max="11" width="15.33203125" style="5" customWidth="1"/>
    <col min="12" max="12" width="15.33203125" style="7" customWidth="1"/>
    <col min="13" max="15" width="15.33203125" style="5" customWidth="1"/>
    <col min="16" max="17" width="15.33203125" style="7" customWidth="1"/>
    <col min="18" max="16384" width="11.5" style="7"/>
  </cols>
  <sheetData>
    <row r="1" spans="1:25" s="1" customFormat="1" ht="36.75" customHeight="1">
      <c r="A1" s="13" t="e">
        <f>RAZÓN_SOCIAL</f>
        <v>#REF!</v>
      </c>
      <c r="B1" s="16"/>
      <c r="C1" s="16"/>
      <c r="D1" s="16"/>
      <c r="E1" s="16"/>
      <c r="F1" s="62"/>
      <c r="G1" s="62"/>
      <c r="H1" s="16"/>
      <c r="I1" s="16"/>
      <c r="J1" s="16"/>
      <c r="K1" s="16"/>
      <c r="L1" s="16"/>
      <c r="M1" s="16"/>
      <c r="N1" s="16"/>
      <c r="O1" s="16"/>
      <c r="P1" s="16"/>
      <c r="Q1" s="16"/>
      <c r="R1" s="2"/>
      <c r="S1" s="2"/>
      <c r="T1" s="2"/>
      <c r="U1" s="2"/>
      <c r="V1" s="2"/>
      <c r="W1" s="2"/>
      <c r="X1" s="2"/>
      <c r="Y1" s="2"/>
    </row>
    <row r="2" spans="1:25" s="1" customFormat="1" ht="16">
      <c r="A2" s="13" t="s">
        <v>2298</v>
      </c>
      <c r="B2" s="16"/>
      <c r="C2" s="16"/>
      <c r="D2" s="16"/>
      <c r="E2" s="17"/>
      <c r="F2" s="62"/>
      <c r="G2" s="62"/>
      <c r="H2" s="16"/>
      <c r="I2" s="16"/>
      <c r="J2" s="16"/>
      <c r="K2" s="16"/>
      <c r="L2" s="16"/>
      <c r="M2" s="16"/>
      <c r="N2" s="16"/>
      <c r="O2" s="16"/>
      <c r="P2" s="16"/>
      <c r="Q2" s="16"/>
      <c r="R2" s="2"/>
      <c r="S2" s="2"/>
      <c r="T2" s="2"/>
      <c r="U2" s="2"/>
      <c r="V2" s="2"/>
      <c r="W2" s="2"/>
      <c r="X2" s="2"/>
      <c r="Y2" s="2"/>
    </row>
    <row r="3" spans="1:25" s="1" customFormat="1" ht="16">
      <c r="A3" s="13" t="e">
        <f>Ejercicio_fiscal</f>
        <v>#REF!</v>
      </c>
      <c r="B3" s="16"/>
      <c r="C3" s="16"/>
      <c r="D3" s="16"/>
      <c r="E3" s="16"/>
      <c r="F3" s="62"/>
      <c r="G3" s="62"/>
      <c r="H3" s="16"/>
      <c r="I3" s="16"/>
      <c r="J3" s="16"/>
      <c r="K3" s="16"/>
      <c r="L3" s="16"/>
      <c r="M3" s="16"/>
      <c r="N3" s="16"/>
      <c r="O3" s="16"/>
      <c r="P3" s="16"/>
      <c r="Q3" s="16"/>
      <c r="R3" s="2"/>
      <c r="S3" s="2"/>
      <c r="T3" s="2"/>
      <c r="U3" s="2"/>
      <c r="V3" s="2"/>
      <c r="W3" s="2"/>
      <c r="X3" s="2"/>
      <c r="Y3" s="2"/>
    </row>
    <row r="4" spans="1:25" s="103" customFormat="1">
      <c r="A4" s="100" t="s">
        <v>33</v>
      </c>
      <c r="B4" s="101" t="s">
        <v>2179</v>
      </c>
      <c r="C4" s="101" t="s">
        <v>2180</v>
      </c>
      <c r="D4" s="101" t="s">
        <v>2181</v>
      </c>
      <c r="E4" s="101" t="s">
        <v>2182</v>
      </c>
      <c r="F4" s="101" t="s">
        <v>2183</v>
      </c>
      <c r="G4" s="101" t="s">
        <v>2184</v>
      </c>
      <c r="H4" s="101" t="s">
        <v>2185</v>
      </c>
      <c r="I4" s="101" t="s">
        <v>2186</v>
      </c>
      <c r="J4" s="101" t="s">
        <v>2280</v>
      </c>
      <c r="K4" s="102" t="s">
        <v>2188</v>
      </c>
      <c r="L4" s="101" t="s">
        <v>2189</v>
      </c>
      <c r="M4" s="102" t="s">
        <v>2190</v>
      </c>
      <c r="N4" s="102" t="s">
        <v>2253</v>
      </c>
      <c r="O4" s="102" t="s">
        <v>2254</v>
      </c>
      <c r="P4" s="101" t="s">
        <v>2191</v>
      </c>
      <c r="Q4" s="101" t="s">
        <v>14</v>
      </c>
    </row>
    <row r="5" spans="1:25">
      <c r="A5" s="56" t="s">
        <v>40</v>
      </c>
      <c r="B5" s="7" t="s">
        <v>37</v>
      </c>
      <c r="C5" s="7" t="s">
        <v>38</v>
      </c>
      <c r="D5" s="7" t="s">
        <v>39</v>
      </c>
      <c r="E5" s="7" t="s">
        <v>444</v>
      </c>
      <c r="F5" s="7" t="s">
        <v>444</v>
      </c>
      <c r="G5" s="7" t="s">
        <v>444</v>
      </c>
      <c r="H5" s="7" t="s">
        <v>444</v>
      </c>
      <c r="I5" s="7" t="s">
        <v>1637</v>
      </c>
      <c r="K5" s="5">
        <f>SUMIF(BC!$E$6:$E$347,$A5,BC!$K$6:$K$347)</f>
        <v>0</v>
      </c>
      <c r="L5" s="5" t="e">
        <f>SUMIF(#REF!,$A5,#REF!)+SUMIF(#REF!,$A5,#REF!)</f>
        <v>#REF!</v>
      </c>
      <c r="M5" s="5" t="e">
        <f>SUMIF(#REF!,Casilleros!$A5,#REF!)+SUMIF(#REF!,Casilleros!$A5,#REF!)+SUMIF(#REF!,$A5,#REF!)</f>
        <v>#REF!</v>
      </c>
      <c r="N5" s="5" t="e">
        <f>SUMIF(#REF!,$A5,#REF!)</f>
        <v>#REF!</v>
      </c>
      <c r="O5" s="5" t="e">
        <f>SUMIF(#REF!,$A5,#REF!)+SUMIF(#REF!,$A5,#REF!)</f>
        <v>#REF!</v>
      </c>
      <c r="P5" s="5">
        <f>IFERROR(VLOOKUP($A5,#REF!,2,FALSE),0)</f>
        <v>0</v>
      </c>
      <c r="Q5" s="42" t="e">
        <f>SUM(K5:P5)</f>
        <v>#REF!</v>
      </c>
    </row>
    <row r="6" spans="1:25">
      <c r="A6" s="56" t="s">
        <v>42</v>
      </c>
      <c r="B6" s="7" t="s">
        <v>37</v>
      </c>
      <c r="C6" s="7" t="s">
        <v>38</v>
      </c>
      <c r="D6" s="7" t="s">
        <v>41</v>
      </c>
      <c r="E6" s="7" t="s">
        <v>444</v>
      </c>
      <c r="F6" s="7" t="s">
        <v>444</v>
      </c>
      <c r="G6" s="7" t="s">
        <v>444</v>
      </c>
      <c r="H6" s="7" t="s">
        <v>444</v>
      </c>
      <c r="I6" s="7" t="s">
        <v>1638</v>
      </c>
      <c r="K6" s="5">
        <f>SUMIF(BC!$E$6:$E$347,$A6,BC!$K$6:$K$347)</f>
        <v>0</v>
      </c>
      <c r="L6" s="5" t="e">
        <f>SUMIF(#REF!,$A6,#REF!)+SUMIF(#REF!,$A6,#REF!)</f>
        <v>#REF!</v>
      </c>
      <c r="M6" s="5" t="e">
        <f>SUMIF(#REF!,Casilleros!$A6,#REF!)+SUMIF(#REF!,Casilleros!$A6,#REF!)+SUMIF(#REF!,$A6,#REF!)</f>
        <v>#REF!</v>
      </c>
      <c r="N6" s="5" t="e">
        <f>SUMIF(#REF!,$A6,#REF!)</f>
        <v>#REF!</v>
      </c>
      <c r="O6" s="5" t="e">
        <f>SUMIF(#REF!,$A6,#REF!)+SUMIF(#REF!,$A6,#REF!)</f>
        <v>#REF!</v>
      </c>
      <c r="P6" s="5">
        <f>IFERROR(VLOOKUP($A6,#REF!,2,FALSE),0)</f>
        <v>0</v>
      </c>
      <c r="Q6" s="42" t="e">
        <f t="shared" ref="Q6:Q69" si="0">SUM(K6:P6)</f>
        <v>#REF!</v>
      </c>
    </row>
    <row r="7" spans="1:25">
      <c r="A7" s="56" t="s">
        <v>44</v>
      </c>
      <c r="B7" s="7" t="s">
        <v>37</v>
      </c>
      <c r="C7" s="7" t="s">
        <v>38</v>
      </c>
      <c r="D7" s="7" t="s">
        <v>43</v>
      </c>
      <c r="E7" s="7" t="s">
        <v>444</v>
      </c>
      <c r="F7" s="7" t="s">
        <v>444</v>
      </c>
      <c r="G7" s="7" t="s">
        <v>444</v>
      </c>
      <c r="H7" s="7" t="s">
        <v>444</v>
      </c>
      <c r="I7" s="7" t="s">
        <v>1639</v>
      </c>
      <c r="K7" s="5">
        <f>SUMIF(BC!$E$6:$E$347,$A7,BC!$K$6:$K$347)</f>
        <v>0</v>
      </c>
      <c r="L7" s="5" t="e">
        <f>SUMIF(#REF!,$A7,#REF!)+SUMIF(#REF!,$A7,#REF!)</f>
        <v>#REF!</v>
      </c>
      <c r="M7" s="5" t="e">
        <f>SUMIF(#REF!,Casilleros!$A7,#REF!)+SUMIF(#REF!,Casilleros!$A7,#REF!)+SUMIF(#REF!,$A7,#REF!)</f>
        <v>#REF!</v>
      </c>
      <c r="N7" s="5" t="e">
        <f>SUMIF(#REF!,$A7,#REF!)</f>
        <v>#REF!</v>
      </c>
      <c r="O7" s="5" t="e">
        <f>SUMIF(#REF!,$A7,#REF!)+SUMIF(#REF!,$A7,#REF!)</f>
        <v>#REF!</v>
      </c>
      <c r="P7" s="5">
        <f>IFERROR(VLOOKUP($A7,#REF!,2,FALSE),0)</f>
        <v>0</v>
      </c>
      <c r="Q7" s="42" t="e">
        <f t="shared" si="0"/>
        <v>#REF!</v>
      </c>
    </row>
    <row r="8" spans="1:25">
      <c r="A8" s="56" t="s">
        <v>46</v>
      </c>
      <c r="B8" s="7" t="s">
        <v>37</v>
      </c>
      <c r="C8" s="7" t="s">
        <v>38</v>
      </c>
      <c r="D8" s="7" t="s">
        <v>45</v>
      </c>
      <c r="E8" s="7" t="s">
        <v>444</v>
      </c>
      <c r="F8" s="7" t="s">
        <v>444</v>
      </c>
      <c r="G8" s="7" t="s">
        <v>444</v>
      </c>
      <c r="H8" s="7" t="s">
        <v>444</v>
      </c>
      <c r="I8" s="7" t="s">
        <v>1640</v>
      </c>
      <c r="K8" s="5">
        <f>SUMIF(BC!$E$6:$E$347,$A8,BC!$K$6:$K$347)</f>
        <v>0</v>
      </c>
      <c r="L8" s="5" t="e">
        <f>SUMIF(#REF!,$A8,#REF!)+SUMIF(#REF!,$A8,#REF!)</f>
        <v>#REF!</v>
      </c>
      <c r="M8" s="5" t="e">
        <f>SUMIF(#REF!,Casilleros!$A8,#REF!)+SUMIF(#REF!,Casilleros!$A8,#REF!)+SUMIF(#REF!,$A8,#REF!)</f>
        <v>#REF!</v>
      </c>
      <c r="N8" s="5" t="e">
        <f>SUMIF(#REF!,$A8,#REF!)</f>
        <v>#REF!</v>
      </c>
      <c r="O8" s="5" t="e">
        <f>SUMIF(#REF!,$A8,#REF!)+SUMIF(#REF!,$A8,#REF!)</f>
        <v>#REF!</v>
      </c>
      <c r="P8" s="5">
        <f>IFERROR(VLOOKUP($A8,#REF!,2,FALSE),0)</f>
        <v>0</v>
      </c>
      <c r="Q8" s="42" t="e">
        <f t="shared" si="0"/>
        <v>#REF!</v>
      </c>
    </row>
    <row r="9" spans="1:25">
      <c r="A9" s="56" t="s">
        <v>48</v>
      </c>
      <c r="B9" s="7" t="s">
        <v>37</v>
      </c>
      <c r="C9" s="7" t="s">
        <v>38</v>
      </c>
      <c r="D9" s="7" t="s">
        <v>47</v>
      </c>
      <c r="E9" s="7" t="s">
        <v>444</v>
      </c>
      <c r="F9" s="7" t="s">
        <v>444</v>
      </c>
      <c r="G9" s="7" t="s">
        <v>444</v>
      </c>
      <c r="H9" s="7" t="s">
        <v>444</v>
      </c>
      <c r="I9" s="7" t="s">
        <v>1641</v>
      </c>
      <c r="K9" s="5">
        <f>SUMIF(BC!$E$6:$E$347,$A9,BC!$K$6:$K$347)</f>
        <v>0</v>
      </c>
      <c r="L9" s="5" t="e">
        <f>SUMIF(#REF!,$A9,#REF!)+SUMIF(#REF!,$A9,#REF!)</f>
        <v>#REF!</v>
      </c>
      <c r="M9" s="5" t="e">
        <f>SUMIF(#REF!,Casilleros!$A9,#REF!)+SUMIF(#REF!,Casilleros!$A9,#REF!)+SUMIF(#REF!,$A9,#REF!)</f>
        <v>#REF!</v>
      </c>
      <c r="N9" s="5" t="e">
        <f>SUMIF(#REF!,$A9,#REF!)</f>
        <v>#REF!</v>
      </c>
      <c r="O9" s="5" t="e">
        <f>SUMIF(#REF!,$A9,#REF!)+SUMIF(#REF!,$A9,#REF!)</f>
        <v>#REF!</v>
      </c>
      <c r="P9" s="5">
        <f>IFERROR(VLOOKUP($A9,#REF!,2,FALSE),0)</f>
        <v>0</v>
      </c>
      <c r="Q9" s="42" t="e">
        <f t="shared" si="0"/>
        <v>#REF!</v>
      </c>
    </row>
    <row r="10" spans="1:25">
      <c r="A10" s="56" t="s">
        <v>50</v>
      </c>
      <c r="B10" s="7" t="s">
        <v>37</v>
      </c>
      <c r="C10" s="7" t="s">
        <v>49</v>
      </c>
      <c r="D10" s="7" t="s">
        <v>39</v>
      </c>
      <c r="E10" s="7" t="s">
        <v>444</v>
      </c>
      <c r="F10" s="7" t="s">
        <v>444</v>
      </c>
      <c r="G10" s="7" t="s">
        <v>444</v>
      </c>
      <c r="H10" s="7" t="s">
        <v>444</v>
      </c>
      <c r="I10" s="7" t="s">
        <v>1642</v>
      </c>
      <c r="K10" s="5">
        <f>SUMIF(BC!$E$6:$E$347,$A10,BC!$K$6:$K$347)</f>
        <v>0</v>
      </c>
      <c r="L10" s="5" t="e">
        <f>SUMIF(#REF!,$A10,#REF!)+SUMIF(#REF!,$A10,#REF!)</f>
        <v>#REF!</v>
      </c>
      <c r="M10" s="5" t="e">
        <f>SUMIF(#REF!,Casilleros!$A10,#REF!)+SUMIF(#REF!,Casilleros!$A10,#REF!)+SUMIF(#REF!,$A10,#REF!)</f>
        <v>#REF!</v>
      </c>
      <c r="N10" s="5" t="e">
        <f>SUMIF(#REF!,$A10,#REF!)</f>
        <v>#REF!</v>
      </c>
      <c r="O10" s="5" t="e">
        <f>SUMIF(#REF!,$A10,#REF!)+SUMIF(#REF!,$A10,#REF!)</f>
        <v>#REF!</v>
      </c>
      <c r="P10" s="5">
        <f>IFERROR(VLOOKUP($A10,#REF!,2,FALSE),0)</f>
        <v>0</v>
      </c>
      <c r="Q10" s="42" t="e">
        <f t="shared" si="0"/>
        <v>#REF!</v>
      </c>
    </row>
    <row r="11" spans="1:25">
      <c r="A11" s="56" t="s">
        <v>51</v>
      </c>
      <c r="B11" s="7" t="s">
        <v>37</v>
      </c>
      <c r="C11" s="7" t="s">
        <v>49</v>
      </c>
      <c r="D11" s="7" t="s">
        <v>41</v>
      </c>
      <c r="E11" s="7" t="s">
        <v>444</v>
      </c>
      <c r="F11" s="7" t="s">
        <v>444</v>
      </c>
      <c r="G11" s="7" t="s">
        <v>444</v>
      </c>
      <c r="H11" s="7" t="s">
        <v>444</v>
      </c>
      <c r="I11" s="7" t="s">
        <v>1643</v>
      </c>
      <c r="K11" s="5">
        <f>SUMIF(BC!$E$6:$E$347,$A11,BC!$K$6:$K$347)</f>
        <v>0</v>
      </c>
      <c r="L11" s="5" t="e">
        <f>SUMIF(#REF!,$A11,#REF!)+SUMIF(#REF!,$A11,#REF!)</f>
        <v>#REF!</v>
      </c>
      <c r="M11" s="5" t="e">
        <f>SUMIF(#REF!,Casilleros!$A11,#REF!)+SUMIF(#REF!,Casilleros!$A11,#REF!)+SUMIF(#REF!,$A11,#REF!)</f>
        <v>#REF!</v>
      </c>
      <c r="N11" s="5" t="e">
        <f>SUMIF(#REF!,$A11,#REF!)</f>
        <v>#REF!</v>
      </c>
      <c r="O11" s="5" t="e">
        <f>SUMIF(#REF!,$A11,#REF!)+SUMIF(#REF!,$A11,#REF!)</f>
        <v>#REF!</v>
      </c>
      <c r="P11" s="5">
        <f>IFERROR(VLOOKUP($A11,#REF!,2,FALSE),0)</f>
        <v>0</v>
      </c>
      <c r="Q11" s="42" t="e">
        <f t="shared" si="0"/>
        <v>#REF!</v>
      </c>
    </row>
    <row r="12" spans="1:25">
      <c r="A12" s="56" t="s">
        <v>52</v>
      </c>
      <c r="B12" s="7" t="s">
        <v>37</v>
      </c>
      <c r="C12" s="7" t="s">
        <v>49</v>
      </c>
      <c r="D12" s="7" t="s">
        <v>43</v>
      </c>
      <c r="E12" s="7" t="s">
        <v>444</v>
      </c>
      <c r="F12" s="7" t="s">
        <v>444</v>
      </c>
      <c r="G12" s="7" t="s">
        <v>444</v>
      </c>
      <c r="H12" s="7" t="s">
        <v>444</v>
      </c>
      <c r="I12" s="7" t="s">
        <v>1644</v>
      </c>
      <c r="K12" s="5">
        <f>SUMIF(BC!$E$6:$E$347,$A12,BC!$K$6:$K$347)</f>
        <v>0</v>
      </c>
      <c r="L12" s="5" t="e">
        <f>SUMIF(#REF!,$A12,#REF!)+SUMIF(#REF!,$A12,#REF!)</f>
        <v>#REF!</v>
      </c>
      <c r="M12" s="5" t="e">
        <f>SUMIF(#REF!,Casilleros!$A12,#REF!)+SUMIF(#REF!,Casilleros!$A12,#REF!)+SUMIF(#REF!,$A12,#REF!)</f>
        <v>#REF!</v>
      </c>
      <c r="N12" s="5" t="e">
        <f>SUMIF(#REF!,$A12,#REF!)</f>
        <v>#REF!</v>
      </c>
      <c r="O12" s="5" t="e">
        <f>SUMIF(#REF!,$A12,#REF!)+SUMIF(#REF!,$A12,#REF!)</f>
        <v>#REF!</v>
      </c>
      <c r="P12" s="5">
        <f>IFERROR(VLOOKUP($A12,#REF!,2,FALSE),0)</f>
        <v>0</v>
      </c>
      <c r="Q12" s="42" t="e">
        <f t="shared" si="0"/>
        <v>#REF!</v>
      </c>
    </row>
    <row r="13" spans="1:25">
      <c r="A13" s="56" t="s">
        <v>53</v>
      </c>
      <c r="B13" s="7" t="s">
        <v>37</v>
      </c>
      <c r="C13" s="7" t="s">
        <v>49</v>
      </c>
      <c r="D13" s="7" t="s">
        <v>45</v>
      </c>
      <c r="E13" s="7" t="s">
        <v>444</v>
      </c>
      <c r="F13" s="7" t="s">
        <v>444</v>
      </c>
      <c r="G13" s="7" t="s">
        <v>444</v>
      </c>
      <c r="H13" s="7" t="s">
        <v>444</v>
      </c>
      <c r="I13" s="7" t="s">
        <v>1645</v>
      </c>
      <c r="K13" s="5">
        <f>SUMIF(BC!$E$6:$E$347,$A13,BC!$K$6:$K$347)</f>
        <v>0</v>
      </c>
      <c r="L13" s="5" t="e">
        <f>SUMIF(#REF!,$A13,#REF!)+SUMIF(#REF!,$A13,#REF!)</f>
        <v>#REF!</v>
      </c>
      <c r="M13" s="5" t="e">
        <f>SUMIF(#REF!,Casilleros!$A13,#REF!)+SUMIF(#REF!,Casilleros!$A13,#REF!)+SUMIF(#REF!,$A13,#REF!)</f>
        <v>#REF!</v>
      </c>
      <c r="N13" s="5" t="e">
        <f>SUMIF(#REF!,$A13,#REF!)</f>
        <v>#REF!</v>
      </c>
      <c r="O13" s="5" t="e">
        <f>SUMIF(#REF!,$A13,#REF!)+SUMIF(#REF!,$A13,#REF!)</f>
        <v>#REF!</v>
      </c>
      <c r="P13" s="5">
        <f>IFERROR(VLOOKUP($A13,#REF!,2,FALSE),0)</f>
        <v>0</v>
      </c>
      <c r="Q13" s="42" t="e">
        <f t="shared" si="0"/>
        <v>#REF!</v>
      </c>
    </row>
    <row r="14" spans="1:25">
      <c r="A14" s="56" t="s">
        <v>54</v>
      </c>
      <c r="B14" s="7" t="s">
        <v>37</v>
      </c>
      <c r="C14" s="7" t="s">
        <v>49</v>
      </c>
      <c r="D14" s="7" t="s">
        <v>47</v>
      </c>
      <c r="E14" s="7" t="s">
        <v>444</v>
      </c>
      <c r="F14" s="7" t="s">
        <v>444</v>
      </c>
      <c r="G14" s="7" t="s">
        <v>444</v>
      </c>
      <c r="H14" s="7" t="s">
        <v>444</v>
      </c>
      <c r="I14" s="7" t="s">
        <v>1646</v>
      </c>
      <c r="K14" s="5">
        <f>SUMIF(BC!$E$6:$E$347,$A14,BC!$K$6:$K$347)</f>
        <v>0</v>
      </c>
      <c r="L14" s="5" t="e">
        <f>SUMIF(#REF!,$A14,#REF!)+SUMIF(#REF!,$A14,#REF!)</f>
        <v>#REF!</v>
      </c>
      <c r="M14" s="5" t="e">
        <f>SUMIF(#REF!,Casilleros!$A14,#REF!)+SUMIF(#REF!,Casilleros!$A14,#REF!)+SUMIF(#REF!,$A14,#REF!)</f>
        <v>#REF!</v>
      </c>
      <c r="N14" s="5" t="e">
        <f>SUMIF(#REF!,$A14,#REF!)</f>
        <v>#REF!</v>
      </c>
      <c r="O14" s="5" t="e">
        <f>SUMIF(#REF!,$A14,#REF!)+SUMIF(#REF!,$A14,#REF!)</f>
        <v>#REF!</v>
      </c>
      <c r="P14" s="5">
        <f>IFERROR(VLOOKUP($A14,#REF!,2,FALSE),0)</f>
        <v>0</v>
      </c>
      <c r="Q14" s="42" t="e">
        <f t="shared" si="0"/>
        <v>#REF!</v>
      </c>
    </row>
    <row r="15" spans="1:25">
      <c r="A15" s="56" t="s">
        <v>56</v>
      </c>
      <c r="B15" s="7" t="s">
        <v>37</v>
      </c>
      <c r="C15" s="7" t="s">
        <v>55</v>
      </c>
      <c r="D15" s="7" t="s">
        <v>39</v>
      </c>
      <c r="E15" s="7" t="s">
        <v>444</v>
      </c>
      <c r="F15" s="7" t="s">
        <v>444</v>
      </c>
      <c r="G15" s="7" t="s">
        <v>444</v>
      </c>
      <c r="H15" s="7" t="s">
        <v>444</v>
      </c>
      <c r="I15" s="7" t="s">
        <v>1647</v>
      </c>
      <c r="K15" s="5">
        <f>SUMIF(BC!$E$6:$E$347,$A15,BC!$K$6:$K$347)</f>
        <v>0</v>
      </c>
      <c r="L15" s="5" t="e">
        <f>SUMIF(#REF!,$A15,#REF!)+SUMIF(#REF!,$A15,#REF!)</f>
        <v>#REF!</v>
      </c>
      <c r="M15" s="5" t="e">
        <f>SUMIF(#REF!,Casilleros!$A15,#REF!)+SUMIF(#REF!,Casilleros!$A15,#REF!)+SUMIF(#REF!,$A15,#REF!)</f>
        <v>#REF!</v>
      </c>
      <c r="N15" s="5" t="e">
        <f>SUMIF(#REF!,$A15,#REF!)</f>
        <v>#REF!</v>
      </c>
      <c r="O15" s="5" t="e">
        <f>SUMIF(#REF!,$A15,#REF!)+SUMIF(#REF!,$A15,#REF!)</f>
        <v>#REF!</v>
      </c>
      <c r="P15" s="5">
        <f>IFERROR(VLOOKUP($A15,#REF!,2,FALSE),0)</f>
        <v>0</v>
      </c>
      <c r="Q15" s="42" t="e">
        <f t="shared" si="0"/>
        <v>#REF!</v>
      </c>
    </row>
    <row r="16" spans="1:25">
      <c r="A16" s="56" t="s">
        <v>57</v>
      </c>
      <c r="B16" s="7" t="s">
        <v>37</v>
      </c>
      <c r="C16" s="7" t="s">
        <v>55</v>
      </c>
      <c r="D16" s="7" t="s">
        <v>41</v>
      </c>
      <c r="E16" s="7" t="s">
        <v>444</v>
      </c>
      <c r="F16" s="7" t="s">
        <v>444</v>
      </c>
      <c r="G16" s="7" t="s">
        <v>444</v>
      </c>
      <c r="H16" s="7" t="s">
        <v>444</v>
      </c>
      <c r="I16" s="7" t="s">
        <v>1648</v>
      </c>
      <c r="K16" s="5">
        <f>SUMIF(BC!$E$6:$E$347,$A16,BC!$K$6:$K$347)</f>
        <v>0</v>
      </c>
      <c r="L16" s="5" t="e">
        <f>SUMIF(#REF!,$A16,#REF!)+SUMIF(#REF!,$A16,#REF!)</f>
        <v>#REF!</v>
      </c>
      <c r="M16" s="5" t="e">
        <f>SUMIF(#REF!,Casilleros!$A16,#REF!)+SUMIF(#REF!,Casilleros!$A16,#REF!)+SUMIF(#REF!,$A16,#REF!)</f>
        <v>#REF!</v>
      </c>
      <c r="N16" s="5" t="e">
        <f>SUMIF(#REF!,$A16,#REF!)</f>
        <v>#REF!</v>
      </c>
      <c r="O16" s="5" t="e">
        <f>SUMIF(#REF!,$A16,#REF!)+SUMIF(#REF!,$A16,#REF!)</f>
        <v>#REF!</v>
      </c>
      <c r="P16" s="5">
        <f>IFERROR(VLOOKUP($A16,#REF!,2,FALSE),0)</f>
        <v>0</v>
      </c>
      <c r="Q16" s="42" t="e">
        <f t="shared" si="0"/>
        <v>#REF!</v>
      </c>
    </row>
    <row r="17" spans="1:17">
      <c r="A17" s="56" t="s">
        <v>58</v>
      </c>
      <c r="B17" s="7" t="s">
        <v>37</v>
      </c>
      <c r="C17" s="7" t="s">
        <v>55</v>
      </c>
      <c r="D17" s="7" t="s">
        <v>43</v>
      </c>
      <c r="E17" s="7" t="s">
        <v>444</v>
      </c>
      <c r="F17" s="7" t="s">
        <v>444</v>
      </c>
      <c r="G17" s="7" t="s">
        <v>444</v>
      </c>
      <c r="H17" s="7" t="s">
        <v>444</v>
      </c>
      <c r="I17" s="7" t="s">
        <v>1649</v>
      </c>
      <c r="K17" s="5">
        <f>SUMIF(BC!$E$6:$E$347,$A17,BC!$K$6:$K$347)</f>
        <v>0</v>
      </c>
      <c r="L17" s="5" t="e">
        <f>SUMIF(#REF!,$A17,#REF!)+SUMIF(#REF!,$A17,#REF!)</f>
        <v>#REF!</v>
      </c>
      <c r="M17" s="5" t="e">
        <f>SUMIF(#REF!,Casilleros!$A17,#REF!)+SUMIF(#REF!,Casilleros!$A17,#REF!)+SUMIF(#REF!,$A17,#REF!)</f>
        <v>#REF!</v>
      </c>
      <c r="N17" s="5" t="e">
        <f>SUMIF(#REF!,$A17,#REF!)</f>
        <v>#REF!</v>
      </c>
      <c r="O17" s="5" t="e">
        <f>SUMIF(#REF!,$A17,#REF!)+SUMIF(#REF!,$A17,#REF!)</f>
        <v>#REF!</v>
      </c>
      <c r="P17" s="5">
        <f>IFERROR(VLOOKUP($A17,#REF!,2,FALSE),0)</f>
        <v>0</v>
      </c>
      <c r="Q17" s="42" t="e">
        <f t="shared" si="0"/>
        <v>#REF!</v>
      </c>
    </row>
    <row r="18" spans="1:17">
      <c r="A18" s="56" t="s">
        <v>59</v>
      </c>
      <c r="B18" s="7" t="s">
        <v>37</v>
      </c>
      <c r="C18" s="7" t="s">
        <v>55</v>
      </c>
      <c r="D18" s="7" t="s">
        <v>45</v>
      </c>
      <c r="E18" s="7" t="s">
        <v>444</v>
      </c>
      <c r="F18" s="7" t="s">
        <v>444</v>
      </c>
      <c r="G18" s="7" t="s">
        <v>444</v>
      </c>
      <c r="H18" s="7" t="s">
        <v>444</v>
      </c>
      <c r="I18" s="7" t="s">
        <v>1650</v>
      </c>
      <c r="K18" s="5">
        <f>SUMIF(BC!$E$6:$E$347,$A18,BC!$K$6:$K$347)</f>
        <v>0</v>
      </c>
      <c r="L18" s="5" t="e">
        <f>SUMIF(#REF!,$A18,#REF!)+SUMIF(#REF!,$A18,#REF!)</f>
        <v>#REF!</v>
      </c>
      <c r="M18" s="5" t="e">
        <f>SUMIF(#REF!,Casilleros!$A18,#REF!)+SUMIF(#REF!,Casilleros!$A18,#REF!)+SUMIF(#REF!,$A18,#REF!)</f>
        <v>#REF!</v>
      </c>
      <c r="N18" s="5" t="e">
        <f>SUMIF(#REF!,$A18,#REF!)</f>
        <v>#REF!</v>
      </c>
      <c r="O18" s="5" t="e">
        <f>SUMIF(#REF!,$A18,#REF!)+SUMIF(#REF!,$A18,#REF!)</f>
        <v>#REF!</v>
      </c>
      <c r="P18" s="5">
        <f>IFERROR(VLOOKUP($A18,#REF!,2,FALSE),0)</f>
        <v>0</v>
      </c>
      <c r="Q18" s="42" t="e">
        <f t="shared" si="0"/>
        <v>#REF!</v>
      </c>
    </row>
    <row r="19" spans="1:17">
      <c r="A19" s="56" t="s">
        <v>60</v>
      </c>
      <c r="B19" s="7" t="s">
        <v>37</v>
      </c>
      <c r="C19" s="7" t="s">
        <v>55</v>
      </c>
      <c r="D19" s="7" t="s">
        <v>47</v>
      </c>
      <c r="E19" s="7" t="s">
        <v>444</v>
      </c>
      <c r="F19" s="7" t="s">
        <v>444</v>
      </c>
      <c r="G19" s="7" t="s">
        <v>444</v>
      </c>
      <c r="H19" s="7" t="s">
        <v>444</v>
      </c>
      <c r="I19" s="7" t="s">
        <v>1651</v>
      </c>
      <c r="K19" s="5">
        <f>SUMIF(BC!$E$6:$E$347,$A19,BC!$K$6:$K$347)</f>
        <v>0</v>
      </c>
      <c r="L19" s="5" t="e">
        <f>SUMIF(#REF!,$A19,#REF!)+SUMIF(#REF!,$A19,#REF!)</f>
        <v>#REF!</v>
      </c>
      <c r="M19" s="5" t="e">
        <f>SUMIF(#REF!,Casilleros!$A19,#REF!)+SUMIF(#REF!,Casilleros!$A19,#REF!)+SUMIF(#REF!,$A19,#REF!)</f>
        <v>#REF!</v>
      </c>
      <c r="N19" s="5" t="e">
        <f>SUMIF(#REF!,$A19,#REF!)</f>
        <v>#REF!</v>
      </c>
      <c r="O19" s="5" t="e">
        <f>SUMIF(#REF!,$A19,#REF!)+SUMIF(#REF!,$A19,#REF!)</f>
        <v>#REF!</v>
      </c>
      <c r="P19" s="5">
        <f>IFERROR(VLOOKUP($A19,#REF!,2,FALSE),0)</f>
        <v>0</v>
      </c>
      <c r="Q19" s="42" t="e">
        <f t="shared" si="0"/>
        <v>#REF!</v>
      </c>
    </row>
    <row r="20" spans="1:17">
      <c r="A20" s="56" t="s">
        <v>62</v>
      </c>
      <c r="B20" s="7" t="s">
        <v>37</v>
      </c>
      <c r="C20" s="7" t="s">
        <v>61</v>
      </c>
      <c r="D20" s="7" t="s">
        <v>444</v>
      </c>
      <c r="E20" s="7" t="s">
        <v>444</v>
      </c>
      <c r="F20" s="7" t="s">
        <v>444</v>
      </c>
      <c r="G20" s="7" t="s">
        <v>444</v>
      </c>
      <c r="H20" s="7" t="s">
        <v>444</v>
      </c>
      <c r="I20" s="7" t="s">
        <v>1652</v>
      </c>
      <c r="K20" s="5">
        <f>SUMIF(BC!$E$6:$E$347,$A20,BC!$K$6:$K$347)</f>
        <v>0</v>
      </c>
      <c r="L20" s="5" t="e">
        <f>SUMIF(#REF!,$A20,#REF!)+SUMIF(#REF!,$A20,#REF!)</f>
        <v>#REF!</v>
      </c>
      <c r="M20" s="5" t="e">
        <f>SUMIF(#REF!,Casilleros!$A20,#REF!)+SUMIF(#REF!,Casilleros!$A20,#REF!)+SUMIF(#REF!,$A20,#REF!)</f>
        <v>#REF!</v>
      </c>
      <c r="N20" s="5" t="e">
        <f>SUMIF(#REF!,$A20,#REF!)</f>
        <v>#REF!</v>
      </c>
      <c r="O20" s="5" t="e">
        <f>SUMIF(#REF!,$A20,#REF!)+SUMIF(#REF!,$A20,#REF!)</f>
        <v>#REF!</v>
      </c>
      <c r="P20" s="5">
        <f>IFERROR(VLOOKUP($A20,#REF!,2,FALSE),0)</f>
        <v>0</v>
      </c>
      <c r="Q20" s="42" t="e">
        <f t="shared" si="0"/>
        <v>#REF!</v>
      </c>
    </row>
    <row r="21" spans="1:17">
      <c r="A21" s="57" t="s">
        <v>64</v>
      </c>
      <c r="B21" s="58" t="s">
        <v>37</v>
      </c>
      <c r="C21" s="58" t="s">
        <v>63</v>
      </c>
      <c r="D21" s="58" t="s">
        <v>444</v>
      </c>
      <c r="E21" s="58" t="s">
        <v>444</v>
      </c>
      <c r="F21" s="58" t="s">
        <v>444</v>
      </c>
      <c r="G21" s="58" t="s">
        <v>444</v>
      </c>
      <c r="H21" s="58" t="s">
        <v>444</v>
      </c>
      <c r="I21" s="58" t="s">
        <v>1653</v>
      </c>
      <c r="K21" s="59">
        <f>SUMIF(BC!$E$6:$E$347,$A21,BC!$K$6:$K$347)</f>
        <v>0</v>
      </c>
      <c r="L21" s="5" t="e">
        <f>SUMIF(#REF!,$A21,#REF!)+SUMIF(#REF!,$A21,#REF!)</f>
        <v>#REF!</v>
      </c>
      <c r="M21" s="5" t="e">
        <f>SUMIF(#REF!,Casilleros!$A21,#REF!)+SUMIF(#REF!,Casilleros!$A21,#REF!)+SUMIF(#REF!,$A21,#REF!)</f>
        <v>#REF!</v>
      </c>
      <c r="N21" s="5" t="e">
        <f>SUMIF(#REF!,$A21,#REF!)</f>
        <v>#REF!</v>
      </c>
      <c r="O21" s="5" t="e">
        <f>SUMIF(#REF!,$A21,#REF!)+SUMIF(#REF!,$A21,#REF!)</f>
        <v>#REF!</v>
      </c>
      <c r="P21" s="5">
        <f>IFERROR(VLOOKUP($A21,#REF!,2,FALSE),0)</f>
        <v>0</v>
      </c>
      <c r="Q21" s="42" t="e">
        <f t="shared" si="0"/>
        <v>#REF!</v>
      </c>
    </row>
    <row r="22" spans="1:17">
      <c r="A22" s="56" t="s">
        <v>69</v>
      </c>
      <c r="B22" s="7" t="s">
        <v>65</v>
      </c>
      <c r="C22" s="7" t="s">
        <v>66</v>
      </c>
      <c r="D22" s="7" t="s">
        <v>67</v>
      </c>
      <c r="E22" s="7" t="s">
        <v>68</v>
      </c>
      <c r="F22" s="7" t="s">
        <v>444</v>
      </c>
      <c r="G22" s="7" t="s">
        <v>444</v>
      </c>
      <c r="H22" s="7" t="s">
        <v>444</v>
      </c>
      <c r="I22" s="7" t="s">
        <v>68</v>
      </c>
      <c r="J22" s="7" t="s">
        <v>68</v>
      </c>
      <c r="K22" s="5" t="e">
        <f>SUMIF(BC!$E$6:$E$347,$A22,BC!$K$6:$K$347)</f>
        <v>#REF!</v>
      </c>
      <c r="L22" s="5" t="e">
        <f>SUMIF(#REF!,$A22,#REF!)+SUMIF(#REF!,$A22,#REF!)</f>
        <v>#REF!</v>
      </c>
      <c r="M22" s="5" t="e">
        <f>SUMIF(#REF!,Casilleros!$A22,#REF!)+SUMIF(#REF!,Casilleros!$A22,#REF!)+SUMIF(#REF!,$A22,#REF!)</f>
        <v>#REF!</v>
      </c>
      <c r="N22" s="5" t="e">
        <f>SUMIF(#REF!,$A22,#REF!)</f>
        <v>#REF!</v>
      </c>
      <c r="O22" s="5" t="e">
        <f>SUMIF(#REF!,$A22,#REF!)+SUMIF(#REF!,$A22,#REF!)</f>
        <v>#REF!</v>
      </c>
      <c r="P22" s="5">
        <f>IFERROR(VLOOKUP($A22,#REF!,2,FALSE),0)</f>
        <v>0</v>
      </c>
      <c r="Q22" s="42" t="e">
        <f t="shared" si="0"/>
        <v>#REF!</v>
      </c>
    </row>
    <row r="23" spans="1:17">
      <c r="A23" s="56" t="s">
        <v>74</v>
      </c>
      <c r="B23" s="7" t="s">
        <v>65</v>
      </c>
      <c r="C23" s="7" t="s">
        <v>66</v>
      </c>
      <c r="D23" s="7" t="s">
        <v>67</v>
      </c>
      <c r="E23" s="7" t="s">
        <v>70</v>
      </c>
      <c r="F23" s="7" t="s">
        <v>71</v>
      </c>
      <c r="G23" s="7" t="s">
        <v>72</v>
      </c>
      <c r="H23" s="7" t="s">
        <v>73</v>
      </c>
      <c r="I23" s="7" t="s">
        <v>1654</v>
      </c>
      <c r="J23" s="7" t="s">
        <v>2202</v>
      </c>
      <c r="K23" s="5">
        <f>SUMIF(BC!$E$6:$E$347,$A23,BC!$K$6:$K$347)</f>
        <v>0</v>
      </c>
      <c r="L23" s="5" t="e">
        <f>SUMIF(#REF!,$A23,#REF!)+SUMIF(#REF!,$A23,#REF!)</f>
        <v>#REF!</v>
      </c>
      <c r="M23" s="5" t="e">
        <f>SUMIF(#REF!,Casilleros!$A23,#REF!)+SUMIF(#REF!,Casilleros!$A23,#REF!)+SUMIF(#REF!,$A23,#REF!)</f>
        <v>#REF!</v>
      </c>
      <c r="N23" s="5" t="e">
        <f>SUMIF(#REF!,$A23,#REF!)</f>
        <v>#REF!</v>
      </c>
      <c r="O23" s="5" t="e">
        <f>SUMIF(#REF!,$A23,#REF!)+SUMIF(#REF!,$A23,#REF!)</f>
        <v>#REF!</v>
      </c>
      <c r="P23" s="5">
        <f>IFERROR(VLOOKUP($A23,#REF!,2,FALSE),0)</f>
        <v>0</v>
      </c>
      <c r="Q23" s="42" t="e">
        <f t="shared" si="0"/>
        <v>#REF!</v>
      </c>
    </row>
    <row r="24" spans="1:17">
      <c r="A24" s="56" t="s">
        <v>75</v>
      </c>
      <c r="B24" s="7" t="s">
        <v>65</v>
      </c>
      <c r="C24" s="7" t="s">
        <v>66</v>
      </c>
      <c r="D24" s="7" t="s">
        <v>67</v>
      </c>
      <c r="E24" s="7" t="s">
        <v>70</v>
      </c>
      <c r="F24" s="7" t="s">
        <v>71</v>
      </c>
      <c r="G24" s="7" t="s">
        <v>72</v>
      </c>
      <c r="H24" s="7" t="s">
        <v>26</v>
      </c>
      <c r="I24" s="7" t="s">
        <v>1655</v>
      </c>
      <c r="J24" s="7" t="s">
        <v>2202</v>
      </c>
      <c r="K24" s="5">
        <f>SUMIF(BC!$E$6:$E$347,$A24,BC!$K$6:$K$347)</f>
        <v>0</v>
      </c>
      <c r="L24" s="5" t="e">
        <f>SUMIF(#REF!,$A24,#REF!)+SUMIF(#REF!,$A24,#REF!)</f>
        <v>#REF!</v>
      </c>
      <c r="M24" s="5" t="e">
        <f>SUMIF(#REF!,Casilleros!$A24,#REF!)+SUMIF(#REF!,Casilleros!$A24,#REF!)+SUMIF(#REF!,$A24,#REF!)</f>
        <v>#REF!</v>
      </c>
      <c r="N24" s="5" t="e">
        <f>SUMIF(#REF!,$A24,#REF!)</f>
        <v>#REF!</v>
      </c>
      <c r="O24" s="5" t="e">
        <f>SUMIF(#REF!,$A24,#REF!)+SUMIF(#REF!,$A24,#REF!)</f>
        <v>#REF!</v>
      </c>
      <c r="P24" s="5">
        <f>IFERROR(VLOOKUP($A24,#REF!,2,FALSE),0)</f>
        <v>0</v>
      </c>
      <c r="Q24" s="42" t="e">
        <f t="shared" si="0"/>
        <v>#REF!</v>
      </c>
    </row>
    <row r="25" spans="1:17">
      <c r="A25" s="56" t="s">
        <v>77</v>
      </c>
      <c r="B25" s="7" t="s">
        <v>65</v>
      </c>
      <c r="C25" s="7" t="s">
        <v>66</v>
      </c>
      <c r="D25" s="7" t="s">
        <v>67</v>
      </c>
      <c r="E25" s="7" t="s">
        <v>70</v>
      </c>
      <c r="F25" s="7" t="s">
        <v>71</v>
      </c>
      <c r="G25" s="7" t="s">
        <v>72</v>
      </c>
      <c r="H25" s="7" t="s">
        <v>76</v>
      </c>
      <c r="I25" s="7" t="s">
        <v>1656</v>
      </c>
      <c r="J25" s="7" t="s">
        <v>2202</v>
      </c>
      <c r="K25" s="5">
        <f>SUMIF(BC!$E$6:$E$347,$A25,BC!$K$6:$K$347)</f>
        <v>0</v>
      </c>
      <c r="L25" s="5" t="e">
        <f>SUMIF(#REF!,$A25,#REF!)+SUMIF(#REF!,$A25,#REF!)</f>
        <v>#REF!</v>
      </c>
      <c r="M25" s="5" t="e">
        <f>SUMIF(#REF!,Casilleros!$A25,#REF!)+SUMIF(#REF!,Casilleros!$A25,#REF!)+SUMIF(#REF!,$A25,#REF!)</f>
        <v>#REF!</v>
      </c>
      <c r="N25" s="5" t="e">
        <f>SUMIF(#REF!,$A25,#REF!)</f>
        <v>#REF!</v>
      </c>
      <c r="O25" s="5" t="e">
        <f>SUMIF(#REF!,$A25,#REF!)+SUMIF(#REF!,$A25,#REF!)</f>
        <v>#REF!</v>
      </c>
      <c r="P25" s="5">
        <f>IFERROR(VLOOKUP($A25,#REF!,2,FALSE),0)</f>
        <v>0</v>
      </c>
      <c r="Q25" s="42" t="e">
        <f t="shared" si="0"/>
        <v>#REF!</v>
      </c>
    </row>
    <row r="26" spans="1:17">
      <c r="A26" s="56" t="s">
        <v>79</v>
      </c>
      <c r="B26" s="7" t="s">
        <v>65</v>
      </c>
      <c r="C26" s="7" t="s">
        <v>66</v>
      </c>
      <c r="D26" s="7" t="s">
        <v>67</v>
      </c>
      <c r="E26" s="7" t="s">
        <v>70</v>
      </c>
      <c r="F26" s="7" t="s">
        <v>71</v>
      </c>
      <c r="G26" s="7" t="s">
        <v>78</v>
      </c>
      <c r="H26" s="7" t="s">
        <v>73</v>
      </c>
      <c r="I26" s="7" t="s">
        <v>1657</v>
      </c>
      <c r="J26" s="7" t="s">
        <v>2202</v>
      </c>
      <c r="K26" s="5" t="e">
        <f>SUMIF(BC!$E$6:$E$347,$A26,BC!$K$6:$K$347)</f>
        <v>#REF!</v>
      </c>
      <c r="L26" s="5" t="e">
        <f>SUMIF(#REF!,$A26,#REF!)+SUMIF(#REF!,$A26,#REF!)</f>
        <v>#REF!</v>
      </c>
      <c r="M26" s="5" t="e">
        <f>SUMIF(#REF!,Casilleros!$A26,#REF!)+SUMIF(#REF!,Casilleros!$A26,#REF!)+SUMIF(#REF!,$A26,#REF!)</f>
        <v>#REF!</v>
      </c>
      <c r="N26" s="5" t="e">
        <f>SUMIF(#REF!,$A26,#REF!)</f>
        <v>#REF!</v>
      </c>
      <c r="O26" s="5" t="e">
        <f>SUMIF(#REF!,$A26,#REF!)+SUMIF(#REF!,$A26,#REF!)</f>
        <v>#REF!</v>
      </c>
      <c r="P26" s="5">
        <f>IFERROR(VLOOKUP($A26,#REF!,2,FALSE),0)</f>
        <v>0</v>
      </c>
      <c r="Q26" s="42" t="e">
        <f t="shared" si="0"/>
        <v>#REF!</v>
      </c>
    </row>
    <row r="27" spans="1:17">
      <c r="A27" s="56" t="s">
        <v>80</v>
      </c>
      <c r="B27" s="7" t="s">
        <v>65</v>
      </c>
      <c r="C27" s="7" t="s">
        <v>66</v>
      </c>
      <c r="D27" s="7" t="s">
        <v>67</v>
      </c>
      <c r="E27" s="7" t="s">
        <v>70</v>
      </c>
      <c r="F27" s="7" t="s">
        <v>71</v>
      </c>
      <c r="G27" s="7" t="s">
        <v>78</v>
      </c>
      <c r="H27" s="7" t="s">
        <v>26</v>
      </c>
      <c r="I27" s="7" t="s">
        <v>1658</v>
      </c>
      <c r="J27" s="7" t="s">
        <v>2202</v>
      </c>
      <c r="K27" s="5">
        <f>SUMIF(BC!$E$6:$E$347,$A27,BC!$K$6:$K$347)</f>
        <v>0</v>
      </c>
      <c r="L27" s="5" t="e">
        <f>SUMIF(#REF!,$A27,#REF!)+SUMIF(#REF!,$A27,#REF!)</f>
        <v>#REF!</v>
      </c>
      <c r="M27" s="5" t="e">
        <f>SUMIF(#REF!,Casilleros!$A27,#REF!)+SUMIF(#REF!,Casilleros!$A27,#REF!)+SUMIF(#REF!,$A27,#REF!)</f>
        <v>#REF!</v>
      </c>
      <c r="N27" s="5" t="e">
        <f>SUMIF(#REF!,$A27,#REF!)</f>
        <v>#REF!</v>
      </c>
      <c r="O27" s="5" t="e">
        <f>SUMIF(#REF!,$A27,#REF!)+SUMIF(#REF!,$A27,#REF!)</f>
        <v>#REF!</v>
      </c>
      <c r="P27" s="5">
        <f>IFERROR(VLOOKUP($A27,#REF!,2,FALSE),0)</f>
        <v>0</v>
      </c>
      <c r="Q27" s="42" t="e">
        <f t="shared" si="0"/>
        <v>#REF!</v>
      </c>
    </row>
    <row r="28" spans="1:17">
      <c r="A28" s="56" t="s">
        <v>81</v>
      </c>
      <c r="B28" s="7" t="s">
        <v>65</v>
      </c>
      <c r="C28" s="7" t="s">
        <v>66</v>
      </c>
      <c r="D28" s="7" t="s">
        <v>67</v>
      </c>
      <c r="E28" s="7" t="s">
        <v>70</v>
      </c>
      <c r="F28" s="7" t="s">
        <v>71</v>
      </c>
      <c r="G28" s="7" t="s">
        <v>78</v>
      </c>
      <c r="H28" s="7" t="s">
        <v>76</v>
      </c>
      <c r="I28" s="7" t="s">
        <v>1659</v>
      </c>
      <c r="J28" s="7" t="s">
        <v>2202</v>
      </c>
      <c r="K28" s="5" t="e">
        <f>SUMIF(BC!$E$6:$E$347,$A28,BC!$K$6:$K$347)</f>
        <v>#REF!</v>
      </c>
      <c r="L28" s="5" t="e">
        <f>SUMIF(#REF!,$A28,#REF!)+SUMIF(#REF!,$A28,#REF!)</f>
        <v>#REF!</v>
      </c>
      <c r="M28" s="5" t="e">
        <f>SUMIF(#REF!,Casilleros!$A28,#REF!)+SUMIF(#REF!,Casilleros!$A28,#REF!)+SUMIF(#REF!,$A28,#REF!)</f>
        <v>#REF!</v>
      </c>
      <c r="N28" s="5" t="e">
        <f>SUMIF(#REF!,$A28,#REF!)</f>
        <v>#REF!</v>
      </c>
      <c r="O28" s="5" t="e">
        <f>SUMIF(#REF!,$A28,#REF!)+SUMIF(#REF!,$A28,#REF!)</f>
        <v>#REF!</v>
      </c>
      <c r="P28" s="5">
        <f>IFERROR(VLOOKUP($A28,#REF!,2,FALSE),0)</f>
        <v>0</v>
      </c>
      <c r="Q28" s="42" t="e">
        <f t="shared" si="0"/>
        <v>#REF!</v>
      </c>
    </row>
    <row r="29" spans="1:17">
      <c r="A29" s="56" t="s">
        <v>84</v>
      </c>
      <c r="B29" s="7" t="s">
        <v>65</v>
      </c>
      <c r="C29" s="7" t="s">
        <v>66</v>
      </c>
      <c r="D29" s="7" t="s">
        <v>67</v>
      </c>
      <c r="E29" s="7" t="s">
        <v>70</v>
      </c>
      <c r="F29" s="7" t="s">
        <v>82</v>
      </c>
      <c r="G29" s="7" t="s">
        <v>83</v>
      </c>
      <c r="H29" s="7" t="s">
        <v>73</v>
      </c>
      <c r="I29" s="7" t="s">
        <v>1660</v>
      </c>
      <c r="J29" s="7" t="s">
        <v>2202</v>
      </c>
      <c r="K29" s="5">
        <f>SUMIF(BC!$E$6:$E$347,$A29,BC!$K$6:$K$347)</f>
        <v>0</v>
      </c>
      <c r="L29" s="5" t="e">
        <f>SUMIF(#REF!,$A29,#REF!)+SUMIF(#REF!,$A29,#REF!)</f>
        <v>#REF!</v>
      </c>
      <c r="M29" s="5" t="e">
        <f>SUMIF(#REF!,Casilleros!$A29,#REF!)+SUMIF(#REF!,Casilleros!$A29,#REF!)+SUMIF(#REF!,$A29,#REF!)</f>
        <v>#REF!</v>
      </c>
      <c r="N29" s="5" t="e">
        <f>SUMIF(#REF!,$A29,#REF!)</f>
        <v>#REF!</v>
      </c>
      <c r="O29" s="5" t="e">
        <f>SUMIF(#REF!,$A29,#REF!)+SUMIF(#REF!,$A29,#REF!)</f>
        <v>#REF!</v>
      </c>
      <c r="P29" s="5">
        <f>IFERROR(VLOOKUP($A29,#REF!,2,FALSE),0)</f>
        <v>0</v>
      </c>
      <c r="Q29" s="42" t="e">
        <f t="shared" si="0"/>
        <v>#REF!</v>
      </c>
    </row>
    <row r="30" spans="1:17">
      <c r="A30" s="56" t="s">
        <v>85</v>
      </c>
      <c r="B30" s="7" t="s">
        <v>65</v>
      </c>
      <c r="C30" s="7" t="s">
        <v>66</v>
      </c>
      <c r="D30" s="7" t="s">
        <v>67</v>
      </c>
      <c r="E30" s="7" t="s">
        <v>70</v>
      </c>
      <c r="F30" s="7" t="s">
        <v>82</v>
      </c>
      <c r="G30" s="7" t="s">
        <v>83</v>
      </c>
      <c r="H30" s="7" t="s">
        <v>26</v>
      </c>
      <c r="I30" s="7" t="s">
        <v>1661</v>
      </c>
      <c r="J30" s="7" t="s">
        <v>2202</v>
      </c>
      <c r="K30" s="5">
        <f>SUMIF(BC!$E$6:$E$347,$A30,BC!$K$6:$K$347)</f>
        <v>0</v>
      </c>
      <c r="L30" s="5" t="e">
        <f>SUMIF(#REF!,$A30,#REF!)+SUMIF(#REF!,$A30,#REF!)</f>
        <v>#REF!</v>
      </c>
      <c r="M30" s="5" t="e">
        <f>SUMIF(#REF!,Casilleros!$A30,#REF!)+SUMIF(#REF!,Casilleros!$A30,#REF!)+SUMIF(#REF!,$A30,#REF!)</f>
        <v>#REF!</v>
      </c>
      <c r="N30" s="5" t="e">
        <f>SUMIF(#REF!,$A30,#REF!)</f>
        <v>#REF!</v>
      </c>
      <c r="O30" s="5" t="e">
        <f>SUMIF(#REF!,$A30,#REF!)+SUMIF(#REF!,$A30,#REF!)</f>
        <v>#REF!</v>
      </c>
      <c r="P30" s="5">
        <f>IFERROR(VLOOKUP($A30,#REF!,2,FALSE),0)</f>
        <v>0</v>
      </c>
      <c r="Q30" s="42" t="e">
        <f t="shared" si="0"/>
        <v>#REF!</v>
      </c>
    </row>
    <row r="31" spans="1:17">
      <c r="A31" s="56" t="s">
        <v>88</v>
      </c>
      <c r="B31" s="7" t="s">
        <v>65</v>
      </c>
      <c r="C31" s="7" t="s">
        <v>66</v>
      </c>
      <c r="D31" s="7" t="s">
        <v>67</v>
      </c>
      <c r="E31" s="7" t="s">
        <v>70</v>
      </c>
      <c r="F31" s="7" t="s">
        <v>82</v>
      </c>
      <c r="G31" s="7" t="s">
        <v>86</v>
      </c>
      <c r="H31" s="7" t="s">
        <v>87</v>
      </c>
      <c r="I31" s="7" t="s">
        <v>1662</v>
      </c>
      <c r="J31" s="7" t="s">
        <v>2202</v>
      </c>
      <c r="K31" s="5">
        <f>SUMIF(BC!$E$6:$E$347,$A31,BC!$K$6:$K$347)</f>
        <v>0</v>
      </c>
      <c r="L31" s="5" t="e">
        <f>SUMIF(#REF!,$A31,#REF!)+SUMIF(#REF!,$A31,#REF!)</f>
        <v>#REF!</v>
      </c>
      <c r="M31" s="5" t="e">
        <f>SUMIF(#REF!,Casilleros!$A31,#REF!)+SUMIF(#REF!,Casilleros!$A31,#REF!)+SUMIF(#REF!,$A31,#REF!)</f>
        <v>#REF!</v>
      </c>
      <c r="N31" s="5" t="e">
        <f>SUMIF(#REF!,$A31,#REF!)</f>
        <v>#REF!</v>
      </c>
      <c r="O31" s="5" t="e">
        <f>SUMIF(#REF!,$A31,#REF!)+SUMIF(#REF!,$A31,#REF!)</f>
        <v>#REF!</v>
      </c>
      <c r="P31" s="5">
        <f>IFERROR(VLOOKUP($A31,#REF!,2,FALSE),0)</f>
        <v>0</v>
      </c>
      <c r="Q31" s="42" t="e">
        <f t="shared" si="0"/>
        <v>#REF!</v>
      </c>
    </row>
    <row r="32" spans="1:17">
      <c r="A32" s="56" t="s">
        <v>90</v>
      </c>
      <c r="B32" s="7" t="s">
        <v>65</v>
      </c>
      <c r="C32" s="7" t="s">
        <v>66</v>
      </c>
      <c r="D32" s="7" t="s">
        <v>67</v>
      </c>
      <c r="E32" s="7" t="s">
        <v>70</v>
      </c>
      <c r="F32" s="7" t="s">
        <v>82</v>
      </c>
      <c r="G32" s="7" t="s">
        <v>86</v>
      </c>
      <c r="H32" s="7" t="s">
        <v>89</v>
      </c>
      <c r="I32" s="7" t="s">
        <v>1663</v>
      </c>
      <c r="J32" s="7" t="s">
        <v>2202</v>
      </c>
      <c r="K32" s="5">
        <f>SUMIF(BC!$E$6:$E$347,$A32,BC!$K$6:$K$347)</f>
        <v>0</v>
      </c>
      <c r="L32" s="5" t="e">
        <f>SUMIF(#REF!,$A32,#REF!)+SUMIF(#REF!,$A32,#REF!)</f>
        <v>#REF!</v>
      </c>
      <c r="M32" s="5" t="e">
        <f>SUMIF(#REF!,Casilleros!$A32,#REF!)+SUMIF(#REF!,Casilleros!$A32,#REF!)+SUMIF(#REF!,$A32,#REF!)</f>
        <v>#REF!</v>
      </c>
      <c r="N32" s="5" t="e">
        <f>SUMIF(#REF!,$A32,#REF!)</f>
        <v>#REF!</v>
      </c>
      <c r="O32" s="5" t="e">
        <f>SUMIF(#REF!,$A32,#REF!)+SUMIF(#REF!,$A32,#REF!)</f>
        <v>#REF!</v>
      </c>
      <c r="P32" s="5">
        <f>IFERROR(VLOOKUP($A32,#REF!,2,FALSE),0)</f>
        <v>0</v>
      </c>
      <c r="Q32" s="42" t="e">
        <f t="shared" si="0"/>
        <v>#REF!</v>
      </c>
    </row>
    <row r="33" spans="1:17">
      <c r="A33" s="56" t="s">
        <v>92</v>
      </c>
      <c r="B33" s="7" t="s">
        <v>65</v>
      </c>
      <c r="C33" s="7" t="s">
        <v>66</v>
      </c>
      <c r="D33" s="7" t="s">
        <v>67</v>
      </c>
      <c r="E33" s="7" t="s">
        <v>70</v>
      </c>
      <c r="F33" s="7" t="s">
        <v>82</v>
      </c>
      <c r="G33" s="7" t="s">
        <v>91</v>
      </c>
      <c r="H33" s="7" t="s">
        <v>73</v>
      </c>
      <c r="I33" s="7" t="s">
        <v>1664</v>
      </c>
      <c r="J33" s="7" t="s">
        <v>2202</v>
      </c>
      <c r="K33" s="5">
        <f>SUMIF(BC!$E$6:$E$347,$A33,BC!$K$6:$K$347)</f>
        <v>0</v>
      </c>
      <c r="L33" s="5" t="e">
        <f>SUMIF(#REF!,$A33,#REF!)+SUMIF(#REF!,$A33,#REF!)</f>
        <v>#REF!</v>
      </c>
      <c r="M33" s="5" t="e">
        <f>SUMIF(#REF!,Casilleros!$A33,#REF!)+SUMIF(#REF!,Casilleros!$A33,#REF!)+SUMIF(#REF!,$A33,#REF!)</f>
        <v>#REF!</v>
      </c>
      <c r="N33" s="5" t="e">
        <f>SUMIF(#REF!,$A33,#REF!)</f>
        <v>#REF!</v>
      </c>
      <c r="O33" s="5" t="e">
        <f>SUMIF(#REF!,$A33,#REF!)+SUMIF(#REF!,$A33,#REF!)</f>
        <v>#REF!</v>
      </c>
      <c r="P33" s="5">
        <f>IFERROR(VLOOKUP($A33,#REF!,2,FALSE),0)</f>
        <v>0</v>
      </c>
      <c r="Q33" s="42" t="e">
        <f t="shared" si="0"/>
        <v>#REF!</v>
      </c>
    </row>
    <row r="34" spans="1:17">
      <c r="A34" s="56" t="s">
        <v>93</v>
      </c>
      <c r="B34" s="7" t="s">
        <v>65</v>
      </c>
      <c r="C34" s="7" t="s">
        <v>66</v>
      </c>
      <c r="D34" s="7" t="s">
        <v>67</v>
      </c>
      <c r="E34" s="7" t="s">
        <v>70</v>
      </c>
      <c r="F34" s="7" t="s">
        <v>82</v>
      </c>
      <c r="G34" s="7" t="s">
        <v>91</v>
      </c>
      <c r="H34" s="7" t="s">
        <v>26</v>
      </c>
      <c r="I34" s="7" t="s">
        <v>1665</v>
      </c>
      <c r="J34" s="7" t="s">
        <v>2202</v>
      </c>
      <c r="K34" s="5">
        <f>SUMIF(BC!$E$6:$E$347,$A34,BC!$K$6:$K$347)</f>
        <v>0</v>
      </c>
      <c r="L34" s="5" t="e">
        <f>SUMIF(#REF!,$A34,#REF!)+SUMIF(#REF!,$A34,#REF!)</f>
        <v>#REF!</v>
      </c>
      <c r="M34" s="5" t="e">
        <f>SUMIF(#REF!,Casilleros!$A34,#REF!)+SUMIF(#REF!,Casilleros!$A34,#REF!)+SUMIF(#REF!,$A34,#REF!)</f>
        <v>#REF!</v>
      </c>
      <c r="N34" s="5" t="e">
        <f>SUMIF(#REF!,$A34,#REF!)</f>
        <v>#REF!</v>
      </c>
      <c r="O34" s="5" t="e">
        <f>SUMIF(#REF!,$A34,#REF!)+SUMIF(#REF!,$A34,#REF!)</f>
        <v>#REF!</v>
      </c>
      <c r="P34" s="5">
        <f>IFERROR(VLOOKUP($A34,#REF!,2,FALSE),0)</f>
        <v>0</v>
      </c>
      <c r="Q34" s="42" t="e">
        <f t="shared" si="0"/>
        <v>#REF!</v>
      </c>
    </row>
    <row r="35" spans="1:17">
      <c r="A35" s="56" t="s">
        <v>95</v>
      </c>
      <c r="B35" s="7" t="s">
        <v>65</v>
      </c>
      <c r="C35" s="7" t="s">
        <v>66</v>
      </c>
      <c r="D35" s="7" t="s">
        <v>67</v>
      </c>
      <c r="E35" s="7" t="s">
        <v>70</v>
      </c>
      <c r="F35" s="7" t="s">
        <v>82</v>
      </c>
      <c r="G35" s="7" t="s">
        <v>91</v>
      </c>
      <c r="H35" s="7" t="s">
        <v>94</v>
      </c>
      <c r="I35" s="7" t="s">
        <v>1666</v>
      </c>
      <c r="J35" s="7" t="s">
        <v>2202</v>
      </c>
      <c r="K35" s="5">
        <f>SUMIF(BC!$E$6:$E$347,$A35,BC!$K$6:$K$347)</f>
        <v>0</v>
      </c>
      <c r="L35" s="5" t="e">
        <f>SUMIF(#REF!,$A35,#REF!)+SUMIF(#REF!,$A35,#REF!)</f>
        <v>#REF!</v>
      </c>
      <c r="M35" s="5" t="e">
        <f>SUMIF(#REF!,Casilleros!$A35,#REF!)+SUMIF(#REF!,Casilleros!$A35,#REF!)+SUMIF(#REF!,$A35,#REF!)</f>
        <v>#REF!</v>
      </c>
      <c r="N35" s="5" t="e">
        <f>SUMIF(#REF!,$A35,#REF!)</f>
        <v>#REF!</v>
      </c>
      <c r="O35" s="5" t="e">
        <f>SUMIF(#REF!,$A35,#REF!)+SUMIF(#REF!,$A35,#REF!)</f>
        <v>#REF!</v>
      </c>
      <c r="P35" s="5">
        <f>IFERROR(VLOOKUP($A35,#REF!,2,FALSE),0)</f>
        <v>0</v>
      </c>
      <c r="Q35" s="42" t="e">
        <f t="shared" si="0"/>
        <v>#REF!</v>
      </c>
    </row>
    <row r="36" spans="1:17">
      <c r="A36" s="56" t="s">
        <v>97</v>
      </c>
      <c r="B36" s="7" t="s">
        <v>65</v>
      </c>
      <c r="C36" s="7" t="s">
        <v>66</v>
      </c>
      <c r="D36" s="7" t="s">
        <v>67</v>
      </c>
      <c r="E36" s="7" t="s">
        <v>70</v>
      </c>
      <c r="F36" s="7" t="s">
        <v>82</v>
      </c>
      <c r="G36" s="7" t="s">
        <v>96</v>
      </c>
      <c r="H36" s="7" t="s">
        <v>73</v>
      </c>
      <c r="I36" s="7" t="s">
        <v>1667</v>
      </c>
      <c r="J36" s="7" t="s">
        <v>2202</v>
      </c>
      <c r="K36" s="5" t="e">
        <f>SUMIF(BC!$E$6:$E$347,$A36,BC!$K$6:$K$347)</f>
        <v>#REF!</v>
      </c>
      <c r="L36" s="5" t="e">
        <f>SUMIF(#REF!,$A36,#REF!)+SUMIF(#REF!,$A36,#REF!)</f>
        <v>#REF!</v>
      </c>
      <c r="M36" s="5" t="e">
        <f>SUMIF(#REF!,Casilleros!$A36,#REF!)+SUMIF(#REF!,Casilleros!$A36,#REF!)+SUMIF(#REF!,$A36,#REF!)</f>
        <v>#REF!</v>
      </c>
      <c r="N36" s="5" t="e">
        <f>SUMIF(#REF!,$A36,#REF!)</f>
        <v>#REF!</v>
      </c>
      <c r="O36" s="5" t="e">
        <f>SUMIF(#REF!,$A36,#REF!)+SUMIF(#REF!,$A36,#REF!)</f>
        <v>#REF!</v>
      </c>
      <c r="P36" s="5">
        <f>IFERROR(VLOOKUP($A36,#REF!,2,FALSE),0)</f>
        <v>0</v>
      </c>
      <c r="Q36" s="42" t="e">
        <f t="shared" si="0"/>
        <v>#REF!</v>
      </c>
    </row>
    <row r="37" spans="1:17">
      <c r="A37" s="56" t="s">
        <v>98</v>
      </c>
      <c r="B37" s="7" t="s">
        <v>65</v>
      </c>
      <c r="C37" s="7" t="s">
        <v>66</v>
      </c>
      <c r="D37" s="7" t="s">
        <v>67</v>
      </c>
      <c r="E37" s="7" t="s">
        <v>70</v>
      </c>
      <c r="F37" s="7" t="s">
        <v>82</v>
      </c>
      <c r="G37" s="7" t="s">
        <v>96</v>
      </c>
      <c r="H37" s="7" t="s">
        <v>26</v>
      </c>
      <c r="I37" s="7" t="s">
        <v>1668</v>
      </c>
      <c r="J37" s="7" t="s">
        <v>2202</v>
      </c>
      <c r="K37" s="5">
        <f>SUMIF(BC!$E$6:$E$347,$A37,BC!$K$6:$K$347)</f>
        <v>0</v>
      </c>
      <c r="L37" s="5" t="e">
        <f>SUMIF(#REF!,$A37,#REF!)+SUMIF(#REF!,$A37,#REF!)</f>
        <v>#REF!</v>
      </c>
      <c r="M37" s="5" t="e">
        <f>SUMIF(#REF!,Casilleros!$A37,#REF!)+SUMIF(#REF!,Casilleros!$A37,#REF!)+SUMIF(#REF!,$A37,#REF!)</f>
        <v>#REF!</v>
      </c>
      <c r="N37" s="5" t="e">
        <f>SUMIF(#REF!,$A37,#REF!)</f>
        <v>#REF!</v>
      </c>
      <c r="O37" s="5" t="e">
        <f>SUMIF(#REF!,$A37,#REF!)+SUMIF(#REF!,$A37,#REF!)</f>
        <v>#REF!</v>
      </c>
      <c r="P37" s="5">
        <f>IFERROR(VLOOKUP($A37,#REF!,2,FALSE),0)</f>
        <v>0</v>
      </c>
      <c r="Q37" s="42" t="e">
        <f t="shared" si="0"/>
        <v>#REF!</v>
      </c>
    </row>
    <row r="38" spans="1:17">
      <c r="A38" s="56" t="s">
        <v>99</v>
      </c>
      <c r="B38" s="7" t="s">
        <v>65</v>
      </c>
      <c r="C38" s="7" t="s">
        <v>66</v>
      </c>
      <c r="D38" s="7" t="s">
        <v>67</v>
      </c>
      <c r="E38" s="7" t="s">
        <v>70</v>
      </c>
      <c r="F38" s="7" t="s">
        <v>82</v>
      </c>
      <c r="G38" s="7" t="s">
        <v>96</v>
      </c>
      <c r="H38" s="7" t="s">
        <v>94</v>
      </c>
      <c r="I38" s="7" t="s">
        <v>1669</v>
      </c>
      <c r="J38" s="7" t="s">
        <v>2202</v>
      </c>
      <c r="K38" s="5">
        <f>SUMIF(BC!$E$6:$E$347,$A38,BC!$K$6:$K$347)</f>
        <v>0</v>
      </c>
      <c r="L38" s="5" t="e">
        <f>SUMIF(#REF!,$A38,#REF!)+SUMIF(#REF!,$A38,#REF!)</f>
        <v>#REF!</v>
      </c>
      <c r="M38" s="5" t="e">
        <f>SUMIF(#REF!,Casilleros!$A38,#REF!)+SUMIF(#REF!,Casilleros!$A38,#REF!)+SUMIF(#REF!,$A38,#REF!)</f>
        <v>#REF!</v>
      </c>
      <c r="N38" s="5" t="e">
        <f>SUMIF(#REF!,$A38,#REF!)</f>
        <v>#REF!</v>
      </c>
      <c r="O38" s="5" t="e">
        <f>SUMIF(#REF!,$A38,#REF!)+SUMIF(#REF!,$A38,#REF!)</f>
        <v>#REF!</v>
      </c>
      <c r="P38" s="5">
        <f>IFERROR(VLOOKUP($A38,#REF!,2,FALSE),0)</f>
        <v>0</v>
      </c>
      <c r="Q38" s="42" t="e">
        <f t="shared" si="0"/>
        <v>#REF!</v>
      </c>
    </row>
    <row r="39" spans="1:17" ht="15">
      <c r="A39" s="56" t="s">
        <v>102</v>
      </c>
      <c r="B39" s="7" t="s">
        <v>65</v>
      </c>
      <c r="C39" s="7" t="s">
        <v>66</v>
      </c>
      <c r="D39" s="7" t="s">
        <v>67</v>
      </c>
      <c r="E39" s="7" t="s">
        <v>100</v>
      </c>
      <c r="F39" s="7" t="s">
        <v>101</v>
      </c>
      <c r="G39" s="7" t="s">
        <v>444</v>
      </c>
      <c r="H39" s="7" t="s">
        <v>444</v>
      </c>
      <c r="I39" s="7" t="s">
        <v>1670</v>
      </c>
      <c r="J39" s="60" t="s">
        <v>2204</v>
      </c>
      <c r="K39" s="5">
        <f>SUMIF(BC!$E$6:$E$347,$A39,BC!$K$6:$K$347)</f>
        <v>0</v>
      </c>
      <c r="L39" s="5" t="e">
        <f>SUMIF(#REF!,$A39,#REF!)+SUMIF(#REF!,$A39,#REF!)</f>
        <v>#REF!</v>
      </c>
      <c r="M39" s="5" t="e">
        <f>SUMIF(#REF!,Casilleros!$A39,#REF!)+SUMIF(#REF!,Casilleros!$A39,#REF!)+SUMIF(#REF!,$A39,#REF!)</f>
        <v>#REF!</v>
      </c>
      <c r="N39" s="5" t="e">
        <f>SUMIF(#REF!,$A39,#REF!)</f>
        <v>#REF!</v>
      </c>
      <c r="O39" s="5" t="e">
        <f>SUMIF(#REF!,$A39,#REF!)+SUMIF(#REF!,$A39,#REF!)</f>
        <v>#REF!</v>
      </c>
      <c r="P39" s="5">
        <f>IFERROR(VLOOKUP($A39,#REF!,2,FALSE),0)</f>
        <v>0</v>
      </c>
      <c r="Q39" s="42" t="e">
        <f t="shared" si="0"/>
        <v>#REF!</v>
      </c>
    </row>
    <row r="40" spans="1:17" ht="15">
      <c r="A40" s="56" t="s">
        <v>104</v>
      </c>
      <c r="B40" s="7" t="s">
        <v>65</v>
      </c>
      <c r="C40" s="7" t="s">
        <v>66</v>
      </c>
      <c r="D40" s="7" t="s">
        <v>67</v>
      </c>
      <c r="E40" s="7" t="s">
        <v>100</v>
      </c>
      <c r="F40" s="7" t="s">
        <v>103</v>
      </c>
      <c r="G40" s="7" t="s">
        <v>444</v>
      </c>
      <c r="H40" s="7" t="s">
        <v>444</v>
      </c>
      <c r="I40" s="7" t="s">
        <v>1671</v>
      </c>
      <c r="J40" s="60" t="s">
        <v>2204</v>
      </c>
      <c r="K40" s="5">
        <f>SUMIF(BC!$E$6:$E$347,$A40,BC!$K$6:$K$347)</f>
        <v>0</v>
      </c>
      <c r="L40" s="5" t="e">
        <f>SUMIF(#REF!,$A40,#REF!)+SUMIF(#REF!,$A40,#REF!)</f>
        <v>#REF!</v>
      </c>
      <c r="M40" s="5" t="e">
        <f>SUMIF(#REF!,Casilleros!$A40,#REF!)+SUMIF(#REF!,Casilleros!$A40,#REF!)+SUMIF(#REF!,$A40,#REF!)</f>
        <v>#REF!</v>
      </c>
      <c r="N40" s="5" t="e">
        <f>SUMIF(#REF!,$A40,#REF!)</f>
        <v>#REF!</v>
      </c>
      <c r="O40" s="5" t="e">
        <f>SUMIF(#REF!,$A40,#REF!)+SUMIF(#REF!,$A40,#REF!)</f>
        <v>#REF!</v>
      </c>
      <c r="P40" s="5">
        <f>IFERROR(VLOOKUP($A40,#REF!,2,FALSE),0)</f>
        <v>0</v>
      </c>
      <c r="Q40" s="42" t="e">
        <f t="shared" si="0"/>
        <v>#REF!</v>
      </c>
    </row>
    <row r="41" spans="1:17" ht="15">
      <c r="A41" s="56" t="s">
        <v>106</v>
      </c>
      <c r="B41" s="7" t="s">
        <v>65</v>
      </c>
      <c r="C41" s="7" t="s">
        <v>66</v>
      </c>
      <c r="D41" s="7" t="s">
        <v>67</v>
      </c>
      <c r="E41" s="7" t="s">
        <v>100</v>
      </c>
      <c r="F41" s="7" t="s">
        <v>105</v>
      </c>
      <c r="G41" s="7" t="s">
        <v>444</v>
      </c>
      <c r="H41" s="7" t="s">
        <v>444</v>
      </c>
      <c r="I41" s="7" t="s">
        <v>1672</v>
      </c>
      <c r="J41" s="60" t="s">
        <v>2204</v>
      </c>
      <c r="K41" s="5">
        <f>SUMIF(BC!$E$6:$E$347,$A41,BC!$K$6:$K$347)</f>
        <v>0</v>
      </c>
      <c r="L41" s="5" t="e">
        <f>SUMIF(#REF!,$A41,#REF!)+SUMIF(#REF!,$A41,#REF!)</f>
        <v>#REF!</v>
      </c>
      <c r="M41" s="5" t="e">
        <f>SUMIF(#REF!,Casilleros!$A41,#REF!)+SUMIF(#REF!,Casilleros!$A41,#REF!)+SUMIF(#REF!,$A41,#REF!)</f>
        <v>#REF!</v>
      </c>
      <c r="N41" s="5" t="e">
        <f>SUMIF(#REF!,$A41,#REF!)</f>
        <v>#REF!</v>
      </c>
      <c r="O41" s="5" t="e">
        <f>SUMIF(#REF!,$A41,#REF!)+SUMIF(#REF!,$A41,#REF!)</f>
        <v>#REF!</v>
      </c>
      <c r="P41" s="5">
        <f>IFERROR(VLOOKUP($A41,#REF!,2,FALSE),0)</f>
        <v>0</v>
      </c>
      <c r="Q41" s="42" t="e">
        <f t="shared" si="0"/>
        <v>#REF!</v>
      </c>
    </row>
    <row r="42" spans="1:17" ht="30">
      <c r="A42" s="56" t="s">
        <v>109</v>
      </c>
      <c r="B42" s="7" t="s">
        <v>65</v>
      </c>
      <c r="C42" s="7" t="s">
        <v>66</v>
      </c>
      <c r="D42" s="7" t="s">
        <v>67</v>
      </c>
      <c r="E42" s="7" t="s">
        <v>107</v>
      </c>
      <c r="F42" s="7" t="s">
        <v>108</v>
      </c>
      <c r="G42" s="7" t="s">
        <v>444</v>
      </c>
      <c r="H42" s="7" t="s">
        <v>444</v>
      </c>
      <c r="I42" s="7" t="s">
        <v>1673</v>
      </c>
      <c r="J42" s="60" t="s">
        <v>2205</v>
      </c>
      <c r="K42" s="5">
        <f>SUMIF(BC!$E$6:$E$347,$A42,BC!$K$6:$K$347)</f>
        <v>0</v>
      </c>
      <c r="L42" s="5" t="e">
        <f>SUMIF(#REF!,$A42,#REF!)+SUMIF(#REF!,$A42,#REF!)</f>
        <v>#REF!</v>
      </c>
      <c r="M42" s="5" t="e">
        <f>SUMIF(#REF!,Casilleros!$A42,#REF!)+SUMIF(#REF!,Casilleros!$A42,#REF!)+SUMIF(#REF!,$A42,#REF!)</f>
        <v>#REF!</v>
      </c>
      <c r="N42" s="5" t="e">
        <f>SUMIF(#REF!,$A42,#REF!)</f>
        <v>#REF!</v>
      </c>
      <c r="O42" s="5" t="e">
        <f>SUMIF(#REF!,$A42,#REF!)+SUMIF(#REF!,$A42,#REF!)</f>
        <v>#REF!</v>
      </c>
      <c r="P42" s="5">
        <f>IFERROR(VLOOKUP($A42,#REF!,2,FALSE),0)</f>
        <v>0</v>
      </c>
      <c r="Q42" s="42" t="e">
        <f t="shared" si="0"/>
        <v>#REF!</v>
      </c>
    </row>
    <row r="43" spans="1:17" ht="30">
      <c r="A43" s="56" t="s">
        <v>111</v>
      </c>
      <c r="B43" s="7" t="s">
        <v>65</v>
      </c>
      <c r="C43" s="7" t="s">
        <v>66</v>
      </c>
      <c r="D43" s="7" t="s">
        <v>67</v>
      </c>
      <c r="E43" s="7" t="s">
        <v>107</v>
      </c>
      <c r="F43" s="7" t="s">
        <v>110</v>
      </c>
      <c r="G43" s="7" t="s">
        <v>444</v>
      </c>
      <c r="H43" s="7" t="s">
        <v>444</v>
      </c>
      <c r="I43" s="7" t="s">
        <v>1674</v>
      </c>
      <c r="J43" s="60" t="s">
        <v>2205</v>
      </c>
      <c r="K43" s="5">
        <f>SUMIF(BC!$E$6:$E$347,$A43,BC!$K$6:$K$347)</f>
        <v>0</v>
      </c>
      <c r="L43" s="5" t="e">
        <f>SUMIF(#REF!,$A43,#REF!)+SUMIF(#REF!,$A43,#REF!)</f>
        <v>#REF!</v>
      </c>
      <c r="M43" s="5" t="e">
        <f>SUMIF(#REF!,Casilleros!$A43,#REF!)+SUMIF(#REF!,Casilleros!$A43,#REF!)+SUMIF(#REF!,$A43,#REF!)</f>
        <v>#REF!</v>
      </c>
      <c r="N43" s="5" t="e">
        <f>SUMIF(#REF!,$A43,#REF!)</f>
        <v>#REF!</v>
      </c>
      <c r="O43" s="5" t="e">
        <f>SUMIF(#REF!,$A43,#REF!)+SUMIF(#REF!,$A43,#REF!)</f>
        <v>#REF!</v>
      </c>
      <c r="P43" s="5">
        <f>IFERROR(VLOOKUP($A43,#REF!,2,FALSE),0)</f>
        <v>0</v>
      </c>
      <c r="Q43" s="42" t="e">
        <f t="shared" si="0"/>
        <v>#REF!</v>
      </c>
    </row>
    <row r="44" spans="1:17" ht="30">
      <c r="A44" s="56" t="s">
        <v>113</v>
      </c>
      <c r="B44" s="7" t="s">
        <v>65</v>
      </c>
      <c r="C44" s="7" t="s">
        <v>66</v>
      </c>
      <c r="D44" s="7" t="s">
        <v>67</v>
      </c>
      <c r="E44" s="7" t="s">
        <v>112</v>
      </c>
      <c r="F44" s="7" t="s">
        <v>108</v>
      </c>
      <c r="G44" s="7" t="s">
        <v>444</v>
      </c>
      <c r="H44" s="7" t="s">
        <v>444</v>
      </c>
      <c r="I44" s="7" t="s">
        <v>1675</v>
      </c>
      <c r="J44" s="60" t="s">
        <v>2207</v>
      </c>
      <c r="K44" s="5">
        <f>SUMIF(BC!$E$6:$E$347,$A44,BC!$K$6:$K$347)</f>
        <v>0</v>
      </c>
      <c r="L44" s="5" t="e">
        <f>SUMIF(#REF!,$A44,#REF!)+SUMIF(#REF!,$A44,#REF!)</f>
        <v>#REF!</v>
      </c>
      <c r="M44" s="5" t="e">
        <f>SUMIF(#REF!,Casilleros!$A44,#REF!)+SUMIF(#REF!,Casilleros!$A44,#REF!)+SUMIF(#REF!,$A44,#REF!)</f>
        <v>#REF!</v>
      </c>
      <c r="N44" s="5" t="e">
        <f>SUMIF(#REF!,$A44,#REF!)</f>
        <v>#REF!</v>
      </c>
      <c r="O44" s="5" t="e">
        <f>SUMIF(#REF!,$A44,#REF!)+SUMIF(#REF!,$A44,#REF!)</f>
        <v>#REF!</v>
      </c>
      <c r="P44" s="5">
        <f>IFERROR(VLOOKUP($A44,#REF!,2,FALSE),0)</f>
        <v>0</v>
      </c>
      <c r="Q44" s="42" t="e">
        <f t="shared" si="0"/>
        <v>#REF!</v>
      </c>
    </row>
    <row r="45" spans="1:17" ht="30">
      <c r="A45" s="56" t="s">
        <v>114</v>
      </c>
      <c r="B45" s="7" t="s">
        <v>65</v>
      </c>
      <c r="C45" s="7" t="s">
        <v>66</v>
      </c>
      <c r="D45" s="7" t="s">
        <v>67</v>
      </c>
      <c r="E45" s="7" t="s">
        <v>112</v>
      </c>
      <c r="F45" s="7" t="s">
        <v>110</v>
      </c>
      <c r="G45" s="7" t="s">
        <v>444</v>
      </c>
      <c r="H45" s="7" t="s">
        <v>444</v>
      </c>
      <c r="I45" s="7" t="s">
        <v>1676</v>
      </c>
      <c r="J45" s="60" t="s">
        <v>2207</v>
      </c>
      <c r="K45" s="5">
        <f>SUMIF(BC!$E$6:$E$347,$A45,BC!$K$6:$K$347)</f>
        <v>0</v>
      </c>
      <c r="L45" s="5" t="e">
        <f>SUMIF(#REF!,$A45,#REF!)+SUMIF(#REF!,$A45,#REF!)</f>
        <v>#REF!</v>
      </c>
      <c r="M45" s="5" t="e">
        <f>SUMIF(#REF!,Casilleros!$A45,#REF!)+SUMIF(#REF!,Casilleros!$A45,#REF!)+SUMIF(#REF!,$A45,#REF!)</f>
        <v>#REF!</v>
      </c>
      <c r="N45" s="5" t="e">
        <f>SUMIF(#REF!,$A45,#REF!)</f>
        <v>#REF!</v>
      </c>
      <c r="O45" s="5" t="e">
        <f>SUMIF(#REF!,$A45,#REF!)+SUMIF(#REF!,$A45,#REF!)</f>
        <v>#REF!</v>
      </c>
      <c r="P45" s="5">
        <f>IFERROR(VLOOKUP($A45,#REF!,2,FALSE),0)</f>
        <v>0</v>
      </c>
      <c r="Q45" s="42" t="e">
        <f t="shared" si="0"/>
        <v>#REF!</v>
      </c>
    </row>
    <row r="46" spans="1:17">
      <c r="A46" s="56" t="s">
        <v>117</v>
      </c>
      <c r="B46" s="7" t="s">
        <v>65</v>
      </c>
      <c r="C46" s="7" t="s">
        <v>66</v>
      </c>
      <c r="D46" s="7" t="s">
        <v>67</v>
      </c>
      <c r="E46" s="7" t="s">
        <v>115</v>
      </c>
      <c r="F46" s="7" t="s">
        <v>116</v>
      </c>
      <c r="G46" s="7" t="s">
        <v>444</v>
      </c>
      <c r="H46" s="7" t="s">
        <v>444</v>
      </c>
      <c r="I46" s="7" t="s">
        <v>1677</v>
      </c>
      <c r="J46" s="7" t="s">
        <v>2209</v>
      </c>
      <c r="K46" s="5">
        <f>SUMIF(BC!$E$6:$E$347,$A46,BC!$K$6:$K$347)</f>
        <v>0</v>
      </c>
      <c r="L46" s="5" t="e">
        <f>SUMIF(#REF!,$A46,#REF!)+SUMIF(#REF!,$A46,#REF!)</f>
        <v>#REF!</v>
      </c>
      <c r="M46" s="5" t="e">
        <f>SUMIF(#REF!,Casilleros!$A46,#REF!)+SUMIF(#REF!,Casilleros!$A46,#REF!)+SUMIF(#REF!,$A46,#REF!)</f>
        <v>#REF!</v>
      </c>
      <c r="N46" s="5" t="e">
        <f>SUMIF(#REF!,$A46,#REF!)</f>
        <v>#REF!</v>
      </c>
      <c r="O46" s="5" t="e">
        <f>SUMIF(#REF!,$A46,#REF!)+SUMIF(#REF!,$A46,#REF!)</f>
        <v>#REF!</v>
      </c>
      <c r="P46" s="5">
        <f>IFERROR(VLOOKUP($A46,#REF!,2,FALSE),0)</f>
        <v>0</v>
      </c>
      <c r="Q46" s="42" t="e">
        <f t="shared" si="0"/>
        <v>#REF!</v>
      </c>
    </row>
    <row r="47" spans="1:17">
      <c r="A47" s="56" t="s">
        <v>119</v>
      </c>
      <c r="B47" s="7" t="s">
        <v>65</v>
      </c>
      <c r="C47" s="7" t="s">
        <v>66</v>
      </c>
      <c r="D47" s="7" t="s">
        <v>67</v>
      </c>
      <c r="E47" s="7" t="s">
        <v>115</v>
      </c>
      <c r="F47" s="7" t="s">
        <v>118</v>
      </c>
      <c r="G47" s="7" t="s">
        <v>444</v>
      </c>
      <c r="H47" s="7" t="s">
        <v>444</v>
      </c>
      <c r="I47" s="7" t="s">
        <v>1678</v>
      </c>
      <c r="J47" s="7" t="s">
        <v>2209</v>
      </c>
      <c r="K47" s="5">
        <f>SUMIF(BC!$E$6:$E$347,$A47,BC!$K$6:$K$347)</f>
        <v>0</v>
      </c>
      <c r="L47" s="5" t="e">
        <f>SUMIF(#REF!,$A47,#REF!)+SUMIF(#REF!,$A47,#REF!)</f>
        <v>#REF!</v>
      </c>
      <c r="M47" s="5" t="e">
        <f>SUMIF(#REF!,Casilleros!$A47,#REF!)+SUMIF(#REF!,Casilleros!$A47,#REF!)+SUMIF(#REF!,$A47,#REF!)</f>
        <v>#REF!</v>
      </c>
      <c r="N47" s="5" t="e">
        <f>SUMIF(#REF!,$A47,#REF!)</f>
        <v>#REF!</v>
      </c>
      <c r="O47" s="5" t="e">
        <f>SUMIF(#REF!,$A47,#REF!)+SUMIF(#REF!,$A47,#REF!)</f>
        <v>#REF!</v>
      </c>
      <c r="P47" s="5">
        <f>IFERROR(VLOOKUP($A47,#REF!,2,FALSE),0)</f>
        <v>0</v>
      </c>
      <c r="Q47" s="42" t="e">
        <f t="shared" si="0"/>
        <v>#REF!</v>
      </c>
    </row>
    <row r="48" spans="1:17">
      <c r="A48" s="56" t="s">
        <v>121</v>
      </c>
      <c r="B48" s="7" t="s">
        <v>65</v>
      </c>
      <c r="C48" s="7" t="s">
        <v>66</v>
      </c>
      <c r="D48" s="7" t="s">
        <v>67</v>
      </c>
      <c r="E48" s="7" t="s">
        <v>115</v>
      </c>
      <c r="F48" s="7" t="s">
        <v>120</v>
      </c>
      <c r="G48" s="7" t="s">
        <v>444</v>
      </c>
      <c r="H48" s="7" t="s">
        <v>444</v>
      </c>
      <c r="I48" s="7" t="s">
        <v>1679</v>
      </c>
      <c r="J48" s="7" t="s">
        <v>2209</v>
      </c>
      <c r="K48" s="5" t="e">
        <f>SUMIF(BC!$E$6:$E$347,$A48,BC!$K$6:$K$347)</f>
        <v>#REF!</v>
      </c>
      <c r="L48" s="5" t="e">
        <f>SUMIF(#REF!,$A48,#REF!)+SUMIF(#REF!,$A48,#REF!)</f>
        <v>#REF!</v>
      </c>
      <c r="M48" s="5" t="e">
        <f>SUMIF(#REF!,Casilleros!$A48,#REF!)+SUMIF(#REF!,Casilleros!$A48,#REF!)+SUMIF(#REF!,$A48,#REF!)</f>
        <v>#REF!</v>
      </c>
      <c r="N48" s="5" t="e">
        <f>SUMIF(#REF!,$A48,#REF!)</f>
        <v>#REF!</v>
      </c>
      <c r="O48" s="5" t="e">
        <f>SUMIF(#REF!,$A48,#REF!)+SUMIF(#REF!,$A48,#REF!)</f>
        <v>#REF!</v>
      </c>
      <c r="P48" s="5">
        <f>IFERROR(VLOOKUP($A48,#REF!,2,FALSE),0)</f>
        <v>0</v>
      </c>
      <c r="Q48" s="42" t="e">
        <f t="shared" si="0"/>
        <v>#REF!</v>
      </c>
    </row>
    <row r="49" spans="1:17">
      <c r="A49" s="56" t="s">
        <v>123</v>
      </c>
      <c r="B49" s="7" t="s">
        <v>65</v>
      </c>
      <c r="C49" s="7" t="s">
        <v>66</v>
      </c>
      <c r="D49" s="7" t="s">
        <v>67</v>
      </c>
      <c r="E49" s="7" t="s">
        <v>115</v>
      </c>
      <c r="F49" s="7" t="s">
        <v>122</v>
      </c>
      <c r="G49" s="7" t="s">
        <v>444</v>
      </c>
      <c r="H49" s="7" t="s">
        <v>444</v>
      </c>
      <c r="I49" s="7" t="s">
        <v>1680</v>
      </c>
      <c r="J49" s="7" t="s">
        <v>2209</v>
      </c>
      <c r="K49" s="5">
        <f>SUMIF(BC!$E$6:$E$347,$A49,BC!$K$6:$K$347)</f>
        <v>0</v>
      </c>
      <c r="L49" s="5" t="e">
        <f>SUMIF(#REF!,$A49,#REF!)+SUMIF(#REF!,$A49,#REF!)</f>
        <v>#REF!</v>
      </c>
      <c r="M49" s="5" t="e">
        <f>SUMIF(#REF!,Casilleros!$A49,#REF!)+SUMIF(#REF!,Casilleros!$A49,#REF!)+SUMIF(#REF!,$A49,#REF!)</f>
        <v>#REF!</v>
      </c>
      <c r="N49" s="5" t="e">
        <f>SUMIF(#REF!,$A49,#REF!)</f>
        <v>#REF!</v>
      </c>
      <c r="O49" s="5" t="e">
        <f>SUMIF(#REF!,$A49,#REF!)+SUMIF(#REF!,$A49,#REF!)</f>
        <v>#REF!</v>
      </c>
      <c r="P49" s="5">
        <f>IFERROR(VLOOKUP($A49,#REF!,2,FALSE),0)</f>
        <v>0</v>
      </c>
      <c r="Q49" s="42" t="e">
        <f t="shared" si="0"/>
        <v>#REF!</v>
      </c>
    </row>
    <row r="50" spans="1:17" ht="15">
      <c r="A50" s="56" t="s">
        <v>126</v>
      </c>
      <c r="B50" s="7" t="s">
        <v>65</v>
      </c>
      <c r="C50" s="7" t="s">
        <v>66</v>
      </c>
      <c r="D50" s="7" t="s">
        <v>67</v>
      </c>
      <c r="E50" s="7" t="s">
        <v>124</v>
      </c>
      <c r="F50" s="7" t="s">
        <v>125</v>
      </c>
      <c r="G50" s="7" t="s">
        <v>444</v>
      </c>
      <c r="H50" s="7" t="s">
        <v>444</v>
      </c>
      <c r="I50" s="7" t="s">
        <v>1681</v>
      </c>
      <c r="J50" s="60" t="s">
        <v>2211</v>
      </c>
      <c r="K50" s="5">
        <f>SUMIF(BC!$E$6:$E$347,$A50,BC!$K$6:$K$347)</f>
        <v>0</v>
      </c>
      <c r="L50" s="5" t="e">
        <f>SUMIF(#REF!,$A50,#REF!)+SUMIF(#REF!,$A50,#REF!)</f>
        <v>#REF!</v>
      </c>
      <c r="M50" s="5" t="e">
        <f>SUMIF(#REF!,Casilleros!$A50,#REF!)+SUMIF(#REF!,Casilleros!$A50,#REF!)+SUMIF(#REF!,$A50,#REF!)</f>
        <v>#REF!</v>
      </c>
      <c r="N50" s="5" t="e">
        <f>SUMIF(#REF!,$A50,#REF!)</f>
        <v>#REF!</v>
      </c>
      <c r="O50" s="5" t="e">
        <f>SUMIF(#REF!,$A50,#REF!)+SUMIF(#REF!,$A50,#REF!)</f>
        <v>#REF!</v>
      </c>
      <c r="P50" s="5">
        <f>IFERROR(VLOOKUP($A50,#REF!,2,FALSE),0)</f>
        <v>0</v>
      </c>
      <c r="Q50" s="42" t="e">
        <f t="shared" si="0"/>
        <v>#REF!</v>
      </c>
    </row>
    <row r="51" spans="1:17" ht="15">
      <c r="A51" s="56" t="s">
        <v>128</v>
      </c>
      <c r="B51" s="7" t="s">
        <v>65</v>
      </c>
      <c r="C51" s="7" t="s">
        <v>66</v>
      </c>
      <c r="D51" s="7" t="s">
        <v>67</v>
      </c>
      <c r="E51" s="7" t="s">
        <v>124</v>
      </c>
      <c r="F51" s="7" t="s">
        <v>127</v>
      </c>
      <c r="G51" s="7" t="s">
        <v>444</v>
      </c>
      <c r="H51" s="7" t="s">
        <v>444</v>
      </c>
      <c r="I51" s="7" t="s">
        <v>1682</v>
      </c>
      <c r="J51" s="60" t="s">
        <v>2211</v>
      </c>
      <c r="K51" s="5">
        <f>SUMIF(BC!$E$6:$E$347,$A51,BC!$K$6:$K$347)</f>
        <v>0</v>
      </c>
      <c r="L51" s="5" t="e">
        <f>SUMIF(#REF!,$A51,#REF!)+SUMIF(#REF!,$A51,#REF!)</f>
        <v>#REF!</v>
      </c>
      <c r="M51" s="5" t="e">
        <f>SUMIF(#REF!,Casilleros!$A51,#REF!)+SUMIF(#REF!,Casilleros!$A51,#REF!)+SUMIF(#REF!,$A51,#REF!)</f>
        <v>#REF!</v>
      </c>
      <c r="N51" s="5" t="e">
        <f>SUMIF(#REF!,$A51,#REF!)</f>
        <v>#REF!</v>
      </c>
      <c r="O51" s="5" t="e">
        <f>SUMIF(#REF!,$A51,#REF!)+SUMIF(#REF!,$A51,#REF!)</f>
        <v>#REF!</v>
      </c>
      <c r="P51" s="5">
        <f>IFERROR(VLOOKUP($A51,#REF!,2,FALSE),0)</f>
        <v>0</v>
      </c>
      <c r="Q51" s="42" t="e">
        <f t="shared" si="0"/>
        <v>#REF!</v>
      </c>
    </row>
    <row r="52" spans="1:17" ht="15">
      <c r="A52" s="56" t="s">
        <v>130</v>
      </c>
      <c r="B52" s="7" t="s">
        <v>65</v>
      </c>
      <c r="C52" s="7" t="s">
        <v>66</v>
      </c>
      <c r="D52" s="7" t="s">
        <v>67</v>
      </c>
      <c r="E52" s="7" t="s">
        <v>124</v>
      </c>
      <c r="F52" s="7" t="s">
        <v>129</v>
      </c>
      <c r="G52" s="7" t="s">
        <v>444</v>
      </c>
      <c r="H52" s="7" t="s">
        <v>444</v>
      </c>
      <c r="I52" s="7" t="s">
        <v>1683</v>
      </c>
      <c r="J52" s="60" t="s">
        <v>2211</v>
      </c>
      <c r="K52" s="5">
        <f>SUMIF(BC!$E$6:$E$347,$A52,BC!$K$6:$K$347)</f>
        <v>0</v>
      </c>
      <c r="L52" s="5" t="e">
        <f>SUMIF(#REF!,$A52,#REF!)+SUMIF(#REF!,$A52,#REF!)</f>
        <v>#REF!</v>
      </c>
      <c r="M52" s="5" t="e">
        <f>SUMIF(#REF!,Casilleros!$A52,#REF!)+SUMIF(#REF!,Casilleros!$A52,#REF!)+SUMIF(#REF!,$A52,#REF!)</f>
        <v>#REF!</v>
      </c>
      <c r="N52" s="5" t="e">
        <f>SUMIF(#REF!,$A52,#REF!)</f>
        <v>#REF!</v>
      </c>
      <c r="O52" s="5" t="e">
        <f>SUMIF(#REF!,$A52,#REF!)+SUMIF(#REF!,$A52,#REF!)</f>
        <v>#REF!</v>
      </c>
      <c r="P52" s="5">
        <f>IFERROR(VLOOKUP($A52,#REF!,2,FALSE),0)</f>
        <v>0</v>
      </c>
      <c r="Q52" s="42" t="e">
        <f t="shared" si="0"/>
        <v>#REF!</v>
      </c>
    </row>
    <row r="53" spans="1:17" ht="15">
      <c r="A53" s="56" t="s">
        <v>132</v>
      </c>
      <c r="B53" s="7" t="s">
        <v>65</v>
      </c>
      <c r="C53" s="7" t="s">
        <v>66</v>
      </c>
      <c r="D53" s="7" t="s">
        <v>67</v>
      </c>
      <c r="E53" s="7" t="s">
        <v>124</v>
      </c>
      <c r="F53" s="7" t="s">
        <v>131</v>
      </c>
      <c r="G53" s="7" t="s">
        <v>444</v>
      </c>
      <c r="H53" s="7" t="s">
        <v>444</v>
      </c>
      <c r="I53" s="7" t="s">
        <v>1684</v>
      </c>
      <c r="J53" s="60" t="s">
        <v>2211</v>
      </c>
      <c r="K53" s="5">
        <f>SUMIF(BC!$E$6:$E$347,$A53,BC!$K$6:$K$347)</f>
        <v>0</v>
      </c>
      <c r="L53" s="5" t="e">
        <f>SUMIF(#REF!,$A53,#REF!)+SUMIF(#REF!,$A53,#REF!)</f>
        <v>#REF!</v>
      </c>
      <c r="M53" s="5" t="e">
        <f>SUMIF(#REF!,Casilleros!$A53,#REF!)+SUMIF(#REF!,Casilleros!$A53,#REF!)+SUMIF(#REF!,$A53,#REF!)</f>
        <v>#REF!</v>
      </c>
      <c r="N53" s="5" t="e">
        <f>SUMIF(#REF!,$A53,#REF!)</f>
        <v>#REF!</v>
      </c>
      <c r="O53" s="5" t="e">
        <f>SUMIF(#REF!,$A53,#REF!)+SUMIF(#REF!,$A53,#REF!)</f>
        <v>#REF!</v>
      </c>
      <c r="P53" s="5">
        <f>IFERROR(VLOOKUP($A53,#REF!,2,FALSE),0)</f>
        <v>0</v>
      </c>
      <c r="Q53" s="42" t="e">
        <f t="shared" si="0"/>
        <v>#REF!</v>
      </c>
    </row>
    <row r="54" spans="1:17" ht="15">
      <c r="A54" s="56" t="s">
        <v>134</v>
      </c>
      <c r="B54" s="7" t="s">
        <v>65</v>
      </c>
      <c r="C54" s="7" t="s">
        <v>66</v>
      </c>
      <c r="D54" s="7" t="s">
        <v>67</v>
      </c>
      <c r="E54" s="7" t="s">
        <v>124</v>
      </c>
      <c r="F54" s="7" t="s">
        <v>133</v>
      </c>
      <c r="G54" s="7" t="s">
        <v>444</v>
      </c>
      <c r="H54" s="7" t="s">
        <v>444</v>
      </c>
      <c r="I54" s="7" t="s">
        <v>1685</v>
      </c>
      <c r="J54" s="60" t="s">
        <v>2211</v>
      </c>
      <c r="K54" s="5">
        <f>SUMIF(BC!$E$6:$E$347,$A54,BC!$K$6:$K$347)</f>
        <v>0</v>
      </c>
      <c r="L54" s="5" t="e">
        <f>SUMIF(#REF!,$A54,#REF!)+SUMIF(#REF!,$A54,#REF!)</f>
        <v>#REF!</v>
      </c>
      <c r="M54" s="5" t="e">
        <f>SUMIF(#REF!,Casilleros!$A54,#REF!)+SUMIF(#REF!,Casilleros!$A54,#REF!)+SUMIF(#REF!,$A54,#REF!)</f>
        <v>#REF!</v>
      </c>
      <c r="N54" s="5" t="e">
        <f>SUMIF(#REF!,$A54,#REF!)</f>
        <v>#REF!</v>
      </c>
      <c r="O54" s="5" t="e">
        <f>SUMIF(#REF!,$A54,#REF!)+SUMIF(#REF!,$A54,#REF!)</f>
        <v>#REF!</v>
      </c>
      <c r="P54" s="5">
        <f>IFERROR(VLOOKUP($A54,#REF!,2,FALSE),0)</f>
        <v>0</v>
      </c>
      <c r="Q54" s="42" t="e">
        <f t="shared" si="0"/>
        <v>#REF!</v>
      </c>
    </row>
    <row r="55" spans="1:17" ht="15">
      <c r="A55" s="56" t="s">
        <v>136</v>
      </c>
      <c r="B55" s="7" t="s">
        <v>65</v>
      </c>
      <c r="C55" s="7" t="s">
        <v>66</v>
      </c>
      <c r="D55" s="7" t="s">
        <v>67</v>
      </c>
      <c r="E55" s="7" t="s">
        <v>124</v>
      </c>
      <c r="F55" s="7" t="s">
        <v>135</v>
      </c>
      <c r="G55" s="7" t="s">
        <v>444</v>
      </c>
      <c r="H55" s="7" t="s">
        <v>444</v>
      </c>
      <c r="I55" s="7" t="s">
        <v>1686</v>
      </c>
      <c r="J55" s="60" t="s">
        <v>2211</v>
      </c>
      <c r="K55" s="5">
        <f>SUMIF(BC!$E$6:$E$347,$A55,BC!$K$6:$K$347)</f>
        <v>0</v>
      </c>
      <c r="L55" s="5" t="e">
        <f>SUMIF(#REF!,$A55,#REF!)+SUMIF(#REF!,$A55,#REF!)</f>
        <v>#REF!</v>
      </c>
      <c r="M55" s="5" t="e">
        <f>SUMIF(#REF!,Casilleros!$A55,#REF!)+SUMIF(#REF!,Casilleros!$A55,#REF!)+SUMIF(#REF!,$A55,#REF!)</f>
        <v>#REF!</v>
      </c>
      <c r="N55" s="5" t="e">
        <f>SUMIF(#REF!,$A55,#REF!)</f>
        <v>#REF!</v>
      </c>
      <c r="O55" s="5" t="e">
        <f>SUMIF(#REF!,$A55,#REF!)+SUMIF(#REF!,$A55,#REF!)</f>
        <v>#REF!</v>
      </c>
      <c r="P55" s="5">
        <f>IFERROR(VLOOKUP($A55,#REF!,2,FALSE),0)</f>
        <v>0</v>
      </c>
      <c r="Q55" s="42" t="e">
        <f t="shared" si="0"/>
        <v>#REF!</v>
      </c>
    </row>
    <row r="56" spans="1:17" ht="15">
      <c r="A56" s="56" t="s">
        <v>138</v>
      </c>
      <c r="B56" s="7" t="s">
        <v>65</v>
      </c>
      <c r="C56" s="7" t="s">
        <v>66</v>
      </c>
      <c r="D56" s="7" t="s">
        <v>67</v>
      </c>
      <c r="E56" s="7" t="s">
        <v>124</v>
      </c>
      <c r="F56" s="7" t="s">
        <v>137</v>
      </c>
      <c r="G56" s="7" t="s">
        <v>444</v>
      </c>
      <c r="H56" s="7" t="s">
        <v>444</v>
      </c>
      <c r="I56" s="7" t="s">
        <v>1687</v>
      </c>
      <c r="J56" s="60" t="s">
        <v>2211</v>
      </c>
      <c r="K56" s="5">
        <f>SUMIF(BC!$E$6:$E$347,$A56,BC!$K$6:$K$347)</f>
        <v>0</v>
      </c>
      <c r="L56" s="5" t="e">
        <f>SUMIF(#REF!,$A56,#REF!)+SUMIF(#REF!,$A56,#REF!)</f>
        <v>#REF!</v>
      </c>
      <c r="M56" s="5" t="e">
        <f>SUMIF(#REF!,Casilleros!$A56,#REF!)+SUMIF(#REF!,Casilleros!$A56,#REF!)+SUMIF(#REF!,$A56,#REF!)</f>
        <v>#REF!</v>
      </c>
      <c r="N56" s="5" t="e">
        <f>SUMIF(#REF!,$A56,#REF!)</f>
        <v>#REF!</v>
      </c>
      <c r="O56" s="5" t="e">
        <f>SUMIF(#REF!,$A56,#REF!)+SUMIF(#REF!,$A56,#REF!)</f>
        <v>#REF!</v>
      </c>
      <c r="P56" s="5">
        <f>IFERROR(VLOOKUP($A56,#REF!,2,FALSE),0)</f>
        <v>0</v>
      </c>
      <c r="Q56" s="42" t="e">
        <f t="shared" si="0"/>
        <v>#REF!</v>
      </c>
    </row>
    <row r="57" spans="1:17" ht="15">
      <c r="A57" s="56" t="s">
        <v>140</v>
      </c>
      <c r="B57" s="7" t="s">
        <v>65</v>
      </c>
      <c r="C57" s="7" t="s">
        <v>66</v>
      </c>
      <c r="D57" s="7" t="s">
        <v>67</v>
      </c>
      <c r="E57" s="7" t="s">
        <v>124</v>
      </c>
      <c r="F57" s="7" t="s">
        <v>139</v>
      </c>
      <c r="G57" s="7" t="s">
        <v>444</v>
      </c>
      <c r="H57" s="7" t="s">
        <v>444</v>
      </c>
      <c r="I57" s="7" t="s">
        <v>1688</v>
      </c>
      <c r="J57" s="60" t="s">
        <v>2211</v>
      </c>
      <c r="K57" s="5">
        <f>SUMIF(BC!$E$6:$E$347,$A57,BC!$K$6:$K$347)</f>
        <v>0</v>
      </c>
      <c r="L57" s="5" t="e">
        <f>SUMIF(#REF!,$A57,#REF!)+SUMIF(#REF!,$A57,#REF!)</f>
        <v>#REF!</v>
      </c>
      <c r="M57" s="5" t="e">
        <f>SUMIF(#REF!,Casilleros!$A57,#REF!)+SUMIF(#REF!,Casilleros!$A57,#REF!)+SUMIF(#REF!,$A57,#REF!)</f>
        <v>#REF!</v>
      </c>
      <c r="N57" s="5" t="e">
        <f>SUMIF(#REF!,$A57,#REF!)</f>
        <v>#REF!</v>
      </c>
      <c r="O57" s="5" t="e">
        <f>SUMIF(#REF!,$A57,#REF!)+SUMIF(#REF!,$A57,#REF!)</f>
        <v>#REF!</v>
      </c>
      <c r="P57" s="5">
        <f>IFERROR(VLOOKUP($A57,#REF!,2,FALSE),0)</f>
        <v>0</v>
      </c>
      <c r="Q57" s="42" t="e">
        <f t="shared" si="0"/>
        <v>#REF!</v>
      </c>
    </row>
    <row r="58" spans="1:17" ht="15">
      <c r="A58" s="56" t="s">
        <v>142</v>
      </c>
      <c r="B58" s="7" t="s">
        <v>65</v>
      </c>
      <c r="C58" s="7" t="s">
        <v>66</v>
      </c>
      <c r="D58" s="7" t="s">
        <v>67</v>
      </c>
      <c r="E58" s="7" t="s">
        <v>124</v>
      </c>
      <c r="F58" s="7" t="s">
        <v>141</v>
      </c>
      <c r="G58" s="7" t="s">
        <v>444</v>
      </c>
      <c r="H58" s="7" t="s">
        <v>444</v>
      </c>
      <c r="I58" s="7" t="s">
        <v>1689</v>
      </c>
      <c r="J58" s="60" t="s">
        <v>2211</v>
      </c>
      <c r="K58" s="5">
        <f>SUMIF(BC!$E$6:$E$347,$A58,BC!$K$6:$K$347)</f>
        <v>0</v>
      </c>
      <c r="L58" s="5" t="e">
        <f>SUMIF(#REF!,$A58,#REF!)+SUMIF(#REF!,$A58,#REF!)</f>
        <v>#REF!</v>
      </c>
      <c r="M58" s="5" t="e">
        <f>SUMIF(#REF!,Casilleros!$A58,#REF!)+SUMIF(#REF!,Casilleros!$A58,#REF!)+SUMIF(#REF!,$A58,#REF!)</f>
        <v>#REF!</v>
      </c>
      <c r="N58" s="5" t="e">
        <f>SUMIF(#REF!,$A58,#REF!)</f>
        <v>#REF!</v>
      </c>
      <c r="O58" s="5" t="e">
        <f>SUMIF(#REF!,$A58,#REF!)+SUMIF(#REF!,$A58,#REF!)</f>
        <v>#REF!</v>
      </c>
      <c r="P58" s="5">
        <f>IFERROR(VLOOKUP($A58,#REF!,2,FALSE),0)</f>
        <v>0</v>
      </c>
      <c r="Q58" s="42" t="e">
        <f t="shared" si="0"/>
        <v>#REF!</v>
      </c>
    </row>
    <row r="59" spans="1:17" ht="15">
      <c r="A59" s="56" t="s">
        <v>145</v>
      </c>
      <c r="B59" s="7" t="s">
        <v>65</v>
      </c>
      <c r="C59" s="7" t="s">
        <v>66</v>
      </c>
      <c r="D59" s="7" t="s">
        <v>67</v>
      </c>
      <c r="E59" s="7" t="s">
        <v>143</v>
      </c>
      <c r="F59" s="7" t="s">
        <v>144</v>
      </c>
      <c r="G59" s="7" t="s">
        <v>444</v>
      </c>
      <c r="H59" s="7" t="s">
        <v>444</v>
      </c>
      <c r="I59" s="7" t="s">
        <v>1690</v>
      </c>
      <c r="J59" s="60" t="s">
        <v>2212</v>
      </c>
      <c r="K59" s="5">
        <f>SUMIF(BC!$E$6:$E$347,$A59,BC!$K$6:$K$347)</f>
        <v>0</v>
      </c>
      <c r="L59" s="5" t="e">
        <f>SUMIF(#REF!,$A59,#REF!)+SUMIF(#REF!,$A59,#REF!)</f>
        <v>#REF!</v>
      </c>
      <c r="M59" s="5" t="e">
        <f>SUMIF(#REF!,Casilleros!$A59,#REF!)+SUMIF(#REF!,Casilleros!$A59,#REF!)+SUMIF(#REF!,$A59,#REF!)</f>
        <v>#REF!</v>
      </c>
      <c r="N59" s="5" t="e">
        <f>SUMIF(#REF!,$A59,#REF!)</f>
        <v>#REF!</v>
      </c>
      <c r="O59" s="5" t="e">
        <f>SUMIF(#REF!,$A59,#REF!)+SUMIF(#REF!,$A59,#REF!)</f>
        <v>#REF!</v>
      </c>
      <c r="P59" s="5">
        <f>IFERROR(VLOOKUP($A59,#REF!,2,FALSE),0)</f>
        <v>0</v>
      </c>
      <c r="Q59" s="42" t="e">
        <f t="shared" si="0"/>
        <v>#REF!</v>
      </c>
    </row>
    <row r="60" spans="1:17" ht="15">
      <c r="A60" s="56" t="s">
        <v>147</v>
      </c>
      <c r="B60" s="7" t="s">
        <v>65</v>
      </c>
      <c r="C60" s="7" t="s">
        <v>66</v>
      </c>
      <c r="D60" s="7" t="s">
        <v>67</v>
      </c>
      <c r="E60" s="7" t="s">
        <v>143</v>
      </c>
      <c r="F60" s="7" t="s">
        <v>146</v>
      </c>
      <c r="G60" s="7" t="s">
        <v>444</v>
      </c>
      <c r="H60" s="7" t="s">
        <v>444</v>
      </c>
      <c r="I60" s="7" t="s">
        <v>1691</v>
      </c>
      <c r="J60" s="60" t="s">
        <v>2212</v>
      </c>
      <c r="K60" s="5">
        <f>SUMIF(BC!$E$6:$E$347,$A60,BC!$K$6:$K$347)</f>
        <v>0</v>
      </c>
      <c r="L60" s="5" t="e">
        <f>SUMIF(#REF!,$A60,#REF!)+SUMIF(#REF!,$A60,#REF!)</f>
        <v>#REF!</v>
      </c>
      <c r="M60" s="5" t="e">
        <f>SUMIF(#REF!,Casilleros!$A60,#REF!)+SUMIF(#REF!,Casilleros!$A60,#REF!)+SUMIF(#REF!,$A60,#REF!)</f>
        <v>#REF!</v>
      </c>
      <c r="N60" s="5" t="e">
        <f>SUMIF(#REF!,$A60,#REF!)</f>
        <v>#REF!</v>
      </c>
      <c r="O60" s="5" t="e">
        <f>SUMIF(#REF!,$A60,#REF!)+SUMIF(#REF!,$A60,#REF!)</f>
        <v>#REF!</v>
      </c>
      <c r="P60" s="5">
        <f>IFERROR(VLOOKUP($A60,#REF!,2,FALSE),0)</f>
        <v>0</v>
      </c>
      <c r="Q60" s="42" t="e">
        <f t="shared" si="0"/>
        <v>#REF!</v>
      </c>
    </row>
    <row r="61" spans="1:17" ht="15">
      <c r="A61" s="56" t="s">
        <v>151</v>
      </c>
      <c r="B61" s="7" t="s">
        <v>65</v>
      </c>
      <c r="C61" s="7" t="s">
        <v>66</v>
      </c>
      <c r="D61" s="7" t="s">
        <v>67</v>
      </c>
      <c r="E61" s="7" t="s">
        <v>148</v>
      </c>
      <c r="F61" s="7" t="s">
        <v>149</v>
      </c>
      <c r="G61" s="7" t="s">
        <v>150</v>
      </c>
      <c r="H61" s="7" t="s">
        <v>444</v>
      </c>
      <c r="I61" s="7" t="s">
        <v>1692</v>
      </c>
      <c r="J61" s="60" t="s">
        <v>2214</v>
      </c>
      <c r="K61" s="5">
        <f>SUMIF(BC!$E$6:$E$347,$A61,BC!$K$6:$K$347)</f>
        <v>0</v>
      </c>
      <c r="L61" s="5" t="e">
        <f>SUMIF(#REF!,$A61,#REF!)+SUMIF(#REF!,$A61,#REF!)</f>
        <v>#REF!</v>
      </c>
      <c r="M61" s="5" t="e">
        <f>SUMIF(#REF!,Casilleros!$A61,#REF!)+SUMIF(#REF!,Casilleros!$A61,#REF!)+SUMIF(#REF!,$A61,#REF!)</f>
        <v>#REF!</v>
      </c>
      <c r="N61" s="5" t="e">
        <f>SUMIF(#REF!,$A61,#REF!)</f>
        <v>#REF!</v>
      </c>
      <c r="O61" s="5" t="e">
        <f>SUMIF(#REF!,$A61,#REF!)+SUMIF(#REF!,$A61,#REF!)</f>
        <v>#REF!</v>
      </c>
      <c r="P61" s="5">
        <f>IFERROR(VLOOKUP($A61,#REF!,2,FALSE),0)</f>
        <v>0</v>
      </c>
      <c r="Q61" s="42" t="e">
        <f t="shared" si="0"/>
        <v>#REF!</v>
      </c>
    </row>
    <row r="62" spans="1:17" ht="15">
      <c r="A62" s="56" t="s">
        <v>153</v>
      </c>
      <c r="B62" s="7" t="s">
        <v>65</v>
      </c>
      <c r="C62" s="7" t="s">
        <v>66</v>
      </c>
      <c r="D62" s="7" t="s">
        <v>67</v>
      </c>
      <c r="E62" s="7" t="s">
        <v>148</v>
      </c>
      <c r="F62" s="7" t="s">
        <v>149</v>
      </c>
      <c r="G62" s="7" t="s">
        <v>152</v>
      </c>
      <c r="H62" s="7" t="s">
        <v>444</v>
      </c>
      <c r="I62" s="7" t="s">
        <v>1693</v>
      </c>
      <c r="J62" s="60" t="s">
        <v>2214</v>
      </c>
      <c r="K62" s="5">
        <f>SUMIF(BC!$E$6:$E$347,$A62,BC!$K$6:$K$347)</f>
        <v>0</v>
      </c>
      <c r="L62" s="5" t="e">
        <f>SUMIF(#REF!,$A62,#REF!)+SUMIF(#REF!,$A62,#REF!)</f>
        <v>#REF!</v>
      </c>
      <c r="M62" s="5" t="e">
        <f>SUMIF(#REF!,Casilleros!$A62,#REF!)+SUMIF(#REF!,Casilleros!$A62,#REF!)+SUMIF(#REF!,$A62,#REF!)</f>
        <v>#REF!</v>
      </c>
      <c r="N62" s="5" t="e">
        <f>SUMIF(#REF!,$A62,#REF!)</f>
        <v>#REF!</v>
      </c>
      <c r="O62" s="5" t="e">
        <f>SUMIF(#REF!,$A62,#REF!)+SUMIF(#REF!,$A62,#REF!)</f>
        <v>#REF!</v>
      </c>
      <c r="P62" s="5">
        <f>IFERROR(VLOOKUP($A62,#REF!,2,FALSE),0)</f>
        <v>0</v>
      </c>
      <c r="Q62" s="42" t="e">
        <f t="shared" si="0"/>
        <v>#REF!</v>
      </c>
    </row>
    <row r="63" spans="1:17" ht="15">
      <c r="A63" s="56" t="s">
        <v>155</v>
      </c>
      <c r="B63" s="7" t="s">
        <v>65</v>
      </c>
      <c r="C63" s="7" t="s">
        <v>66</v>
      </c>
      <c r="D63" s="7" t="s">
        <v>67</v>
      </c>
      <c r="E63" s="7" t="s">
        <v>148</v>
      </c>
      <c r="F63" s="7" t="s">
        <v>149</v>
      </c>
      <c r="G63" s="7" t="s">
        <v>154</v>
      </c>
      <c r="H63" s="7" t="s">
        <v>444</v>
      </c>
      <c r="I63" s="7" t="s">
        <v>1694</v>
      </c>
      <c r="J63" s="60" t="s">
        <v>2214</v>
      </c>
      <c r="K63" s="5">
        <f>SUMIF(BC!$E$6:$E$347,$A63,BC!$K$6:$K$347)</f>
        <v>0</v>
      </c>
      <c r="L63" s="5" t="e">
        <f>SUMIF(#REF!,$A63,#REF!)+SUMIF(#REF!,$A63,#REF!)</f>
        <v>#REF!</v>
      </c>
      <c r="M63" s="5" t="e">
        <f>SUMIF(#REF!,Casilleros!$A63,#REF!)+SUMIF(#REF!,Casilleros!$A63,#REF!)+SUMIF(#REF!,$A63,#REF!)</f>
        <v>#REF!</v>
      </c>
      <c r="N63" s="5" t="e">
        <f>SUMIF(#REF!,$A63,#REF!)</f>
        <v>#REF!</v>
      </c>
      <c r="O63" s="5" t="e">
        <f>SUMIF(#REF!,$A63,#REF!)+SUMIF(#REF!,$A63,#REF!)</f>
        <v>#REF!</v>
      </c>
      <c r="P63" s="5">
        <f>IFERROR(VLOOKUP($A63,#REF!,2,FALSE),0)</f>
        <v>0</v>
      </c>
      <c r="Q63" s="42" t="e">
        <f t="shared" si="0"/>
        <v>#REF!</v>
      </c>
    </row>
    <row r="64" spans="1:17" ht="15">
      <c r="A64" s="56" t="s">
        <v>157</v>
      </c>
      <c r="B64" s="7" t="s">
        <v>65</v>
      </c>
      <c r="C64" s="7" t="s">
        <v>66</v>
      </c>
      <c r="D64" s="7" t="s">
        <v>67</v>
      </c>
      <c r="E64" s="7" t="s">
        <v>148</v>
      </c>
      <c r="F64" s="7" t="s">
        <v>156</v>
      </c>
      <c r="G64" s="7" t="s">
        <v>150</v>
      </c>
      <c r="H64" s="7" t="s">
        <v>444</v>
      </c>
      <c r="I64" s="7" t="s">
        <v>1695</v>
      </c>
      <c r="J64" s="60" t="s">
        <v>2214</v>
      </c>
      <c r="K64" s="5">
        <f>SUMIF(BC!$E$6:$E$347,$A64,BC!$K$6:$K$347)</f>
        <v>0</v>
      </c>
      <c r="L64" s="5" t="e">
        <f>SUMIF(#REF!,$A64,#REF!)+SUMIF(#REF!,$A64,#REF!)</f>
        <v>#REF!</v>
      </c>
      <c r="M64" s="5" t="e">
        <f>SUMIF(#REF!,Casilleros!$A64,#REF!)+SUMIF(#REF!,Casilleros!$A64,#REF!)+SUMIF(#REF!,$A64,#REF!)</f>
        <v>#REF!</v>
      </c>
      <c r="N64" s="5" t="e">
        <f>SUMIF(#REF!,$A64,#REF!)</f>
        <v>#REF!</v>
      </c>
      <c r="O64" s="5" t="e">
        <f>SUMIF(#REF!,$A64,#REF!)+SUMIF(#REF!,$A64,#REF!)</f>
        <v>#REF!</v>
      </c>
      <c r="P64" s="5">
        <f>IFERROR(VLOOKUP($A64,#REF!,2,FALSE),0)</f>
        <v>0</v>
      </c>
      <c r="Q64" s="42" t="e">
        <f t="shared" si="0"/>
        <v>#REF!</v>
      </c>
    </row>
    <row r="65" spans="1:17" ht="15">
      <c r="A65" s="56" t="s">
        <v>158</v>
      </c>
      <c r="B65" s="7" t="s">
        <v>65</v>
      </c>
      <c r="C65" s="7" t="s">
        <v>66</v>
      </c>
      <c r="D65" s="7" t="s">
        <v>67</v>
      </c>
      <c r="E65" s="7" t="s">
        <v>148</v>
      </c>
      <c r="F65" s="7" t="s">
        <v>156</v>
      </c>
      <c r="G65" s="7" t="s">
        <v>152</v>
      </c>
      <c r="H65" s="7" t="s">
        <v>444</v>
      </c>
      <c r="I65" s="7" t="s">
        <v>1696</v>
      </c>
      <c r="J65" s="60" t="s">
        <v>2214</v>
      </c>
      <c r="K65" s="5">
        <f>SUMIF(BC!$E$6:$E$347,$A65,BC!$K$6:$K$347)</f>
        <v>0</v>
      </c>
      <c r="L65" s="5" t="e">
        <f>SUMIF(#REF!,$A65,#REF!)+SUMIF(#REF!,$A65,#REF!)</f>
        <v>#REF!</v>
      </c>
      <c r="M65" s="5" t="e">
        <f>SUMIF(#REF!,Casilleros!$A65,#REF!)+SUMIF(#REF!,Casilleros!$A65,#REF!)+SUMIF(#REF!,$A65,#REF!)</f>
        <v>#REF!</v>
      </c>
      <c r="N65" s="5" t="e">
        <f>SUMIF(#REF!,$A65,#REF!)</f>
        <v>#REF!</v>
      </c>
      <c r="O65" s="5" t="e">
        <f>SUMIF(#REF!,$A65,#REF!)+SUMIF(#REF!,$A65,#REF!)</f>
        <v>#REF!</v>
      </c>
      <c r="P65" s="5">
        <f>IFERROR(VLOOKUP($A65,#REF!,2,FALSE),0)</f>
        <v>0</v>
      </c>
      <c r="Q65" s="42" t="e">
        <f t="shared" si="0"/>
        <v>#REF!</v>
      </c>
    </row>
    <row r="66" spans="1:17" ht="15">
      <c r="A66" s="56" t="s">
        <v>159</v>
      </c>
      <c r="B66" s="7" t="s">
        <v>65</v>
      </c>
      <c r="C66" s="7" t="s">
        <v>66</v>
      </c>
      <c r="D66" s="7" t="s">
        <v>67</v>
      </c>
      <c r="E66" s="7" t="s">
        <v>148</v>
      </c>
      <c r="F66" s="7" t="s">
        <v>156</v>
      </c>
      <c r="G66" s="7" t="s">
        <v>154</v>
      </c>
      <c r="H66" s="7" t="s">
        <v>444</v>
      </c>
      <c r="I66" s="7" t="s">
        <v>1697</v>
      </c>
      <c r="J66" s="60" t="s">
        <v>2214</v>
      </c>
      <c r="K66" s="5">
        <f>SUMIF(BC!$E$6:$E$347,$A66,BC!$K$6:$K$347)</f>
        <v>0</v>
      </c>
      <c r="L66" s="5" t="e">
        <f>SUMIF(#REF!,$A66,#REF!)+SUMIF(#REF!,$A66,#REF!)</f>
        <v>#REF!</v>
      </c>
      <c r="M66" s="5" t="e">
        <f>SUMIF(#REF!,Casilleros!$A66,#REF!)+SUMIF(#REF!,Casilleros!$A66,#REF!)+SUMIF(#REF!,$A66,#REF!)</f>
        <v>#REF!</v>
      </c>
      <c r="N66" s="5" t="e">
        <f>SUMIF(#REF!,$A66,#REF!)</f>
        <v>#REF!</v>
      </c>
      <c r="O66" s="5" t="e">
        <f>SUMIF(#REF!,$A66,#REF!)+SUMIF(#REF!,$A66,#REF!)</f>
        <v>#REF!</v>
      </c>
      <c r="P66" s="5">
        <f>IFERROR(VLOOKUP($A66,#REF!,2,FALSE),0)</f>
        <v>0</v>
      </c>
      <c r="Q66" s="42" t="e">
        <f t="shared" si="0"/>
        <v>#REF!</v>
      </c>
    </row>
    <row r="67" spans="1:17">
      <c r="A67" s="56" t="s">
        <v>162</v>
      </c>
      <c r="B67" s="7" t="s">
        <v>65</v>
      </c>
      <c r="C67" s="7" t="s">
        <v>66</v>
      </c>
      <c r="D67" s="7" t="s">
        <v>67</v>
      </c>
      <c r="E67" s="7" t="s">
        <v>160</v>
      </c>
      <c r="F67" s="7" t="s">
        <v>161</v>
      </c>
      <c r="G67" s="7" t="s">
        <v>444</v>
      </c>
      <c r="H67" s="7" t="s">
        <v>444</v>
      </c>
      <c r="I67" s="7" t="s">
        <v>1698</v>
      </c>
      <c r="J67" s="3" t="s">
        <v>2216</v>
      </c>
      <c r="K67" s="5">
        <f>SUMIF(BC!$E$6:$E$347,$A67,BC!$K$6:$K$347)</f>
        <v>0</v>
      </c>
      <c r="L67" s="5" t="e">
        <f>SUMIF(#REF!,$A67,#REF!)+SUMIF(#REF!,$A67,#REF!)</f>
        <v>#REF!</v>
      </c>
      <c r="M67" s="5" t="e">
        <f>SUMIF(#REF!,Casilleros!$A67,#REF!)+SUMIF(#REF!,Casilleros!$A67,#REF!)+SUMIF(#REF!,$A67,#REF!)</f>
        <v>#REF!</v>
      </c>
      <c r="N67" s="5" t="e">
        <f>SUMIF(#REF!,$A67,#REF!)</f>
        <v>#REF!</v>
      </c>
      <c r="O67" s="5" t="e">
        <f>SUMIF(#REF!,$A67,#REF!)+SUMIF(#REF!,$A67,#REF!)</f>
        <v>#REF!</v>
      </c>
      <c r="P67" s="5">
        <f>IFERROR(VLOOKUP($A67,#REF!,2,FALSE),0)</f>
        <v>0</v>
      </c>
      <c r="Q67" s="42" t="e">
        <f t="shared" si="0"/>
        <v>#REF!</v>
      </c>
    </row>
    <row r="68" spans="1:17">
      <c r="A68" s="56" t="s">
        <v>164</v>
      </c>
      <c r="B68" s="7" t="s">
        <v>65</v>
      </c>
      <c r="C68" s="7" t="s">
        <v>66</v>
      </c>
      <c r="D68" s="7" t="s">
        <v>67</v>
      </c>
      <c r="E68" s="7" t="s">
        <v>160</v>
      </c>
      <c r="F68" s="7" t="s">
        <v>163</v>
      </c>
      <c r="G68" s="7" t="s">
        <v>444</v>
      </c>
      <c r="H68" s="7" t="s">
        <v>444</v>
      </c>
      <c r="I68" s="7" t="s">
        <v>1699</v>
      </c>
      <c r="J68" s="3" t="s">
        <v>2216</v>
      </c>
      <c r="K68" s="5">
        <f>SUMIF(BC!$E$6:$E$347,$A68,BC!$K$6:$K$347)</f>
        <v>0</v>
      </c>
      <c r="L68" s="5" t="e">
        <f>SUMIF(#REF!,$A68,#REF!)+SUMIF(#REF!,$A68,#REF!)</f>
        <v>#REF!</v>
      </c>
      <c r="M68" s="5" t="e">
        <f>SUMIF(#REF!,Casilleros!$A68,#REF!)+SUMIF(#REF!,Casilleros!$A68,#REF!)+SUMIF(#REF!,$A68,#REF!)</f>
        <v>#REF!</v>
      </c>
      <c r="N68" s="5" t="e">
        <f>SUMIF(#REF!,$A68,#REF!)</f>
        <v>#REF!</v>
      </c>
      <c r="O68" s="5" t="e">
        <f>SUMIF(#REF!,$A68,#REF!)+SUMIF(#REF!,$A68,#REF!)</f>
        <v>#REF!</v>
      </c>
      <c r="P68" s="5">
        <f>IFERROR(VLOOKUP($A68,#REF!,2,FALSE),0)</f>
        <v>0</v>
      </c>
      <c r="Q68" s="42" t="e">
        <f t="shared" si="0"/>
        <v>#REF!</v>
      </c>
    </row>
    <row r="69" spans="1:17">
      <c r="A69" s="56" t="s">
        <v>166</v>
      </c>
      <c r="B69" s="7" t="s">
        <v>65</v>
      </c>
      <c r="C69" s="7" t="s">
        <v>66</v>
      </c>
      <c r="D69" s="7" t="s">
        <v>67</v>
      </c>
      <c r="E69" s="7" t="s">
        <v>160</v>
      </c>
      <c r="F69" s="7" t="s">
        <v>165</v>
      </c>
      <c r="G69" s="7" t="s">
        <v>444</v>
      </c>
      <c r="H69" s="7" t="s">
        <v>444</v>
      </c>
      <c r="I69" s="7" t="s">
        <v>1700</v>
      </c>
      <c r="J69" s="3" t="s">
        <v>2216</v>
      </c>
      <c r="K69" s="5">
        <f>SUMIF(BC!$E$6:$E$347,$A69,BC!$K$6:$K$347)</f>
        <v>0</v>
      </c>
      <c r="L69" s="5" t="e">
        <f>SUMIF(#REF!,$A69,#REF!)+SUMIF(#REF!,$A69,#REF!)</f>
        <v>#REF!</v>
      </c>
      <c r="M69" s="5" t="e">
        <f>SUMIF(#REF!,Casilleros!$A69,#REF!)+SUMIF(#REF!,Casilleros!$A69,#REF!)+SUMIF(#REF!,$A69,#REF!)</f>
        <v>#REF!</v>
      </c>
      <c r="N69" s="5" t="e">
        <f>SUMIF(#REF!,$A69,#REF!)</f>
        <v>#REF!</v>
      </c>
      <c r="O69" s="5" t="e">
        <f>SUMIF(#REF!,$A69,#REF!)+SUMIF(#REF!,$A69,#REF!)</f>
        <v>#REF!</v>
      </c>
      <c r="P69" s="5">
        <f>IFERROR(VLOOKUP($A69,#REF!,2,FALSE),0)</f>
        <v>0</v>
      </c>
      <c r="Q69" s="42" t="e">
        <f t="shared" si="0"/>
        <v>#REF!</v>
      </c>
    </row>
    <row r="70" spans="1:17">
      <c r="A70" s="56" t="s">
        <v>167</v>
      </c>
      <c r="B70" s="7" t="s">
        <v>65</v>
      </c>
      <c r="C70" s="7" t="s">
        <v>66</v>
      </c>
      <c r="D70" s="7" t="s">
        <v>67</v>
      </c>
      <c r="E70" s="7" t="s">
        <v>160</v>
      </c>
      <c r="F70" s="7" t="s">
        <v>122</v>
      </c>
      <c r="G70" s="7" t="s">
        <v>444</v>
      </c>
      <c r="H70" s="7" t="s">
        <v>444</v>
      </c>
      <c r="I70" s="7" t="s">
        <v>1701</v>
      </c>
      <c r="J70" s="3" t="s">
        <v>2216</v>
      </c>
      <c r="K70" s="5">
        <f>SUMIF(BC!$E$6:$E$347,$A70,BC!$K$6:$K$347)</f>
        <v>0</v>
      </c>
      <c r="L70" s="5" t="e">
        <f>SUMIF(#REF!,$A70,#REF!)+SUMIF(#REF!,$A70,#REF!)</f>
        <v>#REF!</v>
      </c>
      <c r="M70" s="5" t="e">
        <f>SUMIF(#REF!,Casilleros!$A70,#REF!)+SUMIF(#REF!,Casilleros!$A70,#REF!)+SUMIF(#REF!,$A70,#REF!)</f>
        <v>#REF!</v>
      </c>
      <c r="N70" s="5" t="e">
        <f>SUMIF(#REF!,$A70,#REF!)</f>
        <v>#REF!</v>
      </c>
      <c r="O70" s="5" t="e">
        <f>SUMIF(#REF!,$A70,#REF!)+SUMIF(#REF!,$A70,#REF!)</f>
        <v>#REF!</v>
      </c>
      <c r="P70" s="5">
        <f>IFERROR(VLOOKUP($A70,#REF!,2,FALSE),0)</f>
        <v>0</v>
      </c>
      <c r="Q70" s="42" t="e">
        <f t="shared" ref="Q70:Q133" si="1">SUM(K70:P70)</f>
        <v>#REF!</v>
      </c>
    </row>
    <row r="71" spans="1:17">
      <c r="A71" s="56" t="s">
        <v>169</v>
      </c>
      <c r="B71" s="7" t="s">
        <v>65</v>
      </c>
      <c r="C71" s="7" t="s">
        <v>66</v>
      </c>
      <c r="D71" s="7" t="s">
        <v>67</v>
      </c>
      <c r="E71" s="7" t="s">
        <v>168</v>
      </c>
      <c r="F71" s="7" t="s">
        <v>444</v>
      </c>
      <c r="G71" s="7" t="s">
        <v>444</v>
      </c>
      <c r="H71" s="7" t="s">
        <v>444</v>
      </c>
      <c r="I71" s="7" t="s">
        <v>168</v>
      </c>
      <c r="J71" s="7" t="s">
        <v>2218</v>
      </c>
      <c r="K71" s="5" t="e">
        <f>SUMIF(BC!$E$6:$E$347,$A71,BC!$K$6:$K$347)</f>
        <v>#REF!</v>
      </c>
      <c r="L71" s="5" t="e">
        <f>SUMIF(#REF!,$A71,#REF!)+SUMIF(#REF!,$A71,#REF!)</f>
        <v>#REF!</v>
      </c>
      <c r="M71" s="5" t="e">
        <f>SUMIF(#REF!,Casilleros!$A71,#REF!)+SUMIF(#REF!,Casilleros!$A71,#REF!)+SUMIF(#REF!,$A71,#REF!)</f>
        <v>#REF!</v>
      </c>
      <c r="N71" s="5" t="e">
        <f>SUMIF(#REF!,$A71,#REF!)</f>
        <v>#REF!</v>
      </c>
      <c r="O71" s="5" t="e">
        <f>SUMIF(#REF!,$A71,#REF!)+SUMIF(#REF!,$A71,#REF!)</f>
        <v>#REF!</v>
      </c>
      <c r="P71" s="5">
        <f>IFERROR(VLOOKUP($A71,#REF!,2,FALSE),0)</f>
        <v>0</v>
      </c>
      <c r="Q71" s="42" t="e">
        <f t="shared" si="1"/>
        <v>#REF!</v>
      </c>
    </row>
    <row r="72" spans="1:17">
      <c r="A72" s="56" t="s">
        <v>171</v>
      </c>
      <c r="B72" s="7" t="s">
        <v>65</v>
      </c>
      <c r="C72" s="7" t="s">
        <v>66</v>
      </c>
      <c r="D72" s="7" t="s">
        <v>170</v>
      </c>
      <c r="E72" s="7" t="s">
        <v>444</v>
      </c>
      <c r="F72" s="7" t="s">
        <v>444</v>
      </c>
      <c r="G72" s="7" t="s">
        <v>444</v>
      </c>
      <c r="H72" s="7" t="s">
        <v>444</v>
      </c>
      <c r="I72" s="7" t="s">
        <v>1702</v>
      </c>
      <c r="K72" s="5">
        <f>SUMIF(BC!$E$6:$E$347,$A72,BC!$K$6:$K$347)</f>
        <v>0</v>
      </c>
      <c r="L72" s="5" t="e">
        <f>SUMIF(#REF!,$A72,#REF!)+SUMIF(#REF!,$A72,#REF!)</f>
        <v>#REF!</v>
      </c>
      <c r="M72" s="5" t="e">
        <f>SUMIF(#REF!,Casilleros!$A72,#REF!)+SUMIF(#REF!,Casilleros!$A72,#REF!)+SUMIF(#REF!,$A72,#REF!)</f>
        <v>#REF!</v>
      </c>
      <c r="N72" s="5" t="e">
        <f>SUMIF(#REF!,$A72,#REF!)</f>
        <v>#REF!</v>
      </c>
      <c r="O72" s="5" t="e">
        <f>SUMIF(#REF!,$A72,#REF!)+SUMIF(#REF!,$A72,#REF!)</f>
        <v>#REF!</v>
      </c>
      <c r="P72" s="5">
        <f>IFERROR(VLOOKUP($A72,#REF!,2,FALSE),0)</f>
        <v>0</v>
      </c>
      <c r="Q72" s="42" t="e">
        <f t="shared" si="1"/>
        <v>#REF!</v>
      </c>
    </row>
    <row r="73" spans="1:17">
      <c r="A73" s="56" t="s">
        <v>176</v>
      </c>
      <c r="B73" s="7" t="s">
        <v>65</v>
      </c>
      <c r="C73" s="7" t="s">
        <v>66</v>
      </c>
      <c r="D73" s="7" t="s">
        <v>172</v>
      </c>
      <c r="E73" s="7" t="s">
        <v>173</v>
      </c>
      <c r="F73" s="7" t="s">
        <v>174</v>
      </c>
      <c r="G73" s="7" t="s">
        <v>175</v>
      </c>
      <c r="H73" s="7" t="s">
        <v>444</v>
      </c>
      <c r="I73" s="7" t="s">
        <v>1703</v>
      </c>
      <c r="J73" s="7" t="s">
        <v>873</v>
      </c>
      <c r="K73" s="5" t="e">
        <f>SUMIF(BC!$E$6:$E$347,$A73,BC!$K$6:$K$347)</f>
        <v>#REF!</v>
      </c>
      <c r="L73" s="5" t="e">
        <f>SUMIF(#REF!,$A73,#REF!)+SUMIF(#REF!,$A73,#REF!)</f>
        <v>#REF!</v>
      </c>
      <c r="M73" s="5" t="e">
        <f>SUMIF(#REF!,Casilleros!$A73,#REF!)+SUMIF(#REF!,Casilleros!$A73,#REF!)+SUMIF(#REF!,$A73,#REF!)</f>
        <v>#REF!</v>
      </c>
      <c r="N73" s="5" t="e">
        <f>SUMIF(#REF!,$A73,#REF!)</f>
        <v>#REF!</v>
      </c>
      <c r="O73" s="5" t="e">
        <f>SUMIF(#REF!,$A73,#REF!)+SUMIF(#REF!,$A73,#REF!)</f>
        <v>#REF!</v>
      </c>
      <c r="P73" s="5">
        <f>IFERROR(VLOOKUP($A73,#REF!,2,FALSE),0)</f>
        <v>0</v>
      </c>
      <c r="Q73" s="42" t="e">
        <f t="shared" si="1"/>
        <v>#REF!</v>
      </c>
    </row>
    <row r="74" spans="1:17">
      <c r="A74" s="56" t="s">
        <v>179</v>
      </c>
      <c r="B74" s="7" t="s">
        <v>65</v>
      </c>
      <c r="C74" s="7" t="s">
        <v>66</v>
      </c>
      <c r="D74" s="7" t="s">
        <v>172</v>
      </c>
      <c r="E74" s="7" t="s">
        <v>173</v>
      </c>
      <c r="F74" s="7" t="s">
        <v>174</v>
      </c>
      <c r="G74" s="7" t="s">
        <v>177</v>
      </c>
      <c r="H74" s="7" t="s">
        <v>444</v>
      </c>
      <c r="I74" s="7" t="s">
        <v>1704</v>
      </c>
      <c r="J74" s="7" t="s">
        <v>873</v>
      </c>
      <c r="K74" s="5" t="e">
        <f>SUMIF(BC!$E$6:$E$347,$A74,BC!$K$6:$K$347)</f>
        <v>#REF!</v>
      </c>
      <c r="L74" s="5" t="e">
        <f>SUMIF(#REF!,$A74,#REF!)+SUMIF(#REF!,$A74,#REF!)</f>
        <v>#REF!</v>
      </c>
      <c r="M74" s="5" t="e">
        <f>SUMIF(#REF!,Casilleros!$A74,#REF!)+SUMIF(#REF!,Casilleros!$A74,#REF!)+SUMIF(#REF!,$A74,#REF!)</f>
        <v>#REF!</v>
      </c>
      <c r="N74" s="5" t="e">
        <f>SUMIF(#REF!,$A74,#REF!)</f>
        <v>#REF!</v>
      </c>
      <c r="O74" s="5" t="e">
        <f>SUMIF(#REF!,$A74,#REF!)+SUMIF(#REF!,$A74,#REF!)</f>
        <v>#REF!</v>
      </c>
      <c r="P74" s="5">
        <f>IFERROR(VLOOKUP($A74,#REF!,2,FALSE),0)</f>
        <v>0</v>
      </c>
      <c r="Q74" s="42" t="e">
        <f t="shared" si="1"/>
        <v>#REF!</v>
      </c>
    </row>
    <row r="75" spans="1:17">
      <c r="A75" s="56" t="s">
        <v>182</v>
      </c>
      <c r="B75" s="7" t="s">
        <v>65</v>
      </c>
      <c r="C75" s="7" t="s">
        <v>66</v>
      </c>
      <c r="D75" s="7" t="s">
        <v>172</v>
      </c>
      <c r="E75" s="7" t="s">
        <v>173</v>
      </c>
      <c r="F75" s="7" t="s">
        <v>180</v>
      </c>
      <c r="G75" s="7" t="s">
        <v>181</v>
      </c>
      <c r="H75" s="7" t="s">
        <v>444</v>
      </c>
      <c r="I75" s="7" t="s">
        <v>1705</v>
      </c>
      <c r="J75" s="7" t="s">
        <v>873</v>
      </c>
      <c r="K75" s="5" t="e">
        <f>SUMIF(BC!$E$6:$E$347,$A75,BC!$K$6:$K$347)</f>
        <v>#REF!</v>
      </c>
      <c r="L75" s="5" t="e">
        <f>SUMIF(#REF!,$A75,#REF!)+SUMIF(#REF!,$A75,#REF!)</f>
        <v>#REF!</v>
      </c>
      <c r="M75" s="5" t="e">
        <f>SUMIF(#REF!,Casilleros!$A75,#REF!)+SUMIF(#REF!,Casilleros!$A75,#REF!)+SUMIF(#REF!,$A75,#REF!)</f>
        <v>#REF!</v>
      </c>
      <c r="N75" s="5" t="e">
        <f>SUMIF(#REF!,$A75,#REF!)</f>
        <v>#REF!</v>
      </c>
      <c r="O75" s="5" t="e">
        <f>SUMIF(#REF!,$A75,#REF!)+SUMIF(#REF!,$A75,#REF!)</f>
        <v>#REF!</v>
      </c>
      <c r="P75" s="5">
        <f>IFERROR(VLOOKUP($A75,#REF!,2,FALSE),0)</f>
        <v>0</v>
      </c>
      <c r="Q75" s="42" t="e">
        <f t="shared" si="1"/>
        <v>#REF!</v>
      </c>
    </row>
    <row r="76" spans="1:17">
      <c r="A76" s="56" t="s">
        <v>183</v>
      </c>
      <c r="B76" s="7" t="s">
        <v>65</v>
      </c>
      <c r="C76" s="7" t="s">
        <v>66</v>
      </c>
      <c r="D76" s="7" t="s">
        <v>172</v>
      </c>
      <c r="E76" s="7" t="s">
        <v>173</v>
      </c>
      <c r="F76" s="7" t="s">
        <v>180</v>
      </c>
      <c r="G76" s="7" t="s">
        <v>177</v>
      </c>
      <c r="H76" s="7" t="s">
        <v>444</v>
      </c>
      <c r="I76" s="7" t="s">
        <v>1706</v>
      </c>
      <c r="J76" s="7" t="s">
        <v>873</v>
      </c>
      <c r="K76" s="5" t="e">
        <f>SUMIF(BC!$E$6:$E$347,$A76,BC!$K$6:$K$347)</f>
        <v>#REF!</v>
      </c>
      <c r="L76" s="5" t="e">
        <f>SUMIF(#REF!,$A76,#REF!)+SUMIF(#REF!,$A76,#REF!)</f>
        <v>#REF!</v>
      </c>
      <c r="M76" s="5" t="e">
        <f>SUMIF(#REF!,Casilleros!$A76,#REF!)+SUMIF(#REF!,Casilleros!$A76,#REF!)+SUMIF(#REF!,$A76,#REF!)</f>
        <v>#REF!</v>
      </c>
      <c r="N76" s="5" t="e">
        <f>SUMIF(#REF!,$A76,#REF!)</f>
        <v>#REF!</v>
      </c>
      <c r="O76" s="5" t="e">
        <f>SUMIF(#REF!,$A76,#REF!)+SUMIF(#REF!,$A76,#REF!)</f>
        <v>#REF!</v>
      </c>
      <c r="P76" s="5">
        <f>IFERROR(VLOOKUP($A76,#REF!,2,FALSE),0)</f>
        <v>0</v>
      </c>
      <c r="Q76" s="42" t="e">
        <f t="shared" si="1"/>
        <v>#REF!</v>
      </c>
    </row>
    <row r="77" spans="1:17">
      <c r="A77" s="56" t="s">
        <v>185</v>
      </c>
      <c r="B77" s="7" t="s">
        <v>65</v>
      </c>
      <c r="C77" s="7" t="s">
        <v>66</v>
      </c>
      <c r="D77" s="7" t="s">
        <v>172</v>
      </c>
      <c r="E77" s="7" t="s">
        <v>173</v>
      </c>
      <c r="F77" s="7" t="s">
        <v>184</v>
      </c>
      <c r="G77" s="7" t="s">
        <v>175</v>
      </c>
      <c r="H77" s="7" t="s">
        <v>444</v>
      </c>
      <c r="I77" s="7" t="s">
        <v>1707</v>
      </c>
      <c r="J77" s="7" t="s">
        <v>873</v>
      </c>
      <c r="K77" s="5">
        <f>SUMIF(BC!$E$6:$E$347,$A77,BC!$K$6:$K$347)</f>
        <v>0</v>
      </c>
      <c r="L77" s="5" t="e">
        <f>SUMIF(#REF!,$A77,#REF!)+SUMIF(#REF!,$A77,#REF!)</f>
        <v>#REF!</v>
      </c>
      <c r="M77" s="5" t="e">
        <f>SUMIF(#REF!,Casilleros!$A77,#REF!)+SUMIF(#REF!,Casilleros!$A77,#REF!)+SUMIF(#REF!,$A77,#REF!)</f>
        <v>#REF!</v>
      </c>
      <c r="N77" s="5" t="e">
        <f>SUMIF(#REF!,$A77,#REF!)</f>
        <v>#REF!</v>
      </c>
      <c r="O77" s="5" t="e">
        <f>SUMIF(#REF!,$A77,#REF!)+SUMIF(#REF!,$A77,#REF!)</f>
        <v>#REF!</v>
      </c>
      <c r="P77" s="5">
        <f>IFERROR(VLOOKUP($A77,#REF!,2,FALSE),0)</f>
        <v>0</v>
      </c>
      <c r="Q77" s="42" t="e">
        <f t="shared" si="1"/>
        <v>#REF!</v>
      </c>
    </row>
    <row r="78" spans="1:17">
      <c r="A78" s="56" t="s">
        <v>186</v>
      </c>
      <c r="B78" s="7" t="s">
        <v>65</v>
      </c>
      <c r="C78" s="7" t="s">
        <v>66</v>
      </c>
      <c r="D78" s="7" t="s">
        <v>172</v>
      </c>
      <c r="E78" s="7" t="s">
        <v>173</v>
      </c>
      <c r="F78" s="7" t="s">
        <v>184</v>
      </c>
      <c r="G78" s="7" t="s">
        <v>177</v>
      </c>
      <c r="H78" s="7" t="s">
        <v>444</v>
      </c>
      <c r="I78" s="7" t="s">
        <v>1708</v>
      </c>
      <c r="J78" s="7" t="s">
        <v>873</v>
      </c>
      <c r="K78" s="5">
        <f>SUMIF(BC!$E$6:$E$347,$A78,BC!$K$6:$K$347)</f>
        <v>0</v>
      </c>
      <c r="L78" s="5" t="e">
        <f>SUMIF(#REF!,$A78,#REF!)+SUMIF(#REF!,$A78,#REF!)</f>
        <v>#REF!</v>
      </c>
      <c r="M78" s="5" t="e">
        <f>SUMIF(#REF!,Casilleros!$A78,#REF!)+SUMIF(#REF!,Casilleros!$A78,#REF!)+SUMIF(#REF!,$A78,#REF!)</f>
        <v>#REF!</v>
      </c>
      <c r="N78" s="5" t="e">
        <f>SUMIF(#REF!,$A78,#REF!)</f>
        <v>#REF!</v>
      </c>
      <c r="O78" s="5" t="e">
        <f>SUMIF(#REF!,$A78,#REF!)+SUMIF(#REF!,$A78,#REF!)</f>
        <v>#REF!</v>
      </c>
      <c r="P78" s="5">
        <f>IFERROR(VLOOKUP($A78,#REF!,2,FALSE),0)</f>
        <v>0</v>
      </c>
      <c r="Q78" s="42" t="e">
        <f t="shared" si="1"/>
        <v>#REF!</v>
      </c>
    </row>
    <row r="79" spans="1:17">
      <c r="A79" s="56" t="s">
        <v>188</v>
      </c>
      <c r="B79" s="7" t="s">
        <v>65</v>
      </c>
      <c r="C79" s="7" t="s">
        <v>66</v>
      </c>
      <c r="D79" s="7" t="s">
        <v>172</v>
      </c>
      <c r="E79" s="7" t="s">
        <v>173</v>
      </c>
      <c r="F79" s="7" t="s">
        <v>187</v>
      </c>
      <c r="G79" s="7" t="s">
        <v>181</v>
      </c>
      <c r="H79" s="7" t="s">
        <v>444</v>
      </c>
      <c r="I79" s="7" t="s">
        <v>1709</v>
      </c>
      <c r="J79" s="7" t="s">
        <v>873</v>
      </c>
      <c r="K79" s="5" t="e">
        <f>SUMIF(BC!$E$6:$E$347,$A79,BC!$K$6:$K$347)</f>
        <v>#REF!</v>
      </c>
      <c r="L79" s="5" t="e">
        <f>SUMIF(#REF!,$A79,#REF!)+SUMIF(#REF!,$A79,#REF!)</f>
        <v>#REF!</v>
      </c>
      <c r="M79" s="5" t="e">
        <f>SUMIF(#REF!,Casilleros!$A79,#REF!)+SUMIF(#REF!,Casilleros!$A79,#REF!)+SUMIF(#REF!,$A79,#REF!)</f>
        <v>#REF!</v>
      </c>
      <c r="N79" s="5" t="e">
        <f>SUMIF(#REF!,$A79,#REF!)</f>
        <v>#REF!</v>
      </c>
      <c r="O79" s="5" t="e">
        <f>SUMIF(#REF!,$A79,#REF!)+SUMIF(#REF!,$A79,#REF!)</f>
        <v>#REF!</v>
      </c>
      <c r="P79" s="5">
        <f>IFERROR(VLOOKUP($A79,#REF!,2,FALSE),0)</f>
        <v>0</v>
      </c>
      <c r="Q79" s="42" t="e">
        <f t="shared" si="1"/>
        <v>#REF!</v>
      </c>
    </row>
    <row r="80" spans="1:17">
      <c r="A80" s="56" t="s">
        <v>189</v>
      </c>
      <c r="B80" s="7" t="s">
        <v>65</v>
      </c>
      <c r="C80" s="7" t="s">
        <v>66</v>
      </c>
      <c r="D80" s="7" t="s">
        <v>172</v>
      </c>
      <c r="E80" s="7" t="s">
        <v>173</v>
      </c>
      <c r="F80" s="7" t="s">
        <v>187</v>
      </c>
      <c r="G80" s="7" t="s">
        <v>177</v>
      </c>
      <c r="H80" s="7" t="s">
        <v>444</v>
      </c>
      <c r="I80" s="7" t="s">
        <v>1710</v>
      </c>
      <c r="J80" s="7" t="s">
        <v>873</v>
      </c>
      <c r="K80" s="5">
        <f>SUMIF(BC!$E$6:$E$347,$A80,BC!$K$6:$K$347)</f>
        <v>0</v>
      </c>
      <c r="L80" s="5" t="e">
        <f>SUMIF(#REF!,$A80,#REF!)+SUMIF(#REF!,$A80,#REF!)</f>
        <v>#REF!</v>
      </c>
      <c r="M80" s="5" t="e">
        <f>SUMIF(#REF!,Casilleros!$A80,#REF!)+SUMIF(#REF!,Casilleros!$A80,#REF!)+SUMIF(#REF!,$A80,#REF!)</f>
        <v>#REF!</v>
      </c>
      <c r="N80" s="5" t="e">
        <f>SUMIF(#REF!,$A80,#REF!)</f>
        <v>#REF!</v>
      </c>
      <c r="O80" s="5" t="e">
        <f>SUMIF(#REF!,$A80,#REF!)+SUMIF(#REF!,$A80,#REF!)</f>
        <v>#REF!</v>
      </c>
      <c r="P80" s="5">
        <f>IFERROR(VLOOKUP($A80,#REF!,2,FALSE),0)</f>
        <v>0</v>
      </c>
      <c r="Q80" s="42" t="e">
        <f t="shared" si="1"/>
        <v>#REF!</v>
      </c>
    </row>
    <row r="81" spans="1:17">
      <c r="A81" s="56" t="s">
        <v>191</v>
      </c>
      <c r="B81" s="7" t="s">
        <v>65</v>
      </c>
      <c r="C81" s="7" t="s">
        <v>66</v>
      </c>
      <c r="D81" s="7" t="s">
        <v>172</v>
      </c>
      <c r="E81" s="7" t="s">
        <v>173</v>
      </c>
      <c r="F81" s="7" t="s">
        <v>190</v>
      </c>
      <c r="G81" s="7" t="s">
        <v>175</v>
      </c>
      <c r="H81" s="7" t="s">
        <v>444</v>
      </c>
      <c r="I81" s="7" t="s">
        <v>1711</v>
      </c>
      <c r="J81" s="7" t="s">
        <v>873</v>
      </c>
      <c r="K81" s="5">
        <f>SUMIF(BC!$E$6:$E$347,$A81,BC!$K$6:$K$347)</f>
        <v>0</v>
      </c>
      <c r="L81" s="5" t="e">
        <f>SUMIF(#REF!,$A81,#REF!)+SUMIF(#REF!,$A81,#REF!)</f>
        <v>#REF!</v>
      </c>
      <c r="M81" s="5" t="e">
        <f>SUMIF(#REF!,Casilleros!$A81,#REF!)+SUMIF(#REF!,Casilleros!$A81,#REF!)+SUMIF(#REF!,$A81,#REF!)</f>
        <v>#REF!</v>
      </c>
      <c r="N81" s="5" t="e">
        <f>SUMIF(#REF!,$A81,#REF!)</f>
        <v>#REF!</v>
      </c>
      <c r="O81" s="5" t="e">
        <f>SUMIF(#REF!,$A81,#REF!)+SUMIF(#REF!,$A81,#REF!)</f>
        <v>#REF!</v>
      </c>
      <c r="P81" s="5">
        <f>IFERROR(VLOOKUP($A81,#REF!,2,FALSE),0)</f>
        <v>0</v>
      </c>
      <c r="Q81" s="42" t="e">
        <f t="shared" si="1"/>
        <v>#REF!</v>
      </c>
    </row>
    <row r="82" spans="1:17">
      <c r="A82" s="56" t="s">
        <v>192</v>
      </c>
      <c r="B82" s="7" t="s">
        <v>65</v>
      </c>
      <c r="C82" s="7" t="s">
        <v>66</v>
      </c>
      <c r="D82" s="7" t="s">
        <v>172</v>
      </c>
      <c r="E82" s="7" t="s">
        <v>173</v>
      </c>
      <c r="F82" s="7" t="s">
        <v>190</v>
      </c>
      <c r="G82" s="7" t="s">
        <v>177</v>
      </c>
      <c r="H82" s="7" t="s">
        <v>444</v>
      </c>
      <c r="I82" s="7" t="s">
        <v>1712</v>
      </c>
      <c r="J82" s="7" t="s">
        <v>873</v>
      </c>
      <c r="K82" s="5">
        <f>SUMIF(BC!$E$6:$E$347,$A82,BC!$K$6:$K$347)</f>
        <v>0</v>
      </c>
      <c r="L82" s="5" t="e">
        <f>SUMIF(#REF!,$A82,#REF!)+SUMIF(#REF!,$A82,#REF!)</f>
        <v>#REF!</v>
      </c>
      <c r="M82" s="5" t="e">
        <f>SUMIF(#REF!,Casilleros!$A82,#REF!)+SUMIF(#REF!,Casilleros!$A82,#REF!)+SUMIF(#REF!,$A82,#REF!)</f>
        <v>#REF!</v>
      </c>
      <c r="N82" s="5" t="e">
        <f>SUMIF(#REF!,$A82,#REF!)</f>
        <v>#REF!</v>
      </c>
      <c r="O82" s="5" t="e">
        <f>SUMIF(#REF!,$A82,#REF!)+SUMIF(#REF!,$A82,#REF!)</f>
        <v>#REF!</v>
      </c>
      <c r="P82" s="5">
        <f>IFERROR(VLOOKUP($A82,#REF!,2,FALSE),0)</f>
        <v>0</v>
      </c>
      <c r="Q82" s="42" t="e">
        <f t="shared" si="1"/>
        <v>#REF!</v>
      </c>
    </row>
    <row r="83" spans="1:17">
      <c r="A83" s="56" t="s">
        <v>194</v>
      </c>
      <c r="B83" s="7" t="s">
        <v>65</v>
      </c>
      <c r="C83" s="7" t="s">
        <v>66</v>
      </c>
      <c r="D83" s="7" t="s">
        <v>172</v>
      </c>
      <c r="E83" s="7" t="s">
        <v>173</v>
      </c>
      <c r="F83" s="7" t="s">
        <v>193</v>
      </c>
      <c r="G83" s="7" t="s">
        <v>444</v>
      </c>
      <c r="H83" s="7" t="s">
        <v>444</v>
      </c>
      <c r="I83" s="7" t="s">
        <v>1713</v>
      </c>
      <c r="J83" s="7" t="s">
        <v>873</v>
      </c>
      <c r="K83" s="5" t="e">
        <f>SUMIF(BC!$E$6:$E$347,$A83,BC!$K$6:$K$347)</f>
        <v>#REF!</v>
      </c>
      <c r="L83" s="5" t="e">
        <f>SUMIF(#REF!,$A83,#REF!)+SUMIF(#REF!,$A83,#REF!)</f>
        <v>#REF!</v>
      </c>
      <c r="M83" s="5" t="e">
        <f>SUMIF(#REF!,Casilleros!$A83,#REF!)+SUMIF(#REF!,Casilleros!$A83,#REF!)+SUMIF(#REF!,$A83,#REF!)</f>
        <v>#REF!</v>
      </c>
      <c r="N83" s="5" t="e">
        <f>SUMIF(#REF!,$A83,#REF!)</f>
        <v>#REF!</v>
      </c>
      <c r="O83" s="5" t="e">
        <f>SUMIF(#REF!,$A83,#REF!)+SUMIF(#REF!,$A83,#REF!)</f>
        <v>#REF!</v>
      </c>
      <c r="P83" s="5">
        <f>IFERROR(VLOOKUP($A83,#REF!,2,FALSE),0)</f>
        <v>0</v>
      </c>
      <c r="Q83" s="42" t="e">
        <f t="shared" si="1"/>
        <v>#REF!</v>
      </c>
    </row>
    <row r="84" spans="1:17">
      <c r="A84" s="56" t="s">
        <v>195</v>
      </c>
      <c r="B84" s="7" t="s">
        <v>65</v>
      </c>
      <c r="C84" s="7" t="s">
        <v>66</v>
      </c>
      <c r="D84" s="7" t="s">
        <v>172</v>
      </c>
      <c r="E84" s="7" t="s">
        <v>173</v>
      </c>
      <c r="F84" s="7" t="s">
        <v>13</v>
      </c>
      <c r="G84" s="7" t="s">
        <v>444</v>
      </c>
      <c r="H84" s="7" t="s">
        <v>444</v>
      </c>
      <c r="I84" s="7" t="s">
        <v>1714</v>
      </c>
      <c r="J84" s="7" t="s">
        <v>873</v>
      </c>
      <c r="K84" s="5" t="e">
        <f>SUMIF(BC!$E$6:$E$347,$A84,BC!$K$6:$K$347)</f>
        <v>#REF!</v>
      </c>
      <c r="L84" s="5" t="e">
        <f>SUMIF(#REF!,$A84,#REF!)+SUMIF(#REF!,$A84,#REF!)</f>
        <v>#REF!</v>
      </c>
      <c r="M84" s="5" t="e">
        <f>SUMIF(#REF!,Casilleros!$A84,#REF!)+SUMIF(#REF!,Casilleros!$A84,#REF!)+SUMIF(#REF!,$A84,#REF!)</f>
        <v>#REF!</v>
      </c>
      <c r="N84" s="5" t="e">
        <f>SUMIF(#REF!,$A84,#REF!)</f>
        <v>#REF!</v>
      </c>
      <c r="O84" s="5" t="e">
        <f>SUMIF(#REF!,$A84,#REF!)+SUMIF(#REF!,$A84,#REF!)</f>
        <v>#REF!</v>
      </c>
      <c r="P84" s="5">
        <f>IFERROR(VLOOKUP($A84,#REF!,2,FALSE),0)</f>
        <v>0</v>
      </c>
      <c r="Q84" s="42" t="e">
        <f t="shared" si="1"/>
        <v>#REF!</v>
      </c>
    </row>
    <row r="85" spans="1:17">
      <c r="A85" s="56" t="s">
        <v>198</v>
      </c>
      <c r="B85" s="7" t="s">
        <v>65</v>
      </c>
      <c r="C85" s="7" t="s">
        <v>66</v>
      </c>
      <c r="D85" s="7" t="s">
        <v>172</v>
      </c>
      <c r="E85" s="7" t="s">
        <v>173</v>
      </c>
      <c r="F85" s="7" t="s">
        <v>196</v>
      </c>
      <c r="G85" s="7" t="s">
        <v>444</v>
      </c>
      <c r="H85" s="7" t="s">
        <v>197</v>
      </c>
      <c r="I85" s="7" t="s">
        <v>1715</v>
      </c>
      <c r="J85" s="7" t="s">
        <v>873</v>
      </c>
      <c r="K85" s="5" t="e">
        <f>SUMIF(BC!$E$6:$E$347,$A85,BC!$K$6:$K$347)</f>
        <v>#REF!</v>
      </c>
      <c r="L85" s="5" t="e">
        <f>SUMIF(#REF!,$A85,#REF!)+SUMIF(#REF!,$A85,#REF!)</f>
        <v>#REF!</v>
      </c>
      <c r="M85" s="5" t="e">
        <f>SUMIF(#REF!,Casilleros!$A85,#REF!)+SUMIF(#REF!,Casilleros!$A85,#REF!)+SUMIF(#REF!,$A85,#REF!)</f>
        <v>#REF!</v>
      </c>
      <c r="N85" s="5" t="e">
        <f>SUMIF(#REF!,$A85,#REF!)</f>
        <v>#REF!</v>
      </c>
      <c r="O85" s="5" t="e">
        <f>SUMIF(#REF!,$A85,#REF!)+SUMIF(#REF!,$A85,#REF!)</f>
        <v>#REF!</v>
      </c>
      <c r="P85" s="5">
        <f>IFERROR(VLOOKUP($A85,#REF!,2,FALSE),0)</f>
        <v>0</v>
      </c>
      <c r="Q85" s="42" t="e">
        <f t="shared" si="1"/>
        <v>#REF!</v>
      </c>
    </row>
    <row r="86" spans="1:17">
      <c r="A86" s="56" t="s">
        <v>200</v>
      </c>
      <c r="B86" s="7" t="s">
        <v>65</v>
      </c>
      <c r="C86" s="7" t="s">
        <v>66</v>
      </c>
      <c r="D86" s="7" t="s">
        <v>172</v>
      </c>
      <c r="E86" s="7" t="s">
        <v>173</v>
      </c>
      <c r="F86" s="7" t="s">
        <v>199</v>
      </c>
      <c r="G86" s="7" t="s">
        <v>444</v>
      </c>
      <c r="H86" s="7" t="s">
        <v>197</v>
      </c>
      <c r="I86" s="7" t="s">
        <v>1716</v>
      </c>
      <c r="J86" s="7" t="s">
        <v>873</v>
      </c>
      <c r="K86" s="5" t="e">
        <f>SUMIF(BC!$E$6:$E$347,$A86,BC!$K$6:$K$347)</f>
        <v>#REF!</v>
      </c>
      <c r="L86" s="5" t="e">
        <f>SUMIF(#REF!,$A86,#REF!)+SUMIF(#REF!,$A86,#REF!)</f>
        <v>#REF!</v>
      </c>
      <c r="M86" s="5" t="e">
        <f>SUMIF(#REF!,Casilleros!$A86,#REF!)+SUMIF(#REF!,Casilleros!$A86,#REF!)+SUMIF(#REF!,$A86,#REF!)</f>
        <v>#REF!</v>
      </c>
      <c r="N86" s="5" t="e">
        <f>SUMIF(#REF!,$A86,#REF!)</f>
        <v>#REF!</v>
      </c>
      <c r="O86" s="5" t="e">
        <f>SUMIF(#REF!,$A86,#REF!)+SUMIF(#REF!,$A86,#REF!)</f>
        <v>#REF!</v>
      </c>
      <c r="P86" s="5">
        <f>IFERROR(VLOOKUP($A86,#REF!,2,FALSE),0)</f>
        <v>0</v>
      </c>
      <c r="Q86" s="42" t="e">
        <f t="shared" si="1"/>
        <v>#REF!</v>
      </c>
    </row>
    <row r="87" spans="1:17">
      <c r="A87" s="56" t="s">
        <v>203</v>
      </c>
      <c r="B87" s="7" t="s">
        <v>65</v>
      </c>
      <c r="C87" s="7" t="s">
        <v>66</v>
      </c>
      <c r="D87" s="7" t="s">
        <v>172</v>
      </c>
      <c r="E87" s="7" t="s">
        <v>173</v>
      </c>
      <c r="F87" s="7" t="s">
        <v>201</v>
      </c>
      <c r="G87" s="7" t="s">
        <v>202</v>
      </c>
      <c r="H87" s="7" t="s">
        <v>444</v>
      </c>
      <c r="I87" s="7" t="s">
        <v>1717</v>
      </c>
      <c r="J87" s="7" t="s">
        <v>873</v>
      </c>
      <c r="K87" s="5">
        <f>SUMIF(BC!$E$6:$E$347,$A87,BC!$K$6:$K$347)</f>
        <v>0</v>
      </c>
      <c r="L87" s="5" t="e">
        <f>SUMIF(#REF!,$A87,#REF!)+SUMIF(#REF!,$A87,#REF!)</f>
        <v>#REF!</v>
      </c>
      <c r="M87" s="5" t="e">
        <f>SUMIF(#REF!,Casilleros!$A87,#REF!)+SUMIF(#REF!,Casilleros!$A87,#REF!)+SUMIF(#REF!,$A87,#REF!)</f>
        <v>#REF!</v>
      </c>
      <c r="N87" s="5" t="e">
        <f>SUMIF(#REF!,$A87,#REF!)</f>
        <v>#REF!</v>
      </c>
      <c r="O87" s="5" t="e">
        <f>SUMIF(#REF!,$A87,#REF!)+SUMIF(#REF!,$A87,#REF!)</f>
        <v>#REF!</v>
      </c>
      <c r="P87" s="5">
        <f>IFERROR(VLOOKUP($A87,#REF!,2,FALSE),0)</f>
        <v>0</v>
      </c>
      <c r="Q87" s="42" t="e">
        <f t="shared" si="1"/>
        <v>#REF!</v>
      </c>
    </row>
    <row r="88" spans="1:17">
      <c r="A88" s="56" t="s">
        <v>206</v>
      </c>
      <c r="B88" s="7" t="s">
        <v>65</v>
      </c>
      <c r="C88" s="7" t="s">
        <v>66</v>
      </c>
      <c r="D88" s="7" t="s">
        <v>172</v>
      </c>
      <c r="E88" s="7" t="s">
        <v>173</v>
      </c>
      <c r="F88" s="7" t="s">
        <v>201</v>
      </c>
      <c r="G88" s="7" t="s">
        <v>204</v>
      </c>
      <c r="H88" s="7" t="s">
        <v>444</v>
      </c>
      <c r="I88" s="7" t="s">
        <v>1718</v>
      </c>
      <c r="J88" s="7" t="s">
        <v>873</v>
      </c>
      <c r="K88" s="5">
        <f>SUMIF(BC!$E$6:$E$347,$A88,BC!$K$6:$K$347)</f>
        <v>0</v>
      </c>
      <c r="L88" s="5" t="e">
        <f>SUMIF(#REF!,$A88,#REF!)+SUMIF(#REF!,$A88,#REF!)</f>
        <v>#REF!</v>
      </c>
      <c r="M88" s="5" t="e">
        <f>SUMIF(#REF!,Casilleros!$A88,#REF!)+SUMIF(#REF!,Casilleros!$A88,#REF!)+SUMIF(#REF!,$A88,#REF!)</f>
        <v>#REF!</v>
      </c>
      <c r="N88" s="5" t="e">
        <f>SUMIF(#REF!,$A88,#REF!)</f>
        <v>#REF!</v>
      </c>
      <c r="O88" s="5" t="e">
        <f>SUMIF(#REF!,$A88,#REF!)+SUMIF(#REF!,$A88,#REF!)</f>
        <v>#REF!</v>
      </c>
      <c r="P88" s="5">
        <f>IFERROR(VLOOKUP($A88,#REF!,2,FALSE),0)</f>
        <v>0</v>
      </c>
      <c r="Q88" s="42" t="e">
        <f t="shared" si="1"/>
        <v>#REF!</v>
      </c>
    </row>
    <row r="89" spans="1:17">
      <c r="A89" s="56" t="s">
        <v>209</v>
      </c>
      <c r="B89" s="7" t="s">
        <v>65</v>
      </c>
      <c r="C89" s="7" t="s">
        <v>66</v>
      </c>
      <c r="D89" s="7" t="s">
        <v>172</v>
      </c>
      <c r="E89" s="7" t="s">
        <v>173</v>
      </c>
      <c r="F89" s="7" t="s">
        <v>201</v>
      </c>
      <c r="G89" s="7" t="s">
        <v>207</v>
      </c>
      <c r="H89" s="7" t="s">
        <v>444</v>
      </c>
      <c r="I89" s="7" t="s">
        <v>1719</v>
      </c>
      <c r="J89" s="7" t="s">
        <v>873</v>
      </c>
      <c r="K89" s="5">
        <f>SUMIF(BC!$E$6:$E$347,$A89,BC!$K$6:$K$347)</f>
        <v>0</v>
      </c>
      <c r="L89" s="5" t="e">
        <f>SUMIF(#REF!,$A89,#REF!)+SUMIF(#REF!,$A89,#REF!)</f>
        <v>#REF!</v>
      </c>
      <c r="M89" s="5" t="e">
        <f>SUMIF(#REF!,Casilleros!$A89,#REF!)+SUMIF(#REF!,Casilleros!$A89,#REF!)+SUMIF(#REF!,$A89,#REF!)</f>
        <v>#REF!</v>
      </c>
      <c r="N89" s="5" t="e">
        <f>SUMIF(#REF!,$A89,#REF!)</f>
        <v>#REF!</v>
      </c>
      <c r="O89" s="5" t="e">
        <f>SUMIF(#REF!,$A89,#REF!)+SUMIF(#REF!,$A89,#REF!)</f>
        <v>#REF!</v>
      </c>
      <c r="P89" s="5">
        <f>IFERROR(VLOOKUP($A89,#REF!,2,FALSE),0)</f>
        <v>0</v>
      </c>
      <c r="Q89" s="42" t="e">
        <f t="shared" si="1"/>
        <v>#REF!</v>
      </c>
    </row>
    <row r="90" spans="1:17">
      <c r="A90" s="56" t="s">
        <v>212</v>
      </c>
      <c r="B90" s="7" t="s">
        <v>65</v>
      </c>
      <c r="C90" s="7" t="s">
        <v>66</v>
      </c>
      <c r="D90" s="7" t="s">
        <v>172</v>
      </c>
      <c r="E90" s="7" t="s">
        <v>173</v>
      </c>
      <c r="F90" s="7" t="s">
        <v>201</v>
      </c>
      <c r="G90" s="7" t="s">
        <v>210</v>
      </c>
      <c r="H90" s="7" t="s">
        <v>444</v>
      </c>
      <c r="I90" s="7" t="s">
        <v>1720</v>
      </c>
      <c r="J90" s="7" t="s">
        <v>873</v>
      </c>
      <c r="K90" s="5">
        <f>SUMIF(BC!$E$6:$E$347,$A90,BC!$K$6:$K$347)</f>
        <v>0</v>
      </c>
      <c r="L90" s="5" t="e">
        <f>SUMIF(#REF!,$A90,#REF!)+SUMIF(#REF!,$A90,#REF!)</f>
        <v>#REF!</v>
      </c>
      <c r="M90" s="5" t="e">
        <f>SUMIF(#REF!,Casilleros!$A90,#REF!)+SUMIF(#REF!,Casilleros!$A90,#REF!)+SUMIF(#REF!,$A90,#REF!)</f>
        <v>#REF!</v>
      </c>
      <c r="N90" s="5" t="e">
        <f>SUMIF(#REF!,$A90,#REF!)</f>
        <v>#REF!</v>
      </c>
      <c r="O90" s="5" t="e">
        <f>SUMIF(#REF!,$A90,#REF!)+SUMIF(#REF!,$A90,#REF!)</f>
        <v>#REF!</v>
      </c>
      <c r="P90" s="5">
        <f>IFERROR(VLOOKUP($A90,#REF!,2,FALSE),0)</f>
        <v>0</v>
      </c>
      <c r="Q90" s="42" t="e">
        <f t="shared" si="1"/>
        <v>#REF!</v>
      </c>
    </row>
    <row r="91" spans="1:17">
      <c r="A91" s="56" t="s">
        <v>214</v>
      </c>
      <c r="B91" s="7" t="s">
        <v>65</v>
      </c>
      <c r="C91" s="7" t="s">
        <v>66</v>
      </c>
      <c r="D91" s="7" t="s">
        <v>172</v>
      </c>
      <c r="E91" s="7" t="s">
        <v>173</v>
      </c>
      <c r="F91" s="7" t="s">
        <v>201</v>
      </c>
      <c r="G91" s="7" t="s">
        <v>213</v>
      </c>
      <c r="H91" s="7" t="s">
        <v>444</v>
      </c>
      <c r="I91" s="7" t="s">
        <v>1721</v>
      </c>
      <c r="J91" s="7" t="s">
        <v>873</v>
      </c>
      <c r="K91" s="5">
        <f>SUMIF(BC!$E$6:$E$347,$A91,BC!$K$6:$K$347)</f>
        <v>0</v>
      </c>
      <c r="L91" s="5" t="e">
        <f>SUMIF(#REF!,$A91,#REF!)+SUMIF(#REF!,$A91,#REF!)</f>
        <v>#REF!</v>
      </c>
      <c r="M91" s="5" t="e">
        <f>SUMIF(#REF!,Casilleros!$A91,#REF!)+SUMIF(#REF!,Casilleros!$A91,#REF!)+SUMIF(#REF!,$A91,#REF!)</f>
        <v>#REF!</v>
      </c>
      <c r="N91" s="5" t="e">
        <f>SUMIF(#REF!,$A91,#REF!)</f>
        <v>#REF!</v>
      </c>
      <c r="O91" s="5" t="e">
        <f>SUMIF(#REF!,$A91,#REF!)+SUMIF(#REF!,$A91,#REF!)</f>
        <v>#REF!</v>
      </c>
      <c r="P91" s="5">
        <f>IFERROR(VLOOKUP($A91,#REF!,2,FALSE),0)</f>
        <v>0</v>
      </c>
      <c r="Q91" s="42" t="e">
        <f t="shared" si="1"/>
        <v>#REF!</v>
      </c>
    </row>
    <row r="92" spans="1:17">
      <c r="A92" s="56" t="s">
        <v>217</v>
      </c>
      <c r="B92" s="7" t="s">
        <v>65</v>
      </c>
      <c r="C92" s="7" t="s">
        <v>66</v>
      </c>
      <c r="D92" s="7" t="s">
        <v>172</v>
      </c>
      <c r="E92" s="7" t="s">
        <v>173</v>
      </c>
      <c r="F92" s="7" t="s">
        <v>201</v>
      </c>
      <c r="G92" s="7" t="s">
        <v>215</v>
      </c>
      <c r="H92" s="7" t="s">
        <v>444</v>
      </c>
      <c r="I92" s="7" t="s">
        <v>1722</v>
      </c>
      <c r="J92" s="7" t="s">
        <v>873</v>
      </c>
      <c r="K92" s="5">
        <f>SUMIF(BC!$E$6:$E$347,$A92,BC!$K$6:$K$347)</f>
        <v>0</v>
      </c>
      <c r="L92" s="5" t="e">
        <f>SUMIF(#REF!,$A92,#REF!)+SUMIF(#REF!,$A92,#REF!)</f>
        <v>#REF!</v>
      </c>
      <c r="M92" s="5" t="e">
        <f>SUMIF(#REF!,Casilleros!$A92,#REF!)+SUMIF(#REF!,Casilleros!$A92,#REF!)+SUMIF(#REF!,$A92,#REF!)</f>
        <v>#REF!</v>
      </c>
      <c r="N92" s="5" t="e">
        <f>SUMIF(#REF!,$A92,#REF!)</f>
        <v>#REF!</v>
      </c>
      <c r="O92" s="5" t="e">
        <f>SUMIF(#REF!,$A92,#REF!)+SUMIF(#REF!,$A92,#REF!)</f>
        <v>#REF!</v>
      </c>
      <c r="P92" s="5">
        <f>IFERROR(VLOOKUP($A92,#REF!,2,FALSE),0)</f>
        <v>0</v>
      </c>
      <c r="Q92" s="42" t="e">
        <f t="shared" si="1"/>
        <v>#REF!</v>
      </c>
    </row>
    <row r="93" spans="1:17">
      <c r="A93" s="56" t="s">
        <v>219</v>
      </c>
      <c r="B93" s="7" t="s">
        <v>65</v>
      </c>
      <c r="C93" s="7" t="s">
        <v>66</v>
      </c>
      <c r="D93" s="7" t="s">
        <v>172</v>
      </c>
      <c r="E93" s="7" t="s">
        <v>173</v>
      </c>
      <c r="F93" s="7" t="s">
        <v>201</v>
      </c>
      <c r="G93" s="7" t="s">
        <v>122</v>
      </c>
      <c r="H93" s="7" t="s">
        <v>444</v>
      </c>
      <c r="I93" s="7" t="s">
        <v>1723</v>
      </c>
      <c r="J93" s="7" t="s">
        <v>873</v>
      </c>
      <c r="K93" s="5">
        <f>SUMIF(BC!$E$6:$E$347,$A93,BC!$K$6:$K$347)</f>
        <v>0</v>
      </c>
      <c r="L93" s="5" t="e">
        <f>SUMIF(#REF!,$A93,#REF!)+SUMIF(#REF!,$A93,#REF!)</f>
        <v>#REF!</v>
      </c>
      <c r="M93" s="5" t="e">
        <f>SUMIF(#REF!,Casilleros!$A93,#REF!)+SUMIF(#REF!,Casilleros!$A93,#REF!)+SUMIF(#REF!,$A93,#REF!)</f>
        <v>#REF!</v>
      </c>
      <c r="N93" s="5" t="e">
        <f>SUMIF(#REF!,$A93,#REF!)</f>
        <v>#REF!</v>
      </c>
      <c r="O93" s="5" t="e">
        <f>SUMIF(#REF!,$A93,#REF!)+SUMIF(#REF!,$A93,#REF!)</f>
        <v>#REF!</v>
      </c>
      <c r="P93" s="5">
        <f>IFERROR(VLOOKUP($A93,#REF!,2,FALSE),0)</f>
        <v>0</v>
      </c>
      <c r="Q93" s="42" t="e">
        <f t="shared" si="1"/>
        <v>#REF!</v>
      </c>
    </row>
    <row r="94" spans="1:17">
      <c r="A94" s="56" t="s">
        <v>221</v>
      </c>
      <c r="B94" s="7" t="s">
        <v>65</v>
      </c>
      <c r="C94" s="7" t="s">
        <v>66</v>
      </c>
      <c r="D94" s="7" t="s">
        <v>172</v>
      </c>
      <c r="E94" s="7" t="s">
        <v>173</v>
      </c>
      <c r="F94" s="7" t="s">
        <v>220</v>
      </c>
      <c r="G94" s="7" t="s">
        <v>444</v>
      </c>
      <c r="H94" s="7" t="s">
        <v>444</v>
      </c>
      <c r="I94" s="7" t="s">
        <v>1724</v>
      </c>
      <c r="J94" s="7" t="s">
        <v>873</v>
      </c>
      <c r="K94" s="5">
        <f>SUMIF(BC!$E$6:$E$347,$A94,BC!$K$6:$K$347)</f>
        <v>0</v>
      </c>
      <c r="L94" s="5" t="e">
        <f>SUMIF(#REF!,$A94,#REF!)+SUMIF(#REF!,$A94,#REF!)</f>
        <v>#REF!</v>
      </c>
      <c r="M94" s="5" t="e">
        <f>SUMIF(#REF!,Casilleros!$A94,#REF!)+SUMIF(#REF!,Casilleros!$A94,#REF!)+SUMIF(#REF!,$A94,#REF!)</f>
        <v>#REF!</v>
      </c>
      <c r="N94" s="5" t="e">
        <f>SUMIF(#REF!,$A94,#REF!)</f>
        <v>#REF!</v>
      </c>
      <c r="O94" s="5" t="e">
        <f>SUMIF(#REF!,$A94,#REF!)+SUMIF(#REF!,$A94,#REF!)</f>
        <v>#REF!</v>
      </c>
      <c r="P94" s="5">
        <f>IFERROR(VLOOKUP($A94,#REF!,2,FALSE),0)</f>
        <v>0</v>
      </c>
      <c r="Q94" s="42" t="e">
        <f t="shared" si="1"/>
        <v>#REF!</v>
      </c>
    </row>
    <row r="95" spans="1:17">
      <c r="A95" s="56" t="s">
        <v>224</v>
      </c>
      <c r="B95" s="7" t="s">
        <v>65</v>
      </c>
      <c r="C95" s="7" t="s">
        <v>66</v>
      </c>
      <c r="D95" s="7" t="s">
        <v>172</v>
      </c>
      <c r="E95" s="7" t="s">
        <v>173</v>
      </c>
      <c r="F95" s="7" t="s">
        <v>222</v>
      </c>
      <c r="G95" s="7" t="s">
        <v>223</v>
      </c>
      <c r="H95" s="7" t="s">
        <v>444</v>
      </c>
      <c r="I95" s="7" t="s">
        <v>1725</v>
      </c>
      <c r="J95" s="7" t="s">
        <v>873</v>
      </c>
      <c r="K95" s="5" t="e">
        <f>SUMIF(BC!$E$6:$E$347,$A95,BC!$K$6:$K$347)</f>
        <v>#REF!</v>
      </c>
      <c r="L95" s="5" t="e">
        <f>SUMIF(#REF!,$A95,#REF!)+SUMIF(#REF!,$A95,#REF!)</f>
        <v>#REF!</v>
      </c>
      <c r="M95" s="5" t="e">
        <f>SUMIF(#REF!,Casilleros!$A95,#REF!)+SUMIF(#REF!,Casilleros!$A95,#REF!)+SUMIF(#REF!,$A95,#REF!)</f>
        <v>#REF!</v>
      </c>
      <c r="N95" s="5" t="e">
        <f>SUMIF(#REF!,$A95,#REF!)</f>
        <v>#REF!</v>
      </c>
      <c r="O95" s="5" t="e">
        <f>SUMIF(#REF!,$A95,#REF!)+SUMIF(#REF!,$A95,#REF!)</f>
        <v>#REF!</v>
      </c>
      <c r="P95" s="5">
        <f>IFERROR(VLOOKUP($A95,#REF!,2,FALSE),0)</f>
        <v>0</v>
      </c>
      <c r="Q95" s="42" t="e">
        <f t="shared" si="1"/>
        <v>#REF!</v>
      </c>
    </row>
    <row r="96" spans="1:17">
      <c r="A96" s="56" t="s">
        <v>226</v>
      </c>
      <c r="B96" s="7" t="s">
        <v>65</v>
      </c>
      <c r="C96" s="7" t="s">
        <v>66</v>
      </c>
      <c r="D96" s="7" t="s">
        <v>172</v>
      </c>
      <c r="E96" s="7" t="s">
        <v>173</v>
      </c>
      <c r="F96" s="7" t="s">
        <v>222</v>
      </c>
      <c r="G96" s="7" t="s">
        <v>225</v>
      </c>
      <c r="H96" s="7" t="s">
        <v>444</v>
      </c>
      <c r="I96" s="7" t="s">
        <v>1726</v>
      </c>
      <c r="J96" s="7" t="s">
        <v>873</v>
      </c>
      <c r="K96" s="5" t="e">
        <f>SUMIF(BC!$E$6:$E$347,$A96,BC!$K$6:$K$347)</f>
        <v>#REF!</v>
      </c>
      <c r="L96" s="5" t="e">
        <f>SUMIF(#REF!,$A96,#REF!)+SUMIF(#REF!,$A96,#REF!)</f>
        <v>#REF!</v>
      </c>
      <c r="M96" s="5" t="e">
        <f>SUMIF(#REF!,Casilleros!$A96,#REF!)+SUMIF(#REF!,Casilleros!$A96,#REF!)+SUMIF(#REF!,$A96,#REF!)</f>
        <v>#REF!</v>
      </c>
      <c r="N96" s="5" t="e">
        <f>SUMIF(#REF!,$A96,#REF!)</f>
        <v>#REF!</v>
      </c>
      <c r="O96" s="5" t="e">
        <f>SUMIF(#REF!,$A96,#REF!)+SUMIF(#REF!,$A96,#REF!)</f>
        <v>#REF!</v>
      </c>
      <c r="P96" s="5">
        <f>IFERROR(VLOOKUP($A96,#REF!,2,FALSE),0)</f>
        <v>0</v>
      </c>
      <c r="Q96" s="42" t="e">
        <f t="shared" si="1"/>
        <v>#REF!</v>
      </c>
    </row>
    <row r="97" spans="1:17">
      <c r="A97" s="56" t="s">
        <v>228</v>
      </c>
      <c r="B97" s="7" t="s">
        <v>65</v>
      </c>
      <c r="C97" s="7" t="s">
        <v>66</v>
      </c>
      <c r="D97" s="7" t="s">
        <v>172</v>
      </c>
      <c r="E97" s="7" t="s">
        <v>173</v>
      </c>
      <c r="F97" s="7" t="s">
        <v>227</v>
      </c>
      <c r="G97" s="7" t="s">
        <v>444</v>
      </c>
      <c r="H97" s="7" t="s">
        <v>444</v>
      </c>
      <c r="I97" s="7" t="s">
        <v>1727</v>
      </c>
      <c r="J97" s="7" t="s">
        <v>873</v>
      </c>
      <c r="K97" s="5">
        <f>SUMIF(BC!$E$6:$E$347,$A97,BC!$K$6:$K$347)</f>
        <v>0</v>
      </c>
      <c r="L97" s="5" t="e">
        <f>SUMIF(#REF!,$A97,#REF!)+SUMIF(#REF!,$A97,#REF!)</f>
        <v>#REF!</v>
      </c>
      <c r="M97" s="5" t="e">
        <f>SUMIF(#REF!,Casilleros!$A97,#REF!)+SUMIF(#REF!,Casilleros!$A97,#REF!)+SUMIF(#REF!,$A97,#REF!)</f>
        <v>#REF!</v>
      </c>
      <c r="N97" s="5" t="e">
        <f>SUMIF(#REF!,$A97,#REF!)</f>
        <v>#REF!</v>
      </c>
      <c r="O97" s="5" t="e">
        <f>SUMIF(#REF!,$A97,#REF!)+SUMIF(#REF!,$A97,#REF!)</f>
        <v>#REF!</v>
      </c>
      <c r="P97" s="5">
        <f>IFERROR(VLOOKUP($A97,#REF!,2,FALSE),0)</f>
        <v>0</v>
      </c>
      <c r="Q97" s="42" t="e">
        <f t="shared" si="1"/>
        <v>#REF!</v>
      </c>
    </row>
    <row r="98" spans="1:17">
      <c r="A98" s="56" t="s">
        <v>231</v>
      </c>
      <c r="B98" s="7" t="s">
        <v>65</v>
      </c>
      <c r="C98" s="7" t="s">
        <v>66</v>
      </c>
      <c r="D98" s="7" t="s">
        <v>172</v>
      </c>
      <c r="E98" s="7" t="s">
        <v>229</v>
      </c>
      <c r="F98" s="7" t="s">
        <v>230</v>
      </c>
      <c r="G98" s="7" t="s">
        <v>444</v>
      </c>
      <c r="H98" s="7" t="s">
        <v>444</v>
      </c>
      <c r="I98" s="7" t="s">
        <v>1728</v>
      </c>
      <c r="J98" s="3" t="s">
        <v>541</v>
      </c>
      <c r="K98" s="5">
        <f>SUMIF(BC!$E$6:$E$347,$A98,BC!$K$6:$K$347)</f>
        <v>0</v>
      </c>
      <c r="L98" s="5" t="e">
        <f>SUMIF(#REF!,$A98,#REF!)+SUMIF(#REF!,$A98,#REF!)</f>
        <v>#REF!</v>
      </c>
      <c r="M98" s="5" t="e">
        <f>SUMIF(#REF!,Casilleros!$A98,#REF!)+SUMIF(#REF!,Casilleros!$A98,#REF!)+SUMIF(#REF!,$A98,#REF!)</f>
        <v>#REF!</v>
      </c>
      <c r="N98" s="5" t="e">
        <f>SUMIF(#REF!,$A98,#REF!)</f>
        <v>#REF!</v>
      </c>
      <c r="O98" s="5" t="e">
        <f>SUMIF(#REF!,$A98,#REF!)+SUMIF(#REF!,$A98,#REF!)</f>
        <v>#REF!</v>
      </c>
      <c r="P98" s="5">
        <f>IFERROR(VLOOKUP($A98,#REF!,2,FALSE),0)</f>
        <v>0</v>
      </c>
      <c r="Q98" s="42" t="e">
        <f t="shared" si="1"/>
        <v>#REF!</v>
      </c>
    </row>
    <row r="99" spans="1:17">
      <c r="A99" s="56" t="s">
        <v>233</v>
      </c>
      <c r="B99" s="7" t="s">
        <v>65</v>
      </c>
      <c r="C99" s="7" t="s">
        <v>66</v>
      </c>
      <c r="D99" s="7" t="s">
        <v>172</v>
      </c>
      <c r="E99" s="7" t="s">
        <v>229</v>
      </c>
      <c r="F99" s="7" t="s">
        <v>232</v>
      </c>
      <c r="G99" s="7" t="s">
        <v>444</v>
      </c>
      <c r="H99" s="7" t="s">
        <v>444</v>
      </c>
      <c r="I99" s="7" t="s">
        <v>1729</v>
      </c>
      <c r="J99" s="3" t="s">
        <v>541</v>
      </c>
      <c r="K99" s="5">
        <f>SUMIF(BC!$E$6:$E$347,$A99,BC!$K$6:$K$347)</f>
        <v>0</v>
      </c>
      <c r="L99" s="5" t="e">
        <f>SUMIF(#REF!,$A99,#REF!)+SUMIF(#REF!,$A99,#REF!)</f>
        <v>#REF!</v>
      </c>
      <c r="M99" s="5" t="e">
        <f>SUMIF(#REF!,Casilleros!$A99,#REF!)+SUMIF(#REF!,Casilleros!$A99,#REF!)+SUMIF(#REF!,$A99,#REF!)</f>
        <v>#REF!</v>
      </c>
      <c r="N99" s="5" t="e">
        <f>SUMIF(#REF!,$A99,#REF!)</f>
        <v>#REF!</v>
      </c>
      <c r="O99" s="5" t="e">
        <f>SUMIF(#REF!,$A99,#REF!)+SUMIF(#REF!,$A99,#REF!)</f>
        <v>#REF!</v>
      </c>
      <c r="P99" s="5">
        <f>IFERROR(VLOOKUP($A99,#REF!,2,FALSE),0)</f>
        <v>0</v>
      </c>
      <c r="Q99" s="42" t="e">
        <f t="shared" si="1"/>
        <v>#REF!</v>
      </c>
    </row>
    <row r="100" spans="1:17">
      <c r="A100" s="56" t="s">
        <v>235</v>
      </c>
      <c r="B100" s="7" t="s">
        <v>65</v>
      </c>
      <c r="C100" s="7" t="s">
        <v>66</v>
      </c>
      <c r="D100" s="7" t="s">
        <v>172</v>
      </c>
      <c r="E100" s="7" t="s">
        <v>229</v>
      </c>
      <c r="F100" s="7" t="s">
        <v>234</v>
      </c>
      <c r="G100" s="7" t="s">
        <v>444</v>
      </c>
      <c r="H100" s="7" t="s">
        <v>444</v>
      </c>
      <c r="I100" s="7" t="s">
        <v>1730</v>
      </c>
      <c r="J100" s="3" t="s">
        <v>541</v>
      </c>
      <c r="K100" s="5">
        <f>SUMIF(BC!$E$6:$E$347,$A100,BC!$K$6:$K$347)</f>
        <v>0</v>
      </c>
      <c r="L100" s="5" t="e">
        <f>SUMIF(#REF!,$A100,#REF!)+SUMIF(#REF!,$A100,#REF!)</f>
        <v>#REF!</v>
      </c>
      <c r="M100" s="5" t="e">
        <f>SUMIF(#REF!,Casilleros!$A100,#REF!)+SUMIF(#REF!,Casilleros!$A100,#REF!)+SUMIF(#REF!,$A100,#REF!)</f>
        <v>#REF!</v>
      </c>
      <c r="N100" s="5" t="e">
        <f>SUMIF(#REF!,$A100,#REF!)</f>
        <v>#REF!</v>
      </c>
      <c r="O100" s="5" t="e">
        <f>SUMIF(#REF!,$A100,#REF!)+SUMIF(#REF!,$A100,#REF!)</f>
        <v>#REF!</v>
      </c>
      <c r="P100" s="5">
        <f>IFERROR(VLOOKUP($A100,#REF!,2,FALSE),0)</f>
        <v>0</v>
      </c>
      <c r="Q100" s="42" t="e">
        <f t="shared" si="1"/>
        <v>#REF!</v>
      </c>
    </row>
    <row r="101" spans="1:17">
      <c r="A101" s="56" t="s">
        <v>237</v>
      </c>
      <c r="B101" s="7" t="s">
        <v>65</v>
      </c>
      <c r="C101" s="7" t="s">
        <v>66</v>
      </c>
      <c r="D101" s="7" t="s">
        <v>172</v>
      </c>
      <c r="E101" s="7" t="s">
        <v>229</v>
      </c>
      <c r="F101" s="7" t="s">
        <v>236</v>
      </c>
      <c r="G101" s="7" t="s">
        <v>444</v>
      </c>
      <c r="H101" s="7" t="s">
        <v>444</v>
      </c>
      <c r="I101" s="7" t="s">
        <v>1731</v>
      </c>
      <c r="J101" s="3" t="s">
        <v>541</v>
      </c>
      <c r="K101" s="5">
        <f>SUMIF(BC!$E$6:$E$347,$A101,BC!$K$6:$K$347)</f>
        <v>0</v>
      </c>
      <c r="L101" s="5" t="e">
        <f>SUMIF(#REF!,$A101,#REF!)+SUMIF(#REF!,$A101,#REF!)</f>
        <v>#REF!</v>
      </c>
      <c r="M101" s="5" t="e">
        <f>SUMIF(#REF!,Casilleros!$A101,#REF!)+SUMIF(#REF!,Casilleros!$A101,#REF!)+SUMIF(#REF!,$A101,#REF!)</f>
        <v>#REF!</v>
      </c>
      <c r="N101" s="5" t="e">
        <f>SUMIF(#REF!,$A101,#REF!)</f>
        <v>#REF!</v>
      </c>
      <c r="O101" s="5" t="e">
        <f>SUMIF(#REF!,$A101,#REF!)+SUMIF(#REF!,$A101,#REF!)</f>
        <v>#REF!</v>
      </c>
      <c r="P101" s="5">
        <f>IFERROR(VLOOKUP($A101,#REF!,2,FALSE),0)</f>
        <v>0</v>
      </c>
      <c r="Q101" s="42" t="e">
        <f t="shared" si="1"/>
        <v>#REF!</v>
      </c>
    </row>
    <row r="102" spans="1:17">
      <c r="A102" s="56" t="s">
        <v>238</v>
      </c>
      <c r="B102" s="7" t="s">
        <v>65</v>
      </c>
      <c r="C102" s="7" t="s">
        <v>66</v>
      </c>
      <c r="D102" s="7" t="s">
        <v>172</v>
      </c>
      <c r="E102" s="7" t="s">
        <v>229</v>
      </c>
      <c r="F102" s="7" t="s">
        <v>122</v>
      </c>
      <c r="G102" s="7" t="s">
        <v>444</v>
      </c>
      <c r="H102" s="7" t="s">
        <v>444</v>
      </c>
      <c r="I102" s="7" t="s">
        <v>1732</v>
      </c>
      <c r="J102" s="3" t="s">
        <v>541</v>
      </c>
      <c r="K102" s="5">
        <f>SUMIF(BC!$E$6:$E$347,$A102,BC!$K$6:$K$347)</f>
        <v>0</v>
      </c>
      <c r="L102" s="5" t="e">
        <f>SUMIF(#REF!,$A102,#REF!)+SUMIF(#REF!,$A102,#REF!)</f>
        <v>#REF!</v>
      </c>
      <c r="M102" s="5" t="e">
        <f>SUMIF(#REF!,Casilleros!$A102,#REF!)+SUMIF(#REF!,Casilleros!$A102,#REF!)+SUMIF(#REF!,$A102,#REF!)</f>
        <v>#REF!</v>
      </c>
      <c r="N102" s="5" t="e">
        <f>SUMIF(#REF!,$A102,#REF!)</f>
        <v>#REF!</v>
      </c>
      <c r="O102" s="5" t="e">
        <f>SUMIF(#REF!,$A102,#REF!)+SUMIF(#REF!,$A102,#REF!)</f>
        <v>#REF!</v>
      </c>
      <c r="P102" s="5">
        <f>IFERROR(VLOOKUP($A102,#REF!,2,FALSE),0)</f>
        <v>0</v>
      </c>
      <c r="Q102" s="42" t="e">
        <f t="shared" si="1"/>
        <v>#REF!</v>
      </c>
    </row>
    <row r="103" spans="1:17">
      <c r="A103" s="56" t="s">
        <v>240</v>
      </c>
      <c r="B103" s="7" t="s">
        <v>65</v>
      </c>
      <c r="C103" s="7" t="s">
        <v>66</v>
      </c>
      <c r="D103" s="7" t="s">
        <v>172</v>
      </c>
      <c r="E103" s="7" t="s">
        <v>229</v>
      </c>
      <c r="F103" s="7" t="s">
        <v>239</v>
      </c>
      <c r="G103" s="7" t="s">
        <v>444</v>
      </c>
      <c r="H103" s="7" t="s">
        <v>444</v>
      </c>
      <c r="I103" s="7" t="s">
        <v>1733</v>
      </c>
      <c r="J103" s="3" t="s">
        <v>541</v>
      </c>
      <c r="K103" s="5">
        <f>SUMIF(BC!$E$6:$E$347,$A103,BC!$K$6:$K$347)</f>
        <v>0</v>
      </c>
      <c r="L103" s="5" t="e">
        <f>SUMIF(#REF!,$A103,#REF!)+SUMIF(#REF!,$A103,#REF!)</f>
        <v>#REF!</v>
      </c>
      <c r="M103" s="5" t="e">
        <f>SUMIF(#REF!,Casilleros!$A103,#REF!)+SUMIF(#REF!,Casilleros!$A103,#REF!)+SUMIF(#REF!,$A103,#REF!)</f>
        <v>#REF!</v>
      </c>
      <c r="N103" s="5" t="e">
        <f>SUMIF(#REF!,$A103,#REF!)</f>
        <v>#REF!</v>
      </c>
      <c r="O103" s="5" t="e">
        <f>SUMIF(#REF!,$A103,#REF!)+SUMIF(#REF!,$A103,#REF!)</f>
        <v>#REF!</v>
      </c>
      <c r="P103" s="5">
        <f>IFERROR(VLOOKUP($A103,#REF!,2,FALSE),0)</f>
        <v>0</v>
      </c>
      <c r="Q103" s="42" t="e">
        <f t="shared" si="1"/>
        <v>#REF!</v>
      </c>
    </row>
    <row r="104" spans="1:17">
      <c r="A104" s="56" t="s">
        <v>242</v>
      </c>
      <c r="B104" s="7" t="s">
        <v>65</v>
      </c>
      <c r="C104" s="7" t="s">
        <v>66</v>
      </c>
      <c r="D104" s="7" t="s">
        <v>172</v>
      </c>
      <c r="E104" s="7" t="s">
        <v>229</v>
      </c>
      <c r="F104" s="7" t="s">
        <v>241</v>
      </c>
      <c r="G104" s="7" t="s">
        <v>444</v>
      </c>
      <c r="H104" s="7" t="s">
        <v>444</v>
      </c>
      <c r="I104" s="7" t="s">
        <v>1734</v>
      </c>
      <c r="J104" s="3" t="s">
        <v>541</v>
      </c>
      <c r="K104" s="5">
        <f>SUMIF(BC!$E$6:$E$347,$A104,BC!$K$6:$K$347)</f>
        <v>0</v>
      </c>
      <c r="L104" s="5" t="e">
        <f>SUMIF(#REF!,$A104,#REF!)+SUMIF(#REF!,$A104,#REF!)</f>
        <v>#REF!</v>
      </c>
      <c r="M104" s="5" t="e">
        <f>SUMIF(#REF!,Casilleros!$A104,#REF!)+SUMIF(#REF!,Casilleros!$A104,#REF!)+SUMIF(#REF!,$A104,#REF!)</f>
        <v>#REF!</v>
      </c>
      <c r="N104" s="5" t="e">
        <f>SUMIF(#REF!,$A104,#REF!)</f>
        <v>#REF!</v>
      </c>
      <c r="O104" s="5" t="e">
        <f>SUMIF(#REF!,$A104,#REF!)+SUMIF(#REF!,$A104,#REF!)</f>
        <v>#REF!</v>
      </c>
      <c r="P104" s="5">
        <f>IFERROR(VLOOKUP($A104,#REF!,2,FALSE),0)</f>
        <v>0</v>
      </c>
      <c r="Q104" s="42" t="e">
        <f t="shared" si="1"/>
        <v>#REF!</v>
      </c>
    </row>
    <row r="105" spans="1:17">
      <c r="A105" s="56" t="s">
        <v>244</v>
      </c>
      <c r="B105" s="7" t="s">
        <v>65</v>
      </c>
      <c r="C105" s="7" t="s">
        <v>66</v>
      </c>
      <c r="D105" s="7" t="s">
        <v>172</v>
      </c>
      <c r="E105" s="7" t="s">
        <v>243</v>
      </c>
      <c r="F105" s="7" t="s">
        <v>174</v>
      </c>
      <c r="G105" s="7" t="s">
        <v>150</v>
      </c>
      <c r="H105" s="7" t="s">
        <v>444</v>
      </c>
      <c r="I105" s="7" t="s">
        <v>1735</v>
      </c>
      <c r="J105" s="3" t="s">
        <v>877</v>
      </c>
      <c r="K105" s="5">
        <f>SUMIF(BC!$E$6:$E$347,$A105,BC!$K$6:$K$347)</f>
        <v>0</v>
      </c>
      <c r="L105" s="5" t="e">
        <f>SUMIF(#REF!,$A105,#REF!)+SUMIF(#REF!,$A105,#REF!)</f>
        <v>#REF!</v>
      </c>
      <c r="M105" s="5" t="e">
        <f>SUMIF(#REF!,Casilleros!$A105,#REF!)+SUMIF(#REF!,Casilleros!$A105,#REF!)+SUMIF(#REF!,$A105,#REF!)</f>
        <v>#REF!</v>
      </c>
      <c r="N105" s="5" t="e">
        <f>SUMIF(#REF!,$A105,#REF!)</f>
        <v>#REF!</v>
      </c>
      <c r="O105" s="5" t="e">
        <f>SUMIF(#REF!,$A105,#REF!)+SUMIF(#REF!,$A105,#REF!)</f>
        <v>#REF!</v>
      </c>
      <c r="P105" s="5">
        <f>IFERROR(VLOOKUP($A105,#REF!,2,FALSE),0)</f>
        <v>0</v>
      </c>
      <c r="Q105" s="42" t="e">
        <f t="shared" si="1"/>
        <v>#REF!</v>
      </c>
    </row>
    <row r="106" spans="1:17">
      <c r="A106" s="56" t="s">
        <v>245</v>
      </c>
      <c r="B106" s="7" t="s">
        <v>65</v>
      </c>
      <c r="C106" s="7" t="s">
        <v>66</v>
      </c>
      <c r="D106" s="7" t="s">
        <v>172</v>
      </c>
      <c r="E106" s="7" t="s">
        <v>243</v>
      </c>
      <c r="F106" s="7" t="s">
        <v>174</v>
      </c>
      <c r="G106" s="7" t="s">
        <v>105</v>
      </c>
      <c r="H106" s="7" t="s">
        <v>444</v>
      </c>
      <c r="I106" s="7" t="s">
        <v>1736</v>
      </c>
      <c r="J106" s="3" t="s">
        <v>877</v>
      </c>
      <c r="K106" s="5">
        <f>SUMIF(BC!$E$6:$E$347,$A106,BC!$K$6:$K$347)</f>
        <v>0</v>
      </c>
      <c r="L106" s="5" t="e">
        <f>SUMIF(#REF!,$A106,#REF!)+SUMIF(#REF!,$A106,#REF!)</f>
        <v>#REF!</v>
      </c>
      <c r="M106" s="5" t="e">
        <f>SUMIF(#REF!,Casilleros!$A106,#REF!)+SUMIF(#REF!,Casilleros!$A106,#REF!)+SUMIF(#REF!,$A106,#REF!)</f>
        <v>#REF!</v>
      </c>
      <c r="N106" s="5" t="e">
        <f>SUMIF(#REF!,$A106,#REF!)</f>
        <v>#REF!</v>
      </c>
      <c r="O106" s="5" t="e">
        <f>SUMIF(#REF!,$A106,#REF!)+SUMIF(#REF!,$A106,#REF!)</f>
        <v>#REF!</v>
      </c>
      <c r="P106" s="5">
        <f>IFERROR(VLOOKUP($A106,#REF!,2,FALSE),0)</f>
        <v>0</v>
      </c>
      <c r="Q106" s="42" t="e">
        <f t="shared" si="1"/>
        <v>#REF!</v>
      </c>
    </row>
    <row r="107" spans="1:17">
      <c r="A107" s="56" t="s">
        <v>247</v>
      </c>
      <c r="B107" s="7" t="s">
        <v>65</v>
      </c>
      <c r="C107" s="7" t="s">
        <v>66</v>
      </c>
      <c r="D107" s="7" t="s">
        <v>172</v>
      </c>
      <c r="E107" s="7" t="s">
        <v>243</v>
      </c>
      <c r="F107" s="7" t="s">
        <v>246</v>
      </c>
      <c r="G107" s="7" t="s">
        <v>150</v>
      </c>
      <c r="H107" s="7" t="s">
        <v>444</v>
      </c>
      <c r="I107" s="7" t="s">
        <v>1737</v>
      </c>
      <c r="J107" s="3" t="s">
        <v>877</v>
      </c>
      <c r="K107" s="5">
        <f>SUMIF(BC!$E$6:$E$347,$A107,BC!$K$6:$K$347)</f>
        <v>0</v>
      </c>
      <c r="L107" s="5" t="e">
        <f>SUMIF(#REF!,$A107,#REF!)+SUMIF(#REF!,$A107,#REF!)</f>
        <v>#REF!</v>
      </c>
      <c r="M107" s="5" t="e">
        <f>SUMIF(#REF!,Casilleros!$A107,#REF!)+SUMIF(#REF!,Casilleros!$A107,#REF!)+SUMIF(#REF!,$A107,#REF!)</f>
        <v>#REF!</v>
      </c>
      <c r="N107" s="5" t="e">
        <f>SUMIF(#REF!,$A107,#REF!)</f>
        <v>#REF!</v>
      </c>
      <c r="O107" s="5" t="e">
        <f>SUMIF(#REF!,$A107,#REF!)+SUMIF(#REF!,$A107,#REF!)</f>
        <v>#REF!</v>
      </c>
      <c r="P107" s="5">
        <f>IFERROR(VLOOKUP($A107,#REF!,2,FALSE),0)</f>
        <v>0</v>
      </c>
      <c r="Q107" s="42" t="e">
        <f t="shared" si="1"/>
        <v>#REF!</v>
      </c>
    </row>
    <row r="108" spans="1:17">
      <c r="A108" s="56" t="s">
        <v>248</v>
      </c>
      <c r="B108" s="7" t="s">
        <v>65</v>
      </c>
      <c r="C108" s="7" t="s">
        <v>66</v>
      </c>
      <c r="D108" s="7" t="s">
        <v>172</v>
      </c>
      <c r="E108" s="7" t="s">
        <v>243</v>
      </c>
      <c r="F108" s="7" t="s">
        <v>246</v>
      </c>
      <c r="G108" s="7" t="s">
        <v>105</v>
      </c>
      <c r="H108" s="7" t="s">
        <v>444</v>
      </c>
      <c r="I108" s="7" t="s">
        <v>1738</v>
      </c>
      <c r="J108" s="3" t="s">
        <v>877</v>
      </c>
      <c r="K108" s="5">
        <f>SUMIF(BC!$E$6:$E$347,$A108,BC!$K$6:$K$347)</f>
        <v>0</v>
      </c>
      <c r="L108" s="5" t="e">
        <f>SUMIF(#REF!,$A108,#REF!)+SUMIF(#REF!,$A108,#REF!)</f>
        <v>#REF!</v>
      </c>
      <c r="M108" s="5" t="e">
        <f>SUMIF(#REF!,Casilleros!$A108,#REF!)+SUMIF(#REF!,Casilleros!$A108,#REF!)+SUMIF(#REF!,$A108,#REF!)</f>
        <v>#REF!</v>
      </c>
      <c r="N108" s="5" t="e">
        <f>SUMIF(#REF!,$A108,#REF!)</f>
        <v>#REF!</v>
      </c>
      <c r="O108" s="5" t="e">
        <f>SUMIF(#REF!,$A108,#REF!)+SUMIF(#REF!,$A108,#REF!)</f>
        <v>#REF!</v>
      </c>
      <c r="P108" s="5">
        <f>IFERROR(VLOOKUP($A108,#REF!,2,FALSE),0)</f>
        <v>0</v>
      </c>
      <c r="Q108" s="42" t="e">
        <f t="shared" si="1"/>
        <v>#REF!</v>
      </c>
    </row>
    <row r="109" spans="1:17">
      <c r="A109" s="56" t="s">
        <v>250</v>
      </c>
      <c r="B109" s="7" t="s">
        <v>65</v>
      </c>
      <c r="C109" s="7" t="s">
        <v>66</v>
      </c>
      <c r="D109" s="7" t="s">
        <v>172</v>
      </c>
      <c r="E109" s="7" t="s">
        <v>243</v>
      </c>
      <c r="F109" s="7" t="s">
        <v>249</v>
      </c>
      <c r="G109" s="7" t="s">
        <v>444</v>
      </c>
      <c r="H109" s="7" t="s">
        <v>444</v>
      </c>
      <c r="I109" s="7" t="s">
        <v>1739</v>
      </c>
      <c r="J109" s="3" t="s">
        <v>877</v>
      </c>
      <c r="K109" s="5">
        <f>SUMIF(BC!$E$6:$E$347,$A109,BC!$K$6:$K$347)</f>
        <v>0</v>
      </c>
      <c r="L109" s="5" t="e">
        <f>SUMIF(#REF!,$A109,#REF!)+SUMIF(#REF!,$A109,#REF!)</f>
        <v>#REF!</v>
      </c>
      <c r="M109" s="5" t="e">
        <f>SUMIF(#REF!,Casilleros!$A109,#REF!)+SUMIF(#REF!,Casilleros!$A109,#REF!)+SUMIF(#REF!,$A109,#REF!)</f>
        <v>#REF!</v>
      </c>
      <c r="N109" s="5" t="e">
        <f>SUMIF(#REF!,$A109,#REF!)</f>
        <v>#REF!</v>
      </c>
      <c r="O109" s="5" t="e">
        <f>SUMIF(#REF!,$A109,#REF!)+SUMIF(#REF!,$A109,#REF!)</f>
        <v>#REF!</v>
      </c>
      <c r="P109" s="5">
        <f>IFERROR(VLOOKUP($A109,#REF!,2,FALSE),0)</f>
        <v>0</v>
      </c>
      <c r="Q109" s="42" t="e">
        <f t="shared" si="1"/>
        <v>#REF!</v>
      </c>
    </row>
    <row r="110" spans="1:17">
      <c r="A110" s="56" t="s">
        <v>252</v>
      </c>
      <c r="B110" s="7" t="s">
        <v>65</v>
      </c>
      <c r="C110" s="7" t="s">
        <v>66</v>
      </c>
      <c r="D110" s="7" t="s">
        <v>172</v>
      </c>
      <c r="E110" s="7" t="s">
        <v>243</v>
      </c>
      <c r="F110" s="7" t="s">
        <v>251</v>
      </c>
      <c r="G110" s="7" t="s">
        <v>444</v>
      </c>
      <c r="H110" s="7" t="s">
        <v>444</v>
      </c>
      <c r="I110" s="7" t="s">
        <v>1740</v>
      </c>
      <c r="J110" s="3" t="s">
        <v>877</v>
      </c>
      <c r="K110" s="5">
        <f>SUMIF(BC!$E$6:$E$347,$A110,BC!$K$6:$K$347)</f>
        <v>0</v>
      </c>
      <c r="L110" s="5" t="e">
        <f>SUMIF(#REF!,$A110,#REF!)+SUMIF(#REF!,$A110,#REF!)</f>
        <v>#REF!</v>
      </c>
      <c r="M110" s="5" t="e">
        <f>SUMIF(#REF!,Casilleros!$A110,#REF!)+SUMIF(#REF!,Casilleros!$A110,#REF!)+SUMIF(#REF!,$A110,#REF!)</f>
        <v>#REF!</v>
      </c>
      <c r="N110" s="5" t="e">
        <f>SUMIF(#REF!,$A110,#REF!)</f>
        <v>#REF!</v>
      </c>
      <c r="O110" s="5" t="e">
        <f>SUMIF(#REF!,$A110,#REF!)+SUMIF(#REF!,$A110,#REF!)</f>
        <v>#REF!</v>
      </c>
      <c r="P110" s="5">
        <f>IFERROR(VLOOKUP($A110,#REF!,2,FALSE),0)</f>
        <v>0</v>
      </c>
      <c r="Q110" s="42" t="e">
        <f t="shared" si="1"/>
        <v>#REF!</v>
      </c>
    </row>
    <row r="111" spans="1:17">
      <c r="A111" s="56" t="s">
        <v>253</v>
      </c>
      <c r="B111" s="7" t="s">
        <v>65</v>
      </c>
      <c r="C111" s="7" t="s">
        <v>66</v>
      </c>
      <c r="D111" s="7" t="s">
        <v>172</v>
      </c>
      <c r="E111" s="7" t="s">
        <v>148</v>
      </c>
      <c r="F111" s="7" t="s">
        <v>149</v>
      </c>
      <c r="G111" s="7" t="s">
        <v>150</v>
      </c>
      <c r="H111" s="7" t="s">
        <v>444</v>
      </c>
      <c r="I111" s="7" t="s">
        <v>1692</v>
      </c>
      <c r="J111" s="3" t="s">
        <v>2223</v>
      </c>
      <c r="K111" s="5">
        <f>SUMIF(BC!$E$6:$E$347,$A111,BC!$K$6:$K$347)</f>
        <v>0</v>
      </c>
      <c r="L111" s="5" t="e">
        <f>SUMIF(#REF!,$A111,#REF!)+SUMIF(#REF!,$A111,#REF!)</f>
        <v>#REF!</v>
      </c>
      <c r="M111" s="5" t="e">
        <f>SUMIF(#REF!,Casilleros!$A111,#REF!)+SUMIF(#REF!,Casilleros!$A111,#REF!)+SUMIF(#REF!,$A111,#REF!)</f>
        <v>#REF!</v>
      </c>
      <c r="N111" s="5" t="e">
        <f>SUMIF(#REF!,$A111,#REF!)</f>
        <v>#REF!</v>
      </c>
      <c r="O111" s="5" t="e">
        <f>SUMIF(#REF!,$A111,#REF!)+SUMIF(#REF!,$A111,#REF!)</f>
        <v>#REF!</v>
      </c>
      <c r="P111" s="5">
        <f>IFERROR(VLOOKUP($A111,#REF!,2,FALSE),0)</f>
        <v>0</v>
      </c>
      <c r="Q111" s="42" t="e">
        <f t="shared" si="1"/>
        <v>#REF!</v>
      </c>
    </row>
    <row r="112" spans="1:17">
      <c r="A112" s="56" t="s">
        <v>255</v>
      </c>
      <c r="B112" s="7" t="s">
        <v>65</v>
      </c>
      <c r="C112" s="7" t="s">
        <v>66</v>
      </c>
      <c r="D112" s="7" t="s">
        <v>172</v>
      </c>
      <c r="E112" s="7" t="s">
        <v>148</v>
      </c>
      <c r="F112" s="7" t="s">
        <v>149</v>
      </c>
      <c r="G112" s="7" t="s">
        <v>254</v>
      </c>
      <c r="H112" s="7" t="s">
        <v>444</v>
      </c>
      <c r="I112" s="7" t="s">
        <v>1741</v>
      </c>
      <c r="J112" s="3" t="s">
        <v>2223</v>
      </c>
      <c r="K112" s="5">
        <f>SUMIF(BC!$E$6:$E$347,$A112,BC!$K$6:$K$347)</f>
        <v>0</v>
      </c>
      <c r="L112" s="5" t="e">
        <f>SUMIF(#REF!,$A112,#REF!)+SUMIF(#REF!,$A112,#REF!)</f>
        <v>#REF!</v>
      </c>
      <c r="M112" s="5" t="e">
        <f>SUMIF(#REF!,Casilleros!$A112,#REF!)+SUMIF(#REF!,Casilleros!$A112,#REF!)+SUMIF(#REF!,$A112,#REF!)</f>
        <v>#REF!</v>
      </c>
      <c r="N112" s="5" t="e">
        <f>SUMIF(#REF!,$A112,#REF!)</f>
        <v>#REF!</v>
      </c>
      <c r="O112" s="5" t="e">
        <f>SUMIF(#REF!,$A112,#REF!)+SUMIF(#REF!,$A112,#REF!)</f>
        <v>#REF!</v>
      </c>
      <c r="P112" s="5">
        <f>IFERROR(VLOOKUP($A112,#REF!,2,FALSE),0)</f>
        <v>0</v>
      </c>
      <c r="Q112" s="42" t="e">
        <f t="shared" si="1"/>
        <v>#REF!</v>
      </c>
    </row>
    <row r="113" spans="1:17">
      <c r="A113" s="56" t="s">
        <v>256</v>
      </c>
      <c r="B113" s="7" t="s">
        <v>65</v>
      </c>
      <c r="C113" s="7" t="s">
        <v>66</v>
      </c>
      <c r="D113" s="7" t="s">
        <v>172</v>
      </c>
      <c r="E113" s="7" t="s">
        <v>148</v>
      </c>
      <c r="F113" s="7" t="s">
        <v>149</v>
      </c>
      <c r="G113" s="7" t="s">
        <v>152</v>
      </c>
      <c r="H113" s="7" t="s">
        <v>444</v>
      </c>
      <c r="I113" s="7" t="s">
        <v>1693</v>
      </c>
      <c r="J113" s="3" t="s">
        <v>2223</v>
      </c>
      <c r="K113" s="5">
        <f>SUMIF(BC!$E$6:$E$347,$A113,BC!$K$6:$K$347)</f>
        <v>0</v>
      </c>
      <c r="L113" s="5" t="e">
        <f>SUMIF(#REF!,$A113,#REF!)+SUMIF(#REF!,$A113,#REF!)</f>
        <v>#REF!</v>
      </c>
      <c r="M113" s="5" t="e">
        <f>SUMIF(#REF!,Casilleros!$A113,#REF!)+SUMIF(#REF!,Casilleros!$A113,#REF!)+SUMIF(#REF!,$A113,#REF!)</f>
        <v>#REF!</v>
      </c>
      <c r="N113" s="5" t="e">
        <f>SUMIF(#REF!,$A113,#REF!)</f>
        <v>#REF!</v>
      </c>
      <c r="O113" s="5" t="e">
        <f>SUMIF(#REF!,$A113,#REF!)+SUMIF(#REF!,$A113,#REF!)</f>
        <v>#REF!</v>
      </c>
      <c r="P113" s="5">
        <f>IFERROR(VLOOKUP($A113,#REF!,2,FALSE),0)</f>
        <v>0</v>
      </c>
      <c r="Q113" s="42" t="e">
        <f t="shared" si="1"/>
        <v>#REF!</v>
      </c>
    </row>
    <row r="114" spans="1:17">
      <c r="A114" s="56" t="s">
        <v>257</v>
      </c>
      <c r="B114" s="7" t="s">
        <v>65</v>
      </c>
      <c r="C114" s="7" t="s">
        <v>66</v>
      </c>
      <c r="D114" s="7" t="s">
        <v>172</v>
      </c>
      <c r="E114" s="7" t="s">
        <v>148</v>
      </c>
      <c r="F114" s="7" t="s">
        <v>149</v>
      </c>
      <c r="G114" s="7" t="s">
        <v>154</v>
      </c>
      <c r="H114" s="7" t="s">
        <v>444</v>
      </c>
      <c r="I114" s="7" t="s">
        <v>1694</v>
      </c>
      <c r="J114" s="3" t="s">
        <v>2223</v>
      </c>
      <c r="K114" s="5">
        <f>SUMIF(BC!$E$6:$E$347,$A114,BC!$K$6:$K$347)</f>
        <v>0</v>
      </c>
      <c r="L114" s="5" t="e">
        <f>SUMIF(#REF!,$A114,#REF!)+SUMIF(#REF!,$A114,#REF!)</f>
        <v>#REF!</v>
      </c>
      <c r="M114" s="5" t="e">
        <f>SUMIF(#REF!,Casilleros!$A114,#REF!)+SUMIF(#REF!,Casilleros!$A114,#REF!)+SUMIF(#REF!,$A114,#REF!)</f>
        <v>#REF!</v>
      </c>
      <c r="N114" s="5" t="e">
        <f>SUMIF(#REF!,$A114,#REF!)</f>
        <v>#REF!</v>
      </c>
      <c r="O114" s="5" t="e">
        <f>SUMIF(#REF!,$A114,#REF!)+SUMIF(#REF!,$A114,#REF!)</f>
        <v>#REF!</v>
      </c>
      <c r="P114" s="5">
        <f>IFERROR(VLOOKUP($A114,#REF!,2,FALSE),0)</f>
        <v>0</v>
      </c>
      <c r="Q114" s="42" t="e">
        <f t="shared" si="1"/>
        <v>#REF!</v>
      </c>
    </row>
    <row r="115" spans="1:17">
      <c r="A115" s="56" t="s">
        <v>258</v>
      </c>
      <c r="B115" s="7" t="s">
        <v>65</v>
      </c>
      <c r="C115" s="7" t="s">
        <v>66</v>
      </c>
      <c r="D115" s="7" t="s">
        <v>172</v>
      </c>
      <c r="E115" s="7" t="s">
        <v>148</v>
      </c>
      <c r="F115" s="7" t="s">
        <v>156</v>
      </c>
      <c r="G115" s="7" t="s">
        <v>150</v>
      </c>
      <c r="H115" s="7" t="s">
        <v>444</v>
      </c>
      <c r="I115" s="7" t="s">
        <v>1695</v>
      </c>
      <c r="J115" s="3" t="s">
        <v>2223</v>
      </c>
      <c r="K115" s="5">
        <f>SUMIF(BC!$E$6:$E$347,$A115,BC!$K$6:$K$347)</f>
        <v>0</v>
      </c>
      <c r="L115" s="5" t="e">
        <f>SUMIF(#REF!,$A115,#REF!)+SUMIF(#REF!,$A115,#REF!)</f>
        <v>#REF!</v>
      </c>
      <c r="M115" s="5" t="e">
        <f>SUMIF(#REF!,Casilleros!$A115,#REF!)+SUMIF(#REF!,Casilleros!$A115,#REF!)+SUMIF(#REF!,$A115,#REF!)</f>
        <v>#REF!</v>
      </c>
      <c r="N115" s="5" t="e">
        <f>SUMIF(#REF!,$A115,#REF!)</f>
        <v>#REF!</v>
      </c>
      <c r="O115" s="5" t="e">
        <f>SUMIF(#REF!,$A115,#REF!)+SUMIF(#REF!,$A115,#REF!)</f>
        <v>#REF!</v>
      </c>
      <c r="P115" s="5">
        <f>IFERROR(VLOOKUP($A115,#REF!,2,FALSE),0)</f>
        <v>0</v>
      </c>
      <c r="Q115" s="42" t="e">
        <f t="shared" si="1"/>
        <v>#REF!</v>
      </c>
    </row>
    <row r="116" spans="1:17">
      <c r="A116" s="56" t="s">
        <v>259</v>
      </c>
      <c r="B116" s="7" t="s">
        <v>65</v>
      </c>
      <c r="C116" s="7" t="s">
        <v>66</v>
      </c>
      <c r="D116" s="7" t="s">
        <v>172</v>
      </c>
      <c r="E116" s="7" t="s">
        <v>148</v>
      </c>
      <c r="F116" s="7" t="s">
        <v>156</v>
      </c>
      <c r="G116" s="7" t="s">
        <v>254</v>
      </c>
      <c r="H116" s="7" t="s">
        <v>444</v>
      </c>
      <c r="I116" s="7" t="s">
        <v>1742</v>
      </c>
      <c r="J116" s="3" t="s">
        <v>2223</v>
      </c>
      <c r="K116" s="5">
        <f>SUMIF(BC!$E$6:$E$347,$A116,BC!$K$6:$K$347)</f>
        <v>0</v>
      </c>
      <c r="L116" s="5" t="e">
        <f>SUMIF(#REF!,$A116,#REF!)+SUMIF(#REF!,$A116,#REF!)</f>
        <v>#REF!</v>
      </c>
      <c r="M116" s="5" t="e">
        <f>SUMIF(#REF!,Casilleros!$A116,#REF!)+SUMIF(#REF!,Casilleros!$A116,#REF!)+SUMIF(#REF!,$A116,#REF!)</f>
        <v>#REF!</v>
      </c>
      <c r="N116" s="5" t="e">
        <f>SUMIF(#REF!,$A116,#REF!)</f>
        <v>#REF!</v>
      </c>
      <c r="O116" s="5" t="e">
        <f>SUMIF(#REF!,$A116,#REF!)+SUMIF(#REF!,$A116,#REF!)</f>
        <v>#REF!</v>
      </c>
      <c r="P116" s="5">
        <f>IFERROR(VLOOKUP($A116,#REF!,2,FALSE),0)</f>
        <v>0</v>
      </c>
      <c r="Q116" s="42" t="e">
        <f t="shared" si="1"/>
        <v>#REF!</v>
      </c>
    </row>
    <row r="117" spans="1:17">
      <c r="A117" s="56" t="s">
        <v>260</v>
      </c>
      <c r="B117" s="7" t="s">
        <v>65</v>
      </c>
      <c r="C117" s="7" t="s">
        <v>66</v>
      </c>
      <c r="D117" s="7" t="s">
        <v>172</v>
      </c>
      <c r="E117" s="7" t="s">
        <v>148</v>
      </c>
      <c r="F117" s="7" t="s">
        <v>156</v>
      </c>
      <c r="G117" s="7" t="s">
        <v>152</v>
      </c>
      <c r="H117" s="7" t="s">
        <v>444</v>
      </c>
      <c r="I117" s="7" t="s">
        <v>1696</v>
      </c>
      <c r="J117" s="3" t="s">
        <v>2223</v>
      </c>
      <c r="K117" s="5">
        <f>SUMIF(BC!$E$6:$E$347,$A117,BC!$K$6:$K$347)</f>
        <v>0</v>
      </c>
      <c r="L117" s="5" t="e">
        <f>SUMIF(#REF!,$A117,#REF!)+SUMIF(#REF!,$A117,#REF!)</f>
        <v>#REF!</v>
      </c>
      <c r="M117" s="5" t="e">
        <f>SUMIF(#REF!,Casilleros!$A117,#REF!)+SUMIF(#REF!,Casilleros!$A117,#REF!)+SUMIF(#REF!,$A117,#REF!)</f>
        <v>#REF!</v>
      </c>
      <c r="N117" s="5" t="e">
        <f>SUMIF(#REF!,$A117,#REF!)</f>
        <v>#REF!</v>
      </c>
      <c r="O117" s="5" t="e">
        <f>SUMIF(#REF!,$A117,#REF!)+SUMIF(#REF!,$A117,#REF!)</f>
        <v>#REF!</v>
      </c>
      <c r="P117" s="5">
        <f>IFERROR(VLOOKUP($A117,#REF!,2,FALSE),0)</f>
        <v>0</v>
      </c>
      <c r="Q117" s="42" t="e">
        <f t="shared" si="1"/>
        <v>#REF!</v>
      </c>
    </row>
    <row r="118" spans="1:17">
      <c r="A118" s="56" t="s">
        <v>261</v>
      </c>
      <c r="B118" s="7" t="s">
        <v>65</v>
      </c>
      <c r="C118" s="7" t="s">
        <v>66</v>
      </c>
      <c r="D118" s="7" t="s">
        <v>172</v>
      </c>
      <c r="E118" s="7" t="s">
        <v>148</v>
      </c>
      <c r="F118" s="7" t="s">
        <v>156</v>
      </c>
      <c r="G118" s="7" t="s">
        <v>154</v>
      </c>
      <c r="H118" s="7" t="s">
        <v>444</v>
      </c>
      <c r="I118" s="7" t="s">
        <v>1697</v>
      </c>
      <c r="J118" s="3" t="s">
        <v>2223</v>
      </c>
      <c r="K118" s="5">
        <f>SUMIF(BC!$E$6:$E$347,$A118,BC!$K$6:$K$347)</f>
        <v>0</v>
      </c>
      <c r="L118" s="5" t="e">
        <f>SUMIF(#REF!,$A118,#REF!)+SUMIF(#REF!,$A118,#REF!)</f>
        <v>#REF!</v>
      </c>
      <c r="M118" s="5" t="e">
        <f>SUMIF(#REF!,Casilleros!$A118,#REF!)+SUMIF(#REF!,Casilleros!$A118,#REF!)+SUMIF(#REF!,$A118,#REF!)</f>
        <v>#REF!</v>
      </c>
      <c r="N118" s="5" t="e">
        <f>SUMIF(#REF!,$A118,#REF!)</f>
        <v>#REF!</v>
      </c>
      <c r="O118" s="5" t="e">
        <f>SUMIF(#REF!,$A118,#REF!)+SUMIF(#REF!,$A118,#REF!)</f>
        <v>#REF!</v>
      </c>
      <c r="P118" s="5">
        <f>IFERROR(VLOOKUP($A118,#REF!,2,FALSE),0)</f>
        <v>0</v>
      </c>
      <c r="Q118" s="42" t="e">
        <f t="shared" si="1"/>
        <v>#REF!</v>
      </c>
    </row>
    <row r="119" spans="1:17">
      <c r="A119" s="56" t="s">
        <v>264</v>
      </c>
      <c r="B119" s="7" t="s">
        <v>65</v>
      </c>
      <c r="C119" s="7" t="s">
        <v>66</v>
      </c>
      <c r="D119" s="7" t="s">
        <v>172</v>
      </c>
      <c r="E119" s="7" t="s">
        <v>262</v>
      </c>
      <c r="F119" s="7" t="s">
        <v>263</v>
      </c>
      <c r="G119" s="7" t="s">
        <v>444</v>
      </c>
      <c r="H119" s="7" t="s">
        <v>444</v>
      </c>
      <c r="I119" s="7" t="s">
        <v>1743</v>
      </c>
      <c r="J119" s="3" t="s">
        <v>2224</v>
      </c>
      <c r="K119" s="5">
        <f>SUMIF(BC!$E$6:$E$347,$A119,BC!$K$6:$K$347)</f>
        <v>0</v>
      </c>
      <c r="L119" s="5" t="e">
        <f>SUMIF(#REF!,$A119,#REF!)+SUMIF(#REF!,$A119,#REF!)</f>
        <v>#REF!</v>
      </c>
      <c r="M119" s="5" t="e">
        <f>SUMIF(#REF!,Casilleros!$A119,#REF!)+SUMIF(#REF!,Casilleros!$A119,#REF!)+SUMIF(#REF!,$A119,#REF!)</f>
        <v>#REF!</v>
      </c>
      <c r="N119" s="5" t="e">
        <f>SUMIF(#REF!,$A119,#REF!)</f>
        <v>#REF!</v>
      </c>
      <c r="O119" s="5" t="e">
        <f>SUMIF(#REF!,$A119,#REF!)+SUMIF(#REF!,$A119,#REF!)</f>
        <v>#REF!</v>
      </c>
      <c r="P119" s="5">
        <f>IFERROR(VLOOKUP($A119,#REF!,2,FALSE),0)</f>
        <v>0</v>
      </c>
      <c r="Q119" s="42" t="e">
        <f t="shared" si="1"/>
        <v>#REF!</v>
      </c>
    </row>
    <row r="120" spans="1:17">
      <c r="A120" s="56" t="s">
        <v>266</v>
      </c>
      <c r="B120" s="7" t="s">
        <v>65</v>
      </c>
      <c r="C120" s="7" t="s">
        <v>66</v>
      </c>
      <c r="D120" s="7" t="s">
        <v>172</v>
      </c>
      <c r="E120" s="7" t="s">
        <v>262</v>
      </c>
      <c r="F120" s="7" t="s">
        <v>265</v>
      </c>
      <c r="G120" s="7" t="s">
        <v>444</v>
      </c>
      <c r="H120" s="7" t="s">
        <v>444</v>
      </c>
      <c r="I120" s="7" t="s">
        <v>1744</v>
      </c>
      <c r="J120" s="3" t="s">
        <v>2224</v>
      </c>
      <c r="K120" s="5">
        <f>SUMIF(BC!$E$6:$E$347,$A120,BC!$K$6:$K$347)</f>
        <v>0</v>
      </c>
      <c r="L120" s="5" t="e">
        <f>SUMIF(#REF!,$A120,#REF!)+SUMIF(#REF!,$A120,#REF!)</f>
        <v>#REF!</v>
      </c>
      <c r="M120" s="5" t="e">
        <f>SUMIF(#REF!,Casilleros!$A120,#REF!)+SUMIF(#REF!,Casilleros!$A120,#REF!)+SUMIF(#REF!,$A120,#REF!)</f>
        <v>#REF!</v>
      </c>
      <c r="N120" s="5" t="e">
        <f>SUMIF(#REF!,$A120,#REF!)</f>
        <v>#REF!</v>
      </c>
      <c r="O120" s="5" t="e">
        <f>SUMIF(#REF!,$A120,#REF!)+SUMIF(#REF!,$A120,#REF!)</f>
        <v>#REF!</v>
      </c>
      <c r="P120" s="5">
        <f>IFERROR(VLOOKUP($A120,#REF!,2,FALSE),0)</f>
        <v>0</v>
      </c>
      <c r="Q120" s="42" t="e">
        <f t="shared" si="1"/>
        <v>#REF!</v>
      </c>
    </row>
    <row r="121" spans="1:17">
      <c r="A121" s="56" t="s">
        <v>268</v>
      </c>
      <c r="B121" s="7" t="s">
        <v>65</v>
      </c>
      <c r="C121" s="7" t="s">
        <v>66</v>
      </c>
      <c r="D121" s="7" t="s">
        <v>172</v>
      </c>
      <c r="E121" s="7" t="s">
        <v>262</v>
      </c>
      <c r="F121" s="7" t="s">
        <v>267</v>
      </c>
      <c r="G121" s="7" t="s">
        <v>444</v>
      </c>
      <c r="H121" s="7" t="s">
        <v>444</v>
      </c>
      <c r="I121" s="7" t="s">
        <v>1745</v>
      </c>
      <c r="J121" s="3" t="s">
        <v>2224</v>
      </c>
      <c r="K121" s="5">
        <f>SUMIF(BC!$E$6:$E$347,$A121,BC!$K$6:$K$347)</f>
        <v>0</v>
      </c>
      <c r="L121" s="5" t="e">
        <f>SUMIF(#REF!,$A121,#REF!)+SUMIF(#REF!,$A121,#REF!)</f>
        <v>#REF!</v>
      </c>
      <c r="M121" s="5" t="e">
        <f>SUMIF(#REF!,Casilleros!$A121,#REF!)+SUMIF(#REF!,Casilleros!$A121,#REF!)+SUMIF(#REF!,$A121,#REF!)</f>
        <v>#REF!</v>
      </c>
      <c r="N121" s="5" t="e">
        <f>SUMIF(#REF!,$A121,#REF!)</f>
        <v>#REF!</v>
      </c>
      <c r="O121" s="5" t="e">
        <f>SUMIF(#REF!,$A121,#REF!)+SUMIF(#REF!,$A121,#REF!)</f>
        <v>#REF!</v>
      </c>
      <c r="P121" s="5">
        <f>IFERROR(VLOOKUP($A121,#REF!,2,FALSE),0)</f>
        <v>0</v>
      </c>
      <c r="Q121" s="42" t="e">
        <f t="shared" si="1"/>
        <v>#REF!</v>
      </c>
    </row>
    <row r="122" spans="1:17">
      <c r="A122" s="56" t="s">
        <v>270</v>
      </c>
      <c r="B122" s="7" t="s">
        <v>65</v>
      </c>
      <c r="C122" s="7" t="s">
        <v>66</v>
      </c>
      <c r="D122" s="7" t="s">
        <v>172</v>
      </c>
      <c r="E122" s="7" t="s">
        <v>262</v>
      </c>
      <c r="F122" s="7" t="s">
        <v>269</v>
      </c>
      <c r="G122" s="7" t="s">
        <v>444</v>
      </c>
      <c r="H122" s="7" t="s">
        <v>444</v>
      </c>
      <c r="I122" s="7" t="s">
        <v>1746</v>
      </c>
      <c r="J122" s="3" t="s">
        <v>2224</v>
      </c>
      <c r="K122" s="5">
        <f>SUMIF(BC!$E$6:$E$347,$A122,BC!$K$6:$K$347)</f>
        <v>0</v>
      </c>
      <c r="L122" s="5" t="e">
        <f>SUMIF(#REF!,$A122,#REF!)+SUMIF(#REF!,$A122,#REF!)</f>
        <v>#REF!</v>
      </c>
      <c r="M122" s="5" t="e">
        <f>SUMIF(#REF!,Casilleros!$A122,#REF!)+SUMIF(#REF!,Casilleros!$A122,#REF!)+SUMIF(#REF!,$A122,#REF!)</f>
        <v>#REF!</v>
      </c>
      <c r="N122" s="5" t="e">
        <f>SUMIF(#REF!,$A122,#REF!)</f>
        <v>#REF!</v>
      </c>
      <c r="O122" s="5" t="e">
        <f>SUMIF(#REF!,$A122,#REF!)+SUMIF(#REF!,$A122,#REF!)</f>
        <v>#REF!</v>
      </c>
      <c r="P122" s="5">
        <f>IFERROR(VLOOKUP($A122,#REF!,2,FALSE),0)</f>
        <v>0</v>
      </c>
      <c r="Q122" s="42" t="e">
        <f t="shared" si="1"/>
        <v>#REF!</v>
      </c>
    </row>
    <row r="123" spans="1:17">
      <c r="A123" s="56" t="s">
        <v>273</v>
      </c>
      <c r="B123" s="7" t="s">
        <v>65</v>
      </c>
      <c r="C123" s="7" t="s">
        <v>66</v>
      </c>
      <c r="D123" s="7" t="s">
        <v>172</v>
      </c>
      <c r="E123" s="7" t="s">
        <v>271</v>
      </c>
      <c r="F123" s="7" t="s">
        <v>272</v>
      </c>
      <c r="G123" s="7" t="s">
        <v>144</v>
      </c>
      <c r="H123" s="7" t="s">
        <v>444</v>
      </c>
      <c r="I123" s="7" t="s">
        <v>1747</v>
      </c>
      <c r="J123" s="3" t="s">
        <v>2226</v>
      </c>
      <c r="K123" s="5">
        <f>SUMIF(BC!$E$6:$E$347,$A123,BC!$K$6:$K$347)</f>
        <v>0</v>
      </c>
      <c r="L123" s="5" t="e">
        <f>SUMIF(#REF!,$A123,#REF!)+SUMIF(#REF!,$A123,#REF!)</f>
        <v>#REF!</v>
      </c>
      <c r="M123" s="5" t="e">
        <f>SUMIF(#REF!,Casilleros!$A123,#REF!)+SUMIF(#REF!,Casilleros!$A123,#REF!)+SUMIF(#REF!,$A123,#REF!)</f>
        <v>#REF!</v>
      </c>
      <c r="N123" s="5" t="e">
        <f>SUMIF(#REF!,$A123,#REF!)</f>
        <v>#REF!</v>
      </c>
      <c r="O123" s="5" t="e">
        <f>SUMIF(#REF!,$A123,#REF!)+SUMIF(#REF!,$A123,#REF!)</f>
        <v>#REF!</v>
      </c>
      <c r="P123" s="5">
        <f>IFERROR(VLOOKUP($A123,#REF!,2,FALSE),0)</f>
        <v>0</v>
      </c>
      <c r="Q123" s="42" t="e">
        <f t="shared" si="1"/>
        <v>#REF!</v>
      </c>
    </row>
    <row r="124" spans="1:17">
      <c r="A124" s="56" t="s">
        <v>275</v>
      </c>
      <c r="B124" s="7" t="s">
        <v>65</v>
      </c>
      <c r="C124" s="7" t="s">
        <v>66</v>
      </c>
      <c r="D124" s="7" t="s">
        <v>172</v>
      </c>
      <c r="E124" s="7" t="s">
        <v>271</v>
      </c>
      <c r="F124" s="7" t="s">
        <v>272</v>
      </c>
      <c r="G124" s="7" t="s">
        <v>274</v>
      </c>
      <c r="H124" s="7" t="s">
        <v>444</v>
      </c>
      <c r="I124" s="7" t="s">
        <v>1748</v>
      </c>
      <c r="J124" s="3" t="s">
        <v>2226</v>
      </c>
      <c r="K124" s="5">
        <f>SUMIF(BC!$E$6:$E$347,$A124,BC!$K$6:$K$347)</f>
        <v>0</v>
      </c>
      <c r="L124" s="5" t="e">
        <f>SUMIF(#REF!,$A124,#REF!)+SUMIF(#REF!,$A124,#REF!)</f>
        <v>#REF!</v>
      </c>
      <c r="M124" s="5" t="e">
        <f>SUMIF(#REF!,Casilleros!$A124,#REF!)+SUMIF(#REF!,Casilleros!$A124,#REF!)+SUMIF(#REF!,$A124,#REF!)</f>
        <v>#REF!</v>
      </c>
      <c r="N124" s="5" t="e">
        <f>SUMIF(#REF!,$A124,#REF!)</f>
        <v>#REF!</v>
      </c>
      <c r="O124" s="5" t="e">
        <f>SUMIF(#REF!,$A124,#REF!)+SUMIF(#REF!,$A124,#REF!)</f>
        <v>#REF!</v>
      </c>
      <c r="P124" s="5">
        <f>IFERROR(VLOOKUP($A124,#REF!,2,FALSE),0)</f>
        <v>0</v>
      </c>
      <c r="Q124" s="42" t="e">
        <f t="shared" si="1"/>
        <v>#REF!</v>
      </c>
    </row>
    <row r="125" spans="1:17">
      <c r="A125" s="56" t="s">
        <v>277</v>
      </c>
      <c r="B125" s="7" t="s">
        <v>65</v>
      </c>
      <c r="C125" s="7" t="s">
        <v>66</v>
      </c>
      <c r="D125" s="7" t="s">
        <v>172</v>
      </c>
      <c r="E125" s="7" t="s">
        <v>271</v>
      </c>
      <c r="F125" s="7" t="s">
        <v>276</v>
      </c>
      <c r="G125" s="7" t="s">
        <v>144</v>
      </c>
      <c r="H125" s="7" t="s">
        <v>444</v>
      </c>
      <c r="I125" s="7" t="s">
        <v>1749</v>
      </c>
      <c r="J125" s="3" t="s">
        <v>2226</v>
      </c>
      <c r="K125" s="5">
        <f>SUMIF(BC!$E$6:$E$347,$A125,BC!$K$6:$K$347)</f>
        <v>0</v>
      </c>
      <c r="L125" s="5" t="e">
        <f>SUMIF(#REF!,$A125,#REF!)+SUMIF(#REF!,$A125,#REF!)</f>
        <v>#REF!</v>
      </c>
      <c r="M125" s="5" t="e">
        <f>SUMIF(#REF!,Casilleros!$A125,#REF!)+SUMIF(#REF!,Casilleros!$A125,#REF!)+SUMIF(#REF!,$A125,#REF!)</f>
        <v>#REF!</v>
      </c>
      <c r="N125" s="5" t="e">
        <f>SUMIF(#REF!,$A125,#REF!)</f>
        <v>#REF!</v>
      </c>
      <c r="O125" s="5" t="e">
        <f>SUMIF(#REF!,$A125,#REF!)+SUMIF(#REF!,$A125,#REF!)</f>
        <v>#REF!</v>
      </c>
      <c r="P125" s="5">
        <f>IFERROR(VLOOKUP($A125,#REF!,2,FALSE),0)</f>
        <v>0</v>
      </c>
      <c r="Q125" s="42" t="e">
        <f t="shared" si="1"/>
        <v>#REF!</v>
      </c>
    </row>
    <row r="126" spans="1:17">
      <c r="A126" s="56" t="s">
        <v>278</v>
      </c>
      <c r="B126" s="7" t="s">
        <v>65</v>
      </c>
      <c r="C126" s="7" t="s">
        <v>66</v>
      </c>
      <c r="D126" s="7" t="s">
        <v>172</v>
      </c>
      <c r="E126" s="7" t="s">
        <v>271</v>
      </c>
      <c r="F126" s="7" t="s">
        <v>276</v>
      </c>
      <c r="G126" s="7" t="s">
        <v>274</v>
      </c>
      <c r="H126" s="7" t="s">
        <v>444</v>
      </c>
      <c r="I126" s="7" t="s">
        <v>1750</v>
      </c>
      <c r="J126" s="3" t="s">
        <v>2226</v>
      </c>
      <c r="K126" s="5">
        <f>SUMIF(BC!$E$6:$E$347,$A126,BC!$K$6:$K$347)</f>
        <v>0</v>
      </c>
      <c r="L126" s="5" t="e">
        <f>SUMIF(#REF!,$A126,#REF!)+SUMIF(#REF!,$A126,#REF!)</f>
        <v>#REF!</v>
      </c>
      <c r="M126" s="5" t="e">
        <f>SUMIF(#REF!,Casilleros!$A126,#REF!)+SUMIF(#REF!,Casilleros!$A126,#REF!)+SUMIF(#REF!,$A126,#REF!)</f>
        <v>#REF!</v>
      </c>
      <c r="N126" s="5" t="e">
        <f>SUMIF(#REF!,$A126,#REF!)</f>
        <v>#REF!</v>
      </c>
      <c r="O126" s="5" t="e">
        <f>SUMIF(#REF!,$A126,#REF!)+SUMIF(#REF!,$A126,#REF!)</f>
        <v>#REF!</v>
      </c>
      <c r="P126" s="5">
        <f>IFERROR(VLOOKUP($A126,#REF!,2,FALSE),0)</f>
        <v>0</v>
      </c>
      <c r="Q126" s="42" t="e">
        <f t="shared" si="1"/>
        <v>#REF!</v>
      </c>
    </row>
    <row r="127" spans="1:17">
      <c r="A127" s="56" t="s">
        <v>280</v>
      </c>
      <c r="B127" s="7" t="s">
        <v>65</v>
      </c>
      <c r="C127" s="7" t="s">
        <v>66</v>
      </c>
      <c r="D127" s="7" t="s">
        <v>172</v>
      </c>
      <c r="E127" s="7" t="s">
        <v>271</v>
      </c>
      <c r="F127" s="7" t="s">
        <v>279</v>
      </c>
      <c r="G127" s="7" t="s">
        <v>144</v>
      </c>
      <c r="H127" s="7" t="s">
        <v>444</v>
      </c>
      <c r="I127" s="7" t="s">
        <v>1751</v>
      </c>
      <c r="J127" s="3" t="s">
        <v>2226</v>
      </c>
      <c r="K127" s="5">
        <f>SUMIF(BC!$E$6:$E$347,$A127,BC!$K$6:$K$347)</f>
        <v>0</v>
      </c>
      <c r="L127" s="5" t="e">
        <f>SUMIF(#REF!,$A127,#REF!)+SUMIF(#REF!,$A127,#REF!)</f>
        <v>#REF!</v>
      </c>
      <c r="M127" s="5" t="e">
        <f>SUMIF(#REF!,Casilleros!$A127,#REF!)+SUMIF(#REF!,Casilleros!$A127,#REF!)+SUMIF(#REF!,$A127,#REF!)</f>
        <v>#REF!</v>
      </c>
      <c r="N127" s="5" t="e">
        <f>SUMIF(#REF!,$A127,#REF!)</f>
        <v>#REF!</v>
      </c>
      <c r="O127" s="5" t="e">
        <f>SUMIF(#REF!,$A127,#REF!)+SUMIF(#REF!,$A127,#REF!)</f>
        <v>#REF!</v>
      </c>
      <c r="P127" s="5">
        <f>IFERROR(VLOOKUP($A127,#REF!,2,FALSE),0)</f>
        <v>0</v>
      </c>
      <c r="Q127" s="42" t="e">
        <f t="shared" si="1"/>
        <v>#REF!</v>
      </c>
    </row>
    <row r="128" spans="1:17">
      <c r="A128" s="56" t="s">
        <v>281</v>
      </c>
      <c r="B128" s="7" t="s">
        <v>65</v>
      </c>
      <c r="C128" s="7" t="s">
        <v>66</v>
      </c>
      <c r="D128" s="7" t="s">
        <v>172</v>
      </c>
      <c r="E128" s="7" t="s">
        <v>271</v>
      </c>
      <c r="F128" s="7" t="s">
        <v>279</v>
      </c>
      <c r="G128" s="7" t="s">
        <v>274</v>
      </c>
      <c r="H128" s="7" t="s">
        <v>444</v>
      </c>
      <c r="I128" s="7" t="s">
        <v>1752</v>
      </c>
      <c r="J128" s="3" t="s">
        <v>2226</v>
      </c>
      <c r="K128" s="5">
        <f>SUMIF(BC!$E$6:$E$347,$A128,BC!$K$6:$K$347)</f>
        <v>0</v>
      </c>
      <c r="L128" s="5" t="e">
        <f>SUMIF(#REF!,$A128,#REF!)+SUMIF(#REF!,$A128,#REF!)</f>
        <v>#REF!</v>
      </c>
      <c r="M128" s="5" t="e">
        <f>SUMIF(#REF!,Casilleros!$A128,#REF!)+SUMIF(#REF!,Casilleros!$A128,#REF!)+SUMIF(#REF!,$A128,#REF!)</f>
        <v>#REF!</v>
      </c>
      <c r="N128" s="5" t="e">
        <f>SUMIF(#REF!,$A128,#REF!)</f>
        <v>#REF!</v>
      </c>
      <c r="O128" s="5" t="e">
        <f>SUMIF(#REF!,$A128,#REF!)+SUMIF(#REF!,$A128,#REF!)</f>
        <v>#REF!</v>
      </c>
      <c r="P128" s="5">
        <f>IFERROR(VLOOKUP($A128,#REF!,2,FALSE),0)</f>
        <v>0</v>
      </c>
      <c r="Q128" s="42" t="e">
        <f t="shared" si="1"/>
        <v>#REF!</v>
      </c>
    </row>
    <row r="129" spans="1:17">
      <c r="A129" s="56" t="s">
        <v>283</v>
      </c>
      <c r="B129" s="7" t="s">
        <v>65</v>
      </c>
      <c r="C129" s="7" t="s">
        <v>66</v>
      </c>
      <c r="D129" s="7" t="s">
        <v>172</v>
      </c>
      <c r="E129" s="7" t="s">
        <v>271</v>
      </c>
      <c r="F129" s="7" t="s">
        <v>282</v>
      </c>
      <c r="G129" s="7" t="s">
        <v>444</v>
      </c>
      <c r="H129" s="7" t="s">
        <v>444</v>
      </c>
      <c r="I129" s="7" t="s">
        <v>1753</v>
      </c>
      <c r="J129" s="3" t="s">
        <v>2226</v>
      </c>
      <c r="K129" s="5">
        <f>SUMIF(BC!$E$6:$E$347,$A129,BC!$K$6:$K$347)</f>
        <v>0</v>
      </c>
      <c r="L129" s="5" t="e">
        <f>SUMIF(#REF!,$A129,#REF!)+SUMIF(#REF!,$A129,#REF!)</f>
        <v>#REF!</v>
      </c>
      <c r="M129" s="5" t="e">
        <f>SUMIF(#REF!,Casilleros!$A129,#REF!)+SUMIF(#REF!,Casilleros!$A129,#REF!)+SUMIF(#REF!,$A129,#REF!)</f>
        <v>#REF!</v>
      </c>
      <c r="N129" s="5" t="e">
        <f>SUMIF(#REF!,$A129,#REF!)</f>
        <v>#REF!</v>
      </c>
      <c r="O129" s="5" t="e">
        <f>SUMIF(#REF!,$A129,#REF!)+SUMIF(#REF!,$A129,#REF!)</f>
        <v>#REF!</v>
      </c>
      <c r="P129" s="5">
        <f>IFERROR(VLOOKUP($A129,#REF!,2,FALSE),0)</f>
        <v>0</v>
      </c>
      <c r="Q129" s="42" t="e">
        <f t="shared" si="1"/>
        <v>#REF!</v>
      </c>
    </row>
    <row r="130" spans="1:17">
      <c r="A130" s="56" t="s">
        <v>285</v>
      </c>
      <c r="B130" s="7" t="s">
        <v>65</v>
      </c>
      <c r="C130" s="7" t="s">
        <v>66</v>
      </c>
      <c r="D130" s="7" t="s">
        <v>172</v>
      </c>
      <c r="E130" s="7" t="s">
        <v>271</v>
      </c>
      <c r="F130" s="7" t="s">
        <v>284</v>
      </c>
      <c r="G130" s="7" t="s">
        <v>444</v>
      </c>
      <c r="H130" s="7" t="s">
        <v>444</v>
      </c>
      <c r="I130" s="7" t="s">
        <v>1754</v>
      </c>
      <c r="J130" s="3" t="s">
        <v>2226</v>
      </c>
      <c r="K130" s="5">
        <f>SUMIF(BC!$E$6:$E$347,$A130,BC!$K$6:$K$347)</f>
        <v>0</v>
      </c>
      <c r="L130" s="5" t="e">
        <f>SUMIF(#REF!,$A130,#REF!)+SUMIF(#REF!,$A130,#REF!)</f>
        <v>#REF!</v>
      </c>
      <c r="M130" s="5" t="e">
        <f>SUMIF(#REF!,Casilleros!$A130,#REF!)+SUMIF(#REF!,Casilleros!$A130,#REF!)+SUMIF(#REF!,$A130,#REF!)</f>
        <v>#REF!</v>
      </c>
      <c r="N130" s="5" t="e">
        <f>SUMIF(#REF!,$A130,#REF!)</f>
        <v>#REF!</v>
      </c>
      <c r="O130" s="5" t="e">
        <f>SUMIF(#REF!,$A130,#REF!)+SUMIF(#REF!,$A130,#REF!)</f>
        <v>#REF!</v>
      </c>
      <c r="P130" s="5">
        <f>IFERROR(VLOOKUP($A130,#REF!,2,FALSE),0)</f>
        <v>0</v>
      </c>
      <c r="Q130" s="42" t="e">
        <f t="shared" si="1"/>
        <v>#REF!</v>
      </c>
    </row>
    <row r="131" spans="1:17">
      <c r="A131" s="56" t="s">
        <v>288</v>
      </c>
      <c r="B131" s="7" t="s">
        <v>65</v>
      </c>
      <c r="C131" s="7" t="s">
        <v>66</v>
      </c>
      <c r="D131" s="7" t="s">
        <v>172</v>
      </c>
      <c r="E131" s="7" t="s">
        <v>286</v>
      </c>
      <c r="F131" s="7" t="s">
        <v>287</v>
      </c>
      <c r="G131" s="7" t="s">
        <v>72</v>
      </c>
      <c r="H131" s="7" t="s">
        <v>73</v>
      </c>
      <c r="I131" s="7" t="s">
        <v>1755</v>
      </c>
      <c r="J131" s="3" t="s">
        <v>2227</v>
      </c>
      <c r="K131" s="5">
        <f>SUMIF(BC!$E$6:$E$347,$A131,BC!$K$6:$K$347)</f>
        <v>0</v>
      </c>
      <c r="L131" s="5" t="e">
        <f>SUMIF(#REF!,$A131,#REF!)+SUMIF(#REF!,$A131,#REF!)</f>
        <v>#REF!</v>
      </c>
      <c r="M131" s="5" t="e">
        <f>SUMIF(#REF!,Casilleros!$A131,#REF!)+SUMIF(#REF!,Casilleros!$A131,#REF!)+SUMIF(#REF!,$A131,#REF!)</f>
        <v>#REF!</v>
      </c>
      <c r="N131" s="5" t="e">
        <f>SUMIF(#REF!,$A131,#REF!)</f>
        <v>#REF!</v>
      </c>
      <c r="O131" s="5" t="e">
        <f>SUMIF(#REF!,$A131,#REF!)+SUMIF(#REF!,$A131,#REF!)</f>
        <v>#REF!</v>
      </c>
      <c r="P131" s="5">
        <f>IFERROR(VLOOKUP($A131,#REF!,2,FALSE),0)</f>
        <v>0</v>
      </c>
      <c r="Q131" s="42" t="e">
        <f t="shared" si="1"/>
        <v>#REF!</v>
      </c>
    </row>
    <row r="132" spans="1:17">
      <c r="A132" s="56" t="s">
        <v>289</v>
      </c>
      <c r="B132" s="7" t="s">
        <v>65</v>
      </c>
      <c r="C132" s="7" t="s">
        <v>66</v>
      </c>
      <c r="D132" s="7" t="s">
        <v>172</v>
      </c>
      <c r="E132" s="7" t="s">
        <v>286</v>
      </c>
      <c r="F132" s="7" t="s">
        <v>287</v>
      </c>
      <c r="G132" s="7" t="s">
        <v>72</v>
      </c>
      <c r="H132" s="7" t="s">
        <v>26</v>
      </c>
      <c r="I132" s="7" t="s">
        <v>1756</v>
      </c>
      <c r="J132" s="3" t="s">
        <v>2227</v>
      </c>
      <c r="K132" s="5">
        <f>SUMIF(BC!$E$6:$E$347,$A132,BC!$K$6:$K$347)</f>
        <v>0</v>
      </c>
      <c r="L132" s="5" t="e">
        <f>SUMIF(#REF!,$A132,#REF!)+SUMIF(#REF!,$A132,#REF!)</f>
        <v>#REF!</v>
      </c>
      <c r="M132" s="5" t="e">
        <f>SUMIF(#REF!,Casilleros!$A132,#REF!)+SUMIF(#REF!,Casilleros!$A132,#REF!)+SUMIF(#REF!,$A132,#REF!)</f>
        <v>#REF!</v>
      </c>
      <c r="N132" s="5" t="e">
        <f>SUMIF(#REF!,$A132,#REF!)</f>
        <v>#REF!</v>
      </c>
      <c r="O132" s="5" t="e">
        <f>SUMIF(#REF!,$A132,#REF!)+SUMIF(#REF!,$A132,#REF!)</f>
        <v>#REF!</v>
      </c>
      <c r="P132" s="5">
        <f>IFERROR(VLOOKUP($A132,#REF!,2,FALSE),0)</f>
        <v>0</v>
      </c>
      <c r="Q132" s="42" t="e">
        <f t="shared" si="1"/>
        <v>#REF!</v>
      </c>
    </row>
    <row r="133" spans="1:17">
      <c r="A133" s="56" t="s">
        <v>290</v>
      </c>
      <c r="B133" s="7" t="s">
        <v>65</v>
      </c>
      <c r="C133" s="7" t="s">
        <v>66</v>
      </c>
      <c r="D133" s="7" t="s">
        <v>172</v>
      </c>
      <c r="E133" s="7" t="s">
        <v>286</v>
      </c>
      <c r="F133" s="7" t="s">
        <v>287</v>
      </c>
      <c r="G133" s="7" t="s">
        <v>72</v>
      </c>
      <c r="H133" s="7" t="s">
        <v>76</v>
      </c>
      <c r="I133" s="7" t="s">
        <v>1757</v>
      </c>
      <c r="J133" s="3" t="s">
        <v>2227</v>
      </c>
      <c r="K133" s="5">
        <f>SUMIF(BC!$E$6:$E$347,$A133,BC!$K$6:$K$347)</f>
        <v>0</v>
      </c>
      <c r="L133" s="5" t="e">
        <f>SUMIF(#REF!,$A133,#REF!)+SUMIF(#REF!,$A133,#REF!)</f>
        <v>#REF!</v>
      </c>
      <c r="M133" s="5" t="e">
        <f>SUMIF(#REF!,Casilleros!$A133,#REF!)+SUMIF(#REF!,Casilleros!$A133,#REF!)+SUMIF(#REF!,$A133,#REF!)</f>
        <v>#REF!</v>
      </c>
      <c r="N133" s="5" t="e">
        <f>SUMIF(#REF!,$A133,#REF!)</f>
        <v>#REF!</v>
      </c>
      <c r="O133" s="5" t="e">
        <f>SUMIF(#REF!,$A133,#REF!)+SUMIF(#REF!,$A133,#REF!)</f>
        <v>#REF!</v>
      </c>
      <c r="P133" s="5">
        <f>IFERROR(VLOOKUP($A133,#REF!,2,FALSE),0)</f>
        <v>0</v>
      </c>
      <c r="Q133" s="42" t="e">
        <f t="shared" si="1"/>
        <v>#REF!</v>
      </c>
    </row>
    <row r="134" spans="1:17">
      <c r="A134" s="56" t="s">
        <v>291</v>
      </c>
      <c r="B134" s="7" t="s">
        <v>65</v>
      </c>
      <c r="C134" s="7" t="s">
        <v>66</v>
      </c>
      <c r="D134" s="7" t="s">
        <v>172</v>
      </c>
      <c r="E134" s="7" t="s">
        <v>286</v>
      </c>
      <c r="F134" s="7" t="s">
        <v>287</v>
      </c>
      <c r="G134" s="7" t="s">
        <v>78</v>
      </c>
      <c r="H134" s="7" t="s">
        <v>73</v>
      </c>
      <c r="I134" s="7" t="s">
        <v>1758</v>
      </c>
      <c r="J134" s="3" t="s">
        <v>2227</v>
      </c>
      <c r="K134" s="5">
        <f>SUMIF(BC!$E$6:$E$347,$A134,BC!$K$6:$K$347)</f>
        <v>0</v>
      </c>
      <c r="L134" s="5" t="e">
        <f>SUMIF(#REF!,$A134,#REF!)+SUMIF(#REF!,$A134,#REF!)</f>
        <v>#REF!</v>
      </c>
      <c r="M134" s="5" t="e">
        <f>SUMIF(#REF!,Casilleros!$A134,#REF!)+SUMIF(#REF!,Casilleros!$A134,#REF!)+SUMIF(#REF!,$A134,#REF!)</f>
        <v>#REF!</v>
      </c>
      <c r="N134" s="5" t="e">
        <f>SUMIF(#REF!,$A134,#REF!)</f>
        <v>#REF!</v>
      </c>
      <c r="O134" s="5" t="e">
        <f>SUMIF(#REF!,$A134,#REF!)+SUMIF(#REF!,$A134,#REF!)</f>
        <v>#REF!</v>
      </c>
      <c r="P134" s="5">
        <f>IFERROR(VLOOKUP($A134,#REF!,2,FALSE),0)</f>
        <v>0</v>
      </c>
      <c r="Q134" s="42" t="e">
        <f t="shared" ref="Q134:Q197" si="2">SUM(K134:P134)</f>
        <v>#REF!</v>
      </c>
    </row>
    <row r="135" spans="1:17">
      <c r="A135" s="56" t="s">
        <v>292</v>
      </c>
      <c r="B135" s="7" t="s">
        <v>65</v>
      </c>
      <c r="C135" s="7" t="s">
        <v>66</v>
      </c>
      <c r="D135" s="7" t="s">
        <v>172</v>
      </c>
      <c r="E135" s="7" t="s">
        <v>286</v>
      </c>
      <c r="F135" s="7" t="s">
        <v>287</v>
      </c>
      <c r="G135" s="7" t="s">
        <v>78</v>
      </c>
      <c r="H135" s="7" t="s">
        <v>26</v>
      </c>
      <c r="I135" s="7" t="s">
        <v>1759</v>
      </c>
      <c r="J135" s="3" t="s">
        <v>2227</v>
      </c>
      <c r="K135" s="5">
        <f>SUMIF(BC!$E$6:$E$347,$A135,BC!$K$6:$K$347)</f>
        <v>0</v>
      </c>
      <c r="L135" s="5" t="e">
        <f>SUMIF(#REF!,$A135,#REF!)+SUMIF(#REF!,$A135,#REF!)</f>
        <v>#REF!</v>
      </c>
      <c r="M135" s="5" t="e">
        <f>SUMIF(#REF!,Casilleros!$A135,#REF!)+SUMIF(#REF!,Casilleros!$A135,#REF!)+SUMIF(#REF!,$A135,#REF!)</f>
        <v>#REF!</v>
      </c>
      <c r="N135" s="5" t="e">
        <f>SUMIF(#REF!,$A135,#REF!)</f>
        <v>#REF!</v>
      </c>
      <c r="O135" s="5" t="e">
        <f>SUMIF(#REF!,$A135,#REF!)+SUMIF(#REF!,$A135,#REF!)</f>
        <v>#REF!</v>
      </c>
      <c r="P135" s="5">
        <f>IFERROR(VLOOKUP($A135,#REF!,2,FALSE),0)</f>
        <v>0</v>
      </c>
      <c r="Q135" s="42" t="e">
        <f t="shared" si="2"/>
        <v>#REF!</v>
      </c>
    </row>
    <row r="136" spans="1:17">
      <c r="A136" s="56" t="s">
        <v>293</v>
      </c>
      <c r="B136" s="7" t="s">
        <v>65</v>
      </c>
      <c r="C136" s="7" t="s">
        <v>66</v>
      </c>
      <c r="D136" s="7" t="s">
        <v>172</v>
      </c>
      <c r="E136" s="7" t="s">
        <v>286</v>
      </c>
      <c r="F136" s="7" t="s">
        <v>287</v>
      </c>
      <c r="G136" s="7" t="s">
        <v>78</v>
      </c>
      <c r="H136" s="7" t="s">
        <v>76</v>
      </c>
      <c r="I136" s="7" t="s">
        <v>1760</v>
      </c>
      <c r="J136" s="3" t="s">
        <v>2227</v>
      </c>
      <c r="K136" s="5">
        <f>SUMIF(BC!$E$6:$E$347,$A136,BC!$K$6:$K$347)</f>
        <v>0</v>
      </c>
      <c r="L136" s="5" t="e">
        <f>SUMIF(#REF!,$A136,#REF!)+SUMIF(#REF!,$A136,#REF!)</f>
        <v>#REF!</v>
      </c>
      <c r="M136" s="5" t="e">
        <f>SUMIF(#REF!,Casilleros!$A136,#REF!)+SUMIF(#REF!,Casilleros!$A136,#REF!)+SUMIF(#REF!,$A136,#REF!)</f>
        <v>#REF!</v>
      </c>
      <c r="N136" s="5" t="e">
        <f>SUMIF(#REF!,$A136,#REF!)</f>
        <v>#REF!</v>
      </c>
      <c r="O136" s="5" t="e">
        <f>SUMIF(#REF!,$A136,#REF!)+SUMIF(#REF!,$A136,#REF!)</f>
        <v>#REF!</v>
      </c>
      <c r="P136" s="5">
        <f>IFERROR(VLOOKUP($A136,#REF!,2,FALSE),0)</f>
        <v>0</v>
      </c>
      <c r="Q136" s="42" t="e">
        <f t="shared" si="2"/>
        <v>#REF!</v>
      </c>
    </row>
    <row r="137" spans="1:17">
      <c r="A137" s="56" t="s">
        <v>296</v>
      </c>
      <c r="B137" s="7" t="s">
        <v>65</v>
      </c>
      <c r="C137" s="7" t="s">
        <v>66</v>
      </c>
      <c r="D137" s="7" t="s">
        <v>172</v>
      </c>
      <c r="E137" s="7" t="s">
        <v>286</v>
      </c>
      <c r="F137" s="7" t="s">
        <v>294</v>
      </c>
      <c r="G137" s="7" t="s">
        <v>295</v>
      </c>
      <c r="H137" s="7" t="s">
        <v>73</v>
      </c>
      <c r="I137" s="7" t="s">
        <v>1761</v>
      </c>
      <c r="J137" s="3" t="s">
        <v>2227</v>
      </c>
      <c r="K137" s="5">
        <f>SUMIF(BC!$E$6:$E$347,$A137,BC!$K$6:$K$347)</f>
        <v>0</v>
      </c>
      <c r="L137" s="5" t="e">
        <f>SUMIF(#REF!,$A137,#REF!)+SUMIF(#REF!,$A137,#REF!)</f>
        <v>#REF!</v>
      </c>
      <c r="M137" s="5" t="e">
        <f>SUMIF(#REF!,Casilleros!$A137,#REF!)+SUMIF(#REF!,Casilleros!$A137,#REF!)+SUMIF(#REF!,$A137,#REF!)</f>
        <v>#REF!</v>
      </c>
      <c r="N137" s="5" t="e">
        <f>SUMIF(#REF!,$A137,#REF!)</f>
        <v>#REF!</v>
      </c>
      <c r="O137" s="5" t="e">
        <f>SUMIF(#REF!,$A137,#REF!)+SUMIF(#REF!,$A137,#REF!)</f>
        <v>#REF!</v>
      </c>
      <c r="P137" s="5">
        <f>IFERROR(VLOOKUP($A137,#REF!,2,FALSE),0)</f>
        <v>0</v>
      </c>
      <c r="Q137" s="42" t="e">
        <f t="shared" si="2"/>
        <v>#REF!</v>
      </c>
    </row>
    <row r="138" spans="1:17">
      <c r="A138" s="56" t="s">
        <v>297</v>
      </c>
      <c r="B138" s="7" t="s">
        <v>65</v>
      </c>
      <c r="C138" s="7" t="s">
        <v>66</v>
      </c>
      <c r="D138" s="7" t="s">
        <v>172</v>
      </c>
      <c r="E138" s="7" t="s">
        <v>286</v>
      </c>
      <c r="F138" s="7" t="s">
        <v>294</v>
      </c>
      <c r="G138" s="7" t="s">
        <v>295</v>
      </c>
      <c r="H138" s="7" t="s">
        <v>26</v>
      </c>
      <c r="I138" s="7" t="s">
        <v>1762</v>
      </c>
      <c r="J138" s="3" t="s">
        <v>2227</v>
      </c>
      <c r="K138" s="5">
        <f>SUMIF(BC!$E$6:$E$347,$A138,BC!$K$6:$K$347)</f>
        <v>0</v>
      </c>
      <c r="L138" s="5" t="e">
        <f>SUMIF(#REF!,$A138,#REF!)+SUMIF(#REF!,$A138,#REF!)</f>
        <v>#REF!</v>
      </c>
      <c r="M138" s="5" t="e">
        <f>SUMIF(#REF!,Casilleros!$A138,#REF!)+SUMIF(#REF!,Casilleros!$A138,#REF!)+SUMIF(#REF!,$A138,#REF!)</f>
        <v>#REF!</v>
      </c>
      <c r="N138" s="5" t="e">
        <f>SUMIF(#REF!,$A138,#REF!)</f>
        <v>#REF!</v>
      </c>
      <c r="O138" s="5" t="e">
        <f>SUMIF(#REF!,$A138,#REF!)+SUMIF(#REF!,$A138,#REF!)</f>
        <v>#REF!</v>
      </c>
      <c r="P138" s="5">
        <f>IFERROR(VLOOKUP($A138,#REF!,2,FALSE),0)</f>
        <v>0</v>
      </c>
      <c r="Q138" s="42" t="e">
        <f t="shared" si="2"/>
        <v>#REF!</v>
      </c>
    </row>
    <row r="139" spans="1:17">
      <c r="A139" s="56" t="s">
        <v>299</v>
      </c>
      <c r="B139" s="7" t="s">
        <v>65</v>
      </c>
      <c r="C139" s="7" t="s">
        <v>66</v>
      </c>
      <c r="D139" s="7" t="s">
        <v>172</v>
      </c>
      <c r="E139" s="7" t="s">
        <v>286</v>
      </c>
      <c r="F139" s="7" t="s">
        <v>294</v>
      </c>
      <c r="G139" s="7" t="s">
        <v>295</v>
      </c>
      <c r="H139" s="7" t="s">
        <v>298</v>
      </c>
      <c r="I139" s="7" t="s">
        <v>1763</v>
      </c>
      <c r="J139" s="3" t="s">
        <v>2227</v>
      </c>
      <c r="K139" s="5">
        <f>SUMIF(BC!$E$6:$E$347,$A139,BC!$K$6:$K$347)</f>
        <v>0</v>
      </c>
      <c r="L139" s="5" t="e">
        <f>SUMIF(#REF!,$A139,#REF!)+SUMIF(#REF!,$A139,#REF!)</f>
        <v>#REF!</v>
      </c>
      <c r="M139" s="5" t="e">
        <f>SUMIF(#REF!,Casilleros!$A139,#REF!)+SUMIF(#REF!,Casilleros!$A139,#REF!)+SUMIF(#REF!,$A139,#REF!)</f>
        <v>#REF!</v>
      </c>
      <c r="N139" s="5" t="e">
        <f>SUMIF(#REF!,$A139,#REF!)</f>
        <v>#REF!</v>
      </c>
      <c r="O139" s="5" t="e">
        <f>SUMIF(#REF!,$A139,#REF!)+SUMIF(#REF!,$A139,#REF!)</f>
        <v>#REF!</v>
      </c>
      <c r="P139" s="5">
        <f>IFERROR(VLOOKUP($A139,#REF!,2,FALSE),0)</f>
        <v>0</v>
      </c>
      <c r="Q139" s="42" t="e">
        <f t="shared" si="2"/>
        <v>#REF!</v>
      </c>
    </row>
    <row r="140" spans="1:17">
      <c r="A140" s="56" t="s">
        <v>300</v>
      </c>
      <c r="B140" s="7" t="s">
        <v>65</v>
      </c>
      <c r="C140" s="7" t="s">
        <v>66</v>
      </c>
      <c r="D140" s="7" t="s">
        <v>172</v>
      </c>
      <c r="E140" s="7" t="s">
        <v>286</v>
      </c>
      <c r="F140" s="7" t="s">
        <v>294</v>
      </c>
      <c r="G140" s="7" t="s">
        <v>91</v>
      </c>
      <c r="H140" s="7" t="s">
        <v>73</v>
      </c>
      <c r="I140" s="7" t="s">
        <v>1764</v>
      </c>
      <c r="J140" s="3" t="s">
        <v>2227</v>
      </c>
      <c r="K140" s="5">
        <f>SUMIF(BC!$E$6:$E$347,$A140,BC!$K$6:$K$347)</f>
        <v>0</v>
      </c>
      <c r="L140" s="5" t="e">
        <f>SUMIF(#REF!,$A140,#REF!)+SUMIF(#REF!,$A140,#REF!)</f>
        <v>#REF!</v>
      </c>
      <c r="M140" s="5" t="e">
        <f>SUMIF(#REF!,Casilleros!$A140,#REF!)+SUMIF(#REF!,Casilleros!$A140,#REF!)+SUMIF(#REF!,$A140,#REF!)</f>
        <v>#REF!</v>
      </c>
      <c r="N140" s="5" t="e">
        <f>SUMIF(#REF!,$A140,#REF!)</f>
        <v>#REF!</v>
      </c>
      <c r="O140" s="5" t="e">
        <f>SUMIF(#REF!,$A140,#REF!)+SUMIF(#REF!,$A140,#REF!)</f>
        <v>#REF!</v>
      </c>
      <c r="P140" s="5">
        <f>IFERROR(VLOOKUP($A140,#REF!,2,FALSE),0)</f>
        <v>0</v>
      </c>
      <c r="Q140" s="42" t="e">
        <f t="shared" si="2"/>
        <v>#REF!</v>
      </c>
    </row>
    <row r="141" spans="1:17">
      <c r="A141" s="56" t="s">
        <v>301</v>
      </c>
      <c r="B141" s="7" t="s">
        <v>65</v>
      </c>
      <c r="C141" s="7" t="s">
        <v>66</v>
      </c>
      <c r="D141" s="7" t="s">
        <v>172</v>
      </c>
      <c r="E141" s="7" t="s">
        <v>286</v>
      </c>
      <c r="F141" s="7" t="s">
        <v>294</v>
      </c>
      <c r="G141" s="7" t="s">
        <v>91</v>
      </c>
      <c r="H141" s="7" t="s">
        <v>26</v>
      </c>
      <c r="I141" s="7" t="s">
        <v>1765</v>
      </c>
      <c r="J141" s="3" t="s">
        <v>2227</v>
      </c>
      <c r="K141" s="5">
        <f>SUMIF(BC!$E$6:$E$347,$A141,BC!$K$6:$K$347)</f>
        <v>0</v>
      </c>
      <c r="L141" s="5" t="e">
        <f>SUMIF(#REF!,$A141,#REF!)+SUMIF(#REF!,$A141,#REF!)</f>
        <v>#REF!</v>
      </c>
      <c r="M141" s="5" t="e">
        <f>SUMIF(#REF!,Casilleros!$A141,#REF!)+SUMIF(#REF!,Casilleros!$A141,#REF!)+SUMIF(#REF!,$A141,#REF!)</f>
        <v>#REF!</v>
      </c>
      <c r="N141" s="5" t="e">
        <f>SUMIF(#REF!,$A141,#REF!)</f>
        <v>#REF!</v>
      </c>
      <c r="O141" s="5" t="e">
        <f>SUMIF(#REF!,$A141,#REF!)+SUMIF(#REF!,$A141,#REF!)</f>
        <v>#REF!</v>
      </c>
      <c r="P141" s="5">
        <f>IFERROR(VLOOKUP($A141,#REF!,2,FALSE),0)</f>
        <v>0</v>
      </c>
      <c r="Q141" s="42" t="e">
        <f t="shared" si="2"/>
        <v>#REF!</v>
      </c>
    </row>
    <row r="142" spans="1:17">
      <c r="A142" s="56" t="s">
        <v>302</v>
      </c>
      <c r="B142" s="7" t="s">
        <v>65</v>
      </c>
      <c r="C142" s="7" t="s">
        <v>66</v>
      </c>
      <c r="D142" s="7" t="s">
        <v>172</v>
      </c>
      <c r="E142" s="7" t="s">
        <v>286</v>
      </c>
      <c r="F142" s="7" t="s">
        <v>294</v>
      </c>
      <c r="G142" s="7" t="s">
        <v>91</v>
      </c>
      <c r="H142" s="7" t="s">
        <v>298</v>
      </c>
      <c r="I142" s="7" t="s">
        <v>1766</v>
      </c>
      <c r="J142" s="3" t="s">
        <v>2227</v>
      </c>
      <c r="K142" s="5">
        <f>SUMIF(BC!$E$6:$E$347,$A142,BC!$K$6:$K$347)</f>
        <v>0</v>
      </c>
      <c r="L142" s="5" t="e">
        <f>SUMIF(#REF!,$A142,#REF!)+SUMIF(#REF!,$A142,#REF!)</f>
        <v>#REF!</v>
      </c>
      <c r="M142" s="5" t="e">
        <f>SUMIF(#REF!,Casilleros!$A142,#REF!)+SUMIF(#REF!,Casilleros!$A142,#REF!)+SUMIF(#REF!,$A142,#REF!)</f>
        <v>#REF!</v>
      </c>
      <c r="N142" s="5" t="e">
        <f>SUMIF(#REF!,$A142,#REF!)</f>
        <v>#REF!</v>
      </c>
      <c r="O142" s="5" t="e">
        <f>SUMIF(#REF!,$A142,#REF!)+SUMIF(#REF!,$A142,#REF!)</f>
        <v>#REF!</v>
      </c>
      <c r="P142" s="5">
        <f>IFERROR(VLOOKUP($A142,#REF!,2,FALSE),0)</f>
        <v>0</v>
      </c>
      <c r="Q142" s="42" t="e">
        <f t="shared" si="2"/>
        <v>#REF!</v>
      </c>
    </row>
    <row r="143" spans="1:17">
      <c r="A143" s="56" t="s">
        <v>303</v>
      </c>
      <c r="B143" s="7" t="s">
        <v>65</v>
      </c>
      <c r="C143" s="7" t="s">
        <v>66</v>
      </c>
      <c r="D143" s="7" t="s">
        <v>172</v>
      </c>
      <c r="E143" s="7" t="s">
        <v>286</v>
      </c>
      <c r="F143" s="7" t="s">
        <v>294</v>
      </c>
      <c r="G143" s="7" t="s">
        <v>96</v>
      </c>
      <c r="H143" s="7" t="s">
        <v>73</v>
      </c>
      <c r="I143" s="7" t="s">
        <v>1767</v>
      </c>
      <c r="J143" s="3" t="s">
        <v>2227</v>
      </c>
      <c r="K143" s="5">
        <f>SUMIF(BC!$E$6:$E$347,$A143,BC!$K$6:$K$347)</f>
        <v>0</v>
      </c>
      <c r="L143" s="5" t="e">
        <f>SUMIF(#REF!,$A143,#REF!)+SUMIF(#REF!,$A143,#REF!)</f>
        <v>#REF!</v>
      </c>
      <c r="M143" s="5" t="e">
        <f>SUMIF(#REF!,Casilleros!$A143,#REF!)+SUMIF(#REF!,Casilleros!$A143,#REF!)+SUMIF(#REF!,$A143,#REF!)</f>
        <v>#REF!</v>
      </c>
      <c r="N143" s="5" t="e">
        <f>SUMIF(#REF!,$A143,#REF!)</f>
        <v>#REF!</v>
      </c>
      <c r="O143" s="5" t="e">
        <f>SUMIF(#REF!,$A143,#REF!)+SUMIF(#REF!,$A143,#REF!)</f>
        <v>#REF!</v>
      </c>
      <c r="P143" s="5">
        <f>IFERROR(VLOOKUP($A143,#REF!,2,FALSE),0)</f>
        <v>0</v>
      </c>
      <c r="Q143" s="42" t="e">
        <f t="shared" si="2"/>
        <v>#REF!</v>
      </c>
    </row>
    <row r="144" spans="1:17">
      <c r="A144" s="56" t="s">
        <v>304</v>
      </c>
      <c r="B144" s="7" t="s">
        <v>65</v>
      </c>
      <c r="C144" s="7" t="s">
        <v>66</v>
      </c>
      <c r="D144" s="7" t="s">
        <v>172</v>
      </c>
      <c r="E144" s="7" t="s">
        <v>286</v>
      </c>
      <c r="F144" s="7" t="s">
        <v>294</v>
      </c>
      <c r="G144" s="7" t="s">
        <v>96</v>
      </c>
      <c r="H144" s="7" t="s">
        <v>26</v>
      </c>
      <c r="I144" s="7" t="s">
        <v>1768</v>
      </c>
      <c r="J144" s="3" t="s">
        <v>2227</v>
      </c>
      <c r="K144" s="5">
        <f>SUMIF(BC!$E$6:$E$347,$A144,BC!$K$6:$K$347)</f>
        <v>0</v>
      </c>
      <c r="L144" s="5" t="e">
        <f>SUMIF(#REF!,$A144,#REF!)+SUMIF(#REF!,$A144,#REF!)</f>
        <v>#REF!</v>
      </c>
      <c r="M144" s="5" t="e">
        <f>SUMIF(#REF!,Casilleros!$A144,#REF!)+SUMIF(#REF!,Casilleros!$A144,#REF!)+SUMIF(#REF!,$A144,#REF!)</f>
        <v>#REF!</v>
      </c>
      <c r="N144" s="5" t="e">
        <f>SUMIF(#REF!,$A144,#REF!)</f>
        <v>#REF!</v>
      </c>
      <c r="O144" s="5" t="e">
        <f>SUMIF(#REF!,$A144,#REF!)+SUMIF(#REF!,$A144,#REF!)</f>
        <v>#REF!</v>
      </c>
      <c r="P144" s="5">
        <f>IFERROR(VLOOKUP($A144,#REF!,2,FALSE),0)</f>
        <v>0</v>
      </c>
      <c r="Q144" s="42" t="e">
        <f t="shared" si="2"/>
        <v>#REF!</v>
      </c>
    </row>
    <row r="145" spans="1:17">
      <c r="A145" s="56" t="s">
        <v>305</v>
      </c>
      <c r="B145" s="7" t="s">
        <v>65</v>
      </c>
      <c r="C145" s="7" t="s">
        <v>66</v>
      </c>
      <c r="D145" s="7" t="s">
        <v>172</v>
      </c>
      <c r="E145" s="7" t="s">
        <v>286</v>
      </c>
      <c r="F145" s="7" t="s">
        <v>294</v>
      </c>
      <c r="G145" s="7" t="s">
        <v>96</v>
      </c>
      <c r="H145" s="7" t="s">
        <v>94</v>
      </c>
      <c r="I145" s="7" t="s">
        <v>1769</v>
      </c>
      <c r="J145" s="3" t="s">
        <v>2227</v>
      </c>
      <c r="K145" s="5">
        <f>SUMIF(BC!$E$6:$E$347,$A145,BC!$K$6:$K$347)</f>
        <v>0</v>
      </c>
      <c r="L145" s="5" t="e">
        <f>SUMIF(#REF!,$A145,#REF!)+SUMIF(#REF!,$A145,#REF!)</f>
        <v>#REF!</v>
      </c>
      <c r="M145" s="5" t="e">
        <f>SUMIF(#REF!,Casilleros!$A145,#REF!)+SUMIF(#REF!,Casilleros!$A145,#REF!)+SUMIF(#REF!,$A145,#REF!)</f>
        <v>#REF!</v>
      </c>
      <c r="N145" s="5" t="e">
        <f>SUMIF(#REF!,$A145,#REF!)</f>
        <v>#REF!</v>
      </c>
      <c r="O145" s="5" t="e">
        <f>SUMIF(#REF!,$A145,#REF!)+SUMIF(#REF!,$A145,#REF!)</f>
        <v>#REF!</v>
      </c>
      <c r="P145" s="5">
        <f>IFERROR(VLOOKUP($A145,#REF!,2,FALSE),0)</f>
        <v>0</v>
      </c>
      <c r="Q145" s="42" t="e">
        <f t="shared" si="2"/>
        <v>#REF!</v>
      </c>
    </row>
    <row r="146" spans="1:17">
      <c r="A146" s="56" t="s">
        <v>307</v>
      </c>
      <c r="B146" s="7" t="s">
        <v>65</v>
      </c>
      <c r="C146" s="7" t="s">
        <v>66</v>
      </c>
      <c r="D146" s="7" t="s">
        <v>172</v>
      </c>
      <c r="E146" s="7" t="s">
        <v>306</v>
      </c>
      <c r="F146" s="7" t="s">
        <v>101</v>
      </c>
      <c r="G146" s="7" t="s">
        <v>444</v>
      </c>
      <c r="H146" s="7" t="s">
        <v>444</v>
      </c>
      <c r="I146" s="7" t="s">
        <v>1770</v>
      </c>
      <c r="J146" s="3" t="s">
        <v>2229</v>
      </c>
      <c r="K146" s="5">
        <f>SUMIF(BC!$E$6:$E$347,$A146,BC!$K$6:$K$347)</f>
        <v>0</v>
      </c>
      <c r="L146" s="5" t="e">
        <f>SUMIF(#REF!,$A146,#REF!)+SUMIF(#REF!,$A146,#REF!)</f>
        <v>#REF!</v>
      </c>
      <c r="M146" s="5" t="e">
        <f>SUMIF(#REF!,Casilleros!$A146,#REF!)+SUMIF(#REF!,Casilleros!$A146,#REF!)+SUMIF(#REF!,$A146,#REF!)</f>
        <v>#REF!</v>
      </c>
      <c r="N146" s="5" t="e">
        <f>SUMIF(#REF!,$A146,#REF!)</f>
        <v>#REF!</v>
      </c>
      <c r="O146" s="5" t="e">
        <f>SUMIF(#REF!,$A146,#REF!)+SUMIF(#REF!,$A146,#REF!)</f>
        <v>#REF!</v>
      </c>
      <c r="P146" s="5">
        <f>IFERROR(VLOOKUP($A146,#REF!,2,FALSE),0)</f>
        <v>0</v>
      </c>
      <c r="Q146" s="42" t="e">
        <f t="shared" si="2"/>
        <v>#REF!</v>
      </c>
    </row>
    <row r="147" spans="1:17">
      <c r="A147" s="56" t="s">
        <v>309</v>
      </c>
      <c r="B147" s="7" t="s">
        <v>65</v>
      </c>
      <c r="C147" s="7" t="s">
        <v>66</v>
      </c>
      <c r="D147" s="7" t="s">
        <v>172</v>
      </c>
      <c r="E147" s="7" t="s">
        <v>306</v>
      </c>
      <c r="F147" s="7" t="s">
        <v>308</v>
      </c>
      <c r="G147" s="7" t="s">
        <v>444</v>
      </c>
      <c r="H147" s="7" t="s">
        <v>444</v>
      </c>
      <c r="I147" s="7" t="s">
        <v>1771</v>
      </c>
      <c r="J147" s="3" t="s">
        <v>2229</v>
      </c>
      <c r="K147" s="5">
        <f>SUMIF(BC!$E$6:$E$347,$A147,BC!$K$6:$K$347)</f>
        <v>0</v>
      </c>
      <c r="L147" s="5" t="e">
        <f>SUMIF(#REF!,$A147,#REF!)+SUMIF(#REF!,$A147,#REF!)</f>
        <v>#REF!</v>
      </c>
      <c r="M147" s="5" t="e">
        <f>SUMIF(#REF!,Casilleros!$A147,#REF!)+SUMIF(#REF!,Casilleros!$A147,#REF!)+SUMIF(#REF!,$A147,#REF!)</f>
        <v>#REF!</v>
      </c>
      <c r="N147" s="5" t="e">
        <f>SUMIF(#REF!,$A147,#REF!)</f>
        <v>#REF!</v>
      </c>
      <c r="O147" s="5" t="e">
        <f>SUMIF(#REF!,$A147,#REF!)+SUMIF(#REF!,$A147,#REF!)</f>
        <v>#REF!</v>
      </c>
      <c r="P147" s="5">
        <f>IFERROR(VLOOKUP($A147,#REF!,2,FALSE),0)</f>
        <v>0</v>
      </c>
      <c r="Q147" s="42" t="e">
        <f t="shared" si="2"/>
        <v>#REF!</v>
      </c>
    </row>
    <row r="148" spans="1:17">
      <c r="A148" s="56" t="s">
        <v>310</v>
      </c>
      <c r="B148" s="7" t="s">
        <v>65</v>
      </c>
      <c r="C148" s="7" t="s">
        <v>66</v>
      </c>
      <c r="D148" s="7" t="s">
        <v>172</v>
      </c>
      <c r="E148" s="7" t="s">
        <v>306</v>
      </c>
      <c r="F148" s="7" t="s">
        <v>105</v>
      </c>
      <c r="G148" s="7" t="s">
        <v>444</v>
      </c>
      <c r="H148" s="7" t="s">
        <v>444</v>
      </c>
      <c r="I148" s="7" t="s">
        <v>1772</v>
      </c>
      <c r="J148" s="3" t="s">
        <v>2229</v>
      </c>
      <c r="K148" s="5">
        <f>SUMIF(BC!$E$6:$E$347,$A148,BC!$K$6:$K$347)</f>
        <v>0</v>
      </c>
      <c r="L148" s="5" t="e">
        <f>SUMIF(#REF!,$A148,#REF!)+SUMIF(#REF!,$A148,#REF!)</f>
        <v>#REF!</v>
      </c>
      <c r="M148" s="5" t="e">
        <f>SUMIF(#REF!,Casilleros!$A148,#REF!)+SUMIF(#REF!,Casilleros!$A148,#REF!)+SUMIF(#REF!,$A148,#REF!)</f>
        <v>#REF!</v>
      </c>
      <c r="N148" s="5" t="e">
        <f>SUMIF(#REF!,$A148,#REF!)</f>
        <v>#REF!</v>
      </c>
      <c r="O148" s="5" t="e">
        <f>SUMIF(#REF!,$A148,#REF!)+SUMIF(#REF!,$A148,#REF!)</f>
        <v>#REF!</v>
      </c>
      <c r="P148" s="5">
        <f>IFERROR(VLOOKUP($A148,#REF!,2,FALSE),0)</f>
        <v>0</v>
      </c>
      <c r="Q148" s="42" t="e">
        <f t="shared" si="2"/>
        <v>#REF!</v>
      </c>
    </row>
    <row r="149" spans="1:17">
      <c r="A149" s="56" t="s">
        <v>312</v>
      </c>
      <c r="B149" s="7" t="s">
        <v>65</v>
      </c>
      <c r="C149" s="7" t="s">
        <v>66</v>
      </c>
      <c r="D149" s="7" t="s">
        <v>172</v>
      </c>
      <c r="E149" s="7" t="s">
        <v>311</v>
      </c>
      <c r="F149" s="7" t="s">
        <v>108</v>
      </c>
      <c r="G149" s="7" t="s">
        <v>444</v>
      </c>
      <c r="H149" s="7" t="s">
        <v>444</v>
      </c>
      <c r="I149" s="7" t="s">
        <v>1773</v>
      </c>
      <c r="J149" s="3" t="s">
        <v>2231</v>
      </c>
      <c r="K149" s="5">
        <f>SUMIF(BC!$E$6:$E$347,$A149,BC!$K$6:$K$347)</f>
        <v>0</v>
      </c>
      <c r="L149" s="5" t="e">
        <f>SUMIF(#REF!,$A149,#REF!)+SUMIF(#REF!,$A149,#REF!)</f>
        <v>#REF!</v>
      </c>
      <c r="M149" s="5" t="e">
        <f>SUMIF(#REF!,Casilleros!$A149,#REF!)+SUMIF(#REF!,Casilleros!$A149,#REF!)+SUMIF(#REF!,$A149,#REF!)</f>
        <v>#REF!</v>
      </c>
      <c r="N149" s="5" t="e">
        <f>SUMIF(#REF!,$A149,#REF!)</f>
        <v>#REF!</v>
      </c>
      <c r="O149" s="5" t="e">
        <f>SUMIF(#REF!,$A149,#REF!)+SUMIF(#REF!,$A149,#REF!)</f>
        <v>#REF!</v>
      </c>
      <c r="P149" s="5">
        <f>IFERROR(VLOOKUP($A149,#REF!,2,FALSE),0)</f>
        <v>0</v>
      </c>
      <c r="Q149" s="42" t="e">
        <f t="shared" si="2"/>
        <v>#REF!</v>
      </c>
    </row>
    <row r="150" spans="1:17">
      <c r="A150" s="56" t="s">
        <v>314</v>
      </c>
      <c r="B150" s="7" t="s">
        <v>65</v>
      </c>
      <c r="C150" s="7" t="s">
        <v>66</v>
      </c>
      <c r="D150" s="7" t="s">
        <v>172</v>
      </c>
      <c r="E150" s="7" t="s">
        <v>311</v>
      </c>
      <c r="F150" s="7" t="s">
        <v>313</v>
      </c>
      <c r="G150" s="7" t="s">
        <v>444</v>
      </c>
      <c r="H150" s="7" t="s">
        <v>444</v>
      </c>
      <c r="I150" s="7" t="s">
        <v>1774</v>
      </c>
      <c r="J150" s="3" t="s">
        <v>2231</v>
      </c>
      <c r="K150" s="5">
        <f>SUMIF(BC!$E$6:$E$347,$A150,BC!$K$6:$K$347)</f>
        <v>0</v>
      </c>
      <c r="L150" s="5" t="e">
        <f>SUMIF(#REF!,$A150,#REF!)+SUMIF(#REF!,$A150,#REF!)</f>
        <v>#REF!</v>
      </c>
      <c r="M150" s="5" t="e">
        <f>SUMIF(#REF!,Casilleros!$A150,#REF!)+SUMIF(#REF!,Casilleros!$A150,#REF!)+SUMIF(#REF!,$A150,#REF!)</f>
        <v>#REF!</v>
      </c>
      <c r="N150" s="5" t="e">
        <f>SUMIF(#REF!,$A150,#REF!)</f>
        <v>#REF!</v>
      </c>
      <c r="O150" s="5" t="e">
        <f>SUMIF(#REF!,$A150,#REF!)+SUMIF(#REF!,$A150,#REF!)</f>
        <v>#REF!</v>
      </c>
      <c r="P150" s="5">
        <f>IFERROR(VLOOKUP($A150,#REF!,2,FALSE),0)</f>
        <v>0</v>
      </c>
      <c r="Q150" s="42" t="e">
        <f t="shared" si="2"/>
        <v>#REF!</v>
      </c>
    </row>
    <row r="151" spans="1:17">
      <c r="A151" s="56" t="s">
        <v>317</v>
      </c>
      <c r="B151" s="7" t="s">
        <v>65</v>
      </c>
      <c r="C151" s="7" t="s">
        <v>66</v>
      </c>
      <c r="D151" s="7" t="s">
        <v>172</v>
      </c>
      <c r="E151" s="7" t="s">
        <v>315</v>
      </c>
      <c r="F151" s="7" t="s">
        <v>316</v>
      </c>
      <c r="G151" s="7" t="s">
        <v>444</v>
      </c>
      <c r="H151" s="7" t="s">
        <v>444</v>
      </c>
      <c r="I151" s="7" t="s">
        <v>1775</v>
      </c>
      <c r="J151" s="3" t="s">
        <v>2233</v>
      </c>
      <c r="K151" s="5">
        <f>SUMIF(BC!$E$6:$E$347,$A151,BC!$K$6:$K$347)</f>
        <v>0</v>
      </c>
      <c r="L151" s="5" t="e">
        <f>SUMIF(#REF!,$A151,#REF!)+SUMIF(#REF!,$A151,#REF!)</f>
        <v>#REF!</v>
      </c>
      <c r="M151" s="5" t="e">
        <f>SUMIF(#REF!,Casilleros!$A151,#REF!)+SUMIF(#REF!,Casilleros!$A151,#REF!)+SUMIF(#REF!,$A151,#REF!)</f>
        <v>#REF!</v>
      </c>
      <c r="N151" s="5" t="e">
        <f>SUMIF(#REF!,$A151,#REF!)</f>
        <v>#REF!</v>
      </c>
      <c r="O151" s="5" t="e">
        <f>SUMIF(#REF!,$A151,#REF!)+SUMIF(#REF!,$A151,#REF!)</f>
        <v>#REF!</v>
      </c>
      <c r="P151" s="5">
        <f>IFERROR(VLOOKUP($A151,#REF!,2,FALSE),0)</f>
        <v>0</v>
      </c>
      <c r="Q151" s="42" t="e">
        <f t="shared" si="2"/>
        <v>#REF!</v>
      </c>
    </row>
    <row r="152" spans="1:17">
      <c r="A152" s="56" t="s">
        <v>319</v>
      </c>
      <c r="B152" s="7" t="s">
        <v>65</v>
      </c>
      <c r="C152" s="7" t="s">
        <v>66</v>
      </c>
      <c r="D152" s="7" t="s">
        <v>172</v>
      </c>
      <c r="E152" s="7" t="s">
        <v>315</v>
      </c>
      <c r="F152" s="7" t="s">
        <v>318</v>
      </c>
      <c r="G152" s="7" t="s">
        <v>444</v>
      </c>
      <c r="H152" s="7" t="s">
        <v>444</v>
      </c>
      <c r="I152" s="7" t="s">
        <v>1776</v>
      </c>
      <c r="J152" s="3" t="s">
        <v>2233</v>
      </c>
      <c r="K152" s="5">
        <f>SUMIF(BC!$E$6:$E$347,$A152,BC!$K$6:$K$347)</f>
        <v>0</v>
      </c>
      <c r="L152" s="5" t="e">
        <f>SUMIF(#REF!,$A152,#REF!)+SUMIF(#REF!,$A152,#REF!)</f>
        <v>#REF!</v>
      </c>
      <c r="M152" s="5" t="e">
        <f>SUMIF(#REF!,Casilleros!$A152,#REF!)+SUMIF(#REF!,Casilleros!$A152,#REF!)+SUMIF(#REF!,$A152,#REF!)</f>
        <v>#REF!</v>
      </c>
      <c r="N152" s="5" t="e">
        <f>SUMIF(#REF!,$A152,#REF!)</f>
        <v>#REF!</v>
      </c>
      <c r="O152" s="5" t="e">
        <f>SUMIF(#REF!,$A152,#REF!)+SUMIF(#REF!,$A152,#REF!)</f>
        <v>#REF!</v>
      </c>
      <c r="P152" s="5">
        <f>IFERROR(VLOOKUP($A152,#REF!,2,FALSE),0)</f>
        <v>0</v>
      </c>
      <c r="Q152" s="42" t="e">
        <f t="shared" si="2"/>
        <v>#REF!</v>
      </c>
    </row>
    <row r="153" spans="1:17">
      <c r="A153" s="56" t="s">
        <v>321</v>
      </c>
      <c r="B153" s="7" t="s">
        <v>65</v>
      </c>
      <c r="C153" s="7" t="s">
        <v>66</v>
      </c>
      <c r="D153" s="7" t="s">
        <v>172</v>
      </c>
      <c r="E153" s="7" t="s">
        <v>315</v>
      </c>
      <c r="F153" s="7" t="s">
        <v>320</v>
      </c>
      <c r="G153" s="7" t="s">
        <v>116</v>
      </c>
      <c r="H153" s="7" t="s">
        <v>444</v>
      </c>
      <c r="I153" s="7" t="s">
        <v>1777</v>
      </c>
      <c r="J153" s="3" t="s">
        <v>2233</v>
      </c>
      <c r="K153" s="5">
        <f>SUMIF(BC!$E$6:$E$347,$A153,BC!$K$6:$K$347)</f>
        <v>0</v>
      </c>
      <c r="L153" s="5" t="e">
        <f>SUMIF(#REF!,$A153,#REF!)+SUMIF(#REF!,$A153,#REF!)</f>
        <v>#REF!</v>
      </c>
      <c r="M153" s="5" t="e">
        <f>SUMIF(#REF!,Casilleros!$A153,#REF!)+SUMIF(#REF!,Casilleros!$A153,#REF!)+SUMIF(#REF!,$A153,#REF!)</f>
        <v>#REF!</v>
      </c>
      <c r="N153" s="5" t="e">
        <f>SUMIF(#REF!,$A153,#REF!)</f>
        <v>#REF!</v>
      </c>
      <c r="O153" s="5" t="e">
        <f>SUMIF(#REF!,$A153,#REF!)+SUMIF(#REF!,$A153,#REF!)</f>
        <v>#REF!</v>
      </c>
      <c r="P153" s="5">
        <f>IFERROR(VLOOKUP($A153,#REF!,2,FALSE),0)</f>
        <v>0</v>
      </c>
      <c r="Q153" s="42" t="e">
        <f t="shared" si="2"/>
        <v>#REF!</v>
      </c>
    </row>
    <row r="154" spans="1:17">
      <c r="A154" s="56" t="s">
        <v>322</v>
      </c>
      <c r="B154" s="7" t="s">
        <v>65</v>
      </c>
      <c r="C154" s="7" t="s">
        <v>66</v>
      </c>
      <c r="D154" s="7" t="s">
        <v>172</v>
      </c>
      <c r="E154" s="7" t="s">
        <v>315</v>
      </c>
      <c r="F154" s="7" t="s">
        <v>320</v>
      </c>
      <c r="G154" s="7" t="s">
        <v>120</v>
      </c>
      <c r="H154" s="7" t="s">
        <v>444</v>
      </c>
      <c r="I154" s="7" t="s">
        <v>1778</v>
      </c>
      <c r="J154" s="3" t="s">
        <v>2233</v>
      </c>
      <c r="K154" s="5">
        <f>SUMIF(BC!$E$6:$E$347,$A154,BC!$K$6:$K$347)</f>
        <v>0</v>
      </c>
      <c r="L154" s="5" t="e">
        <f>SUMIF(#REF!,$A154,#REF!)+SUMIF(#REF!,$A154,#REF!)</f>
        <v>#REF!</v>
      </c>
      <c r="M154" s="5" t="e">
        <f>SUMIF(#REF!,Casilleros!$A154,#REF!)+SUMIF(#REF!,Casilleros!$A154,#REF!)+SUMIF(#REF!,$A154,#REF!)</f>
        <v>#REF!</v>
      </c>
      <c r="N154" s="5" t="e">
        <f>SUMIF(#REF!,$A154,#REF!)</f>
        <v>#REF!</v>
      </c>
      <c r="O154" s="5" t="e">
        <f>SUMIF(#REF!,$A154,#REF!)+SUMIF(#REF!,$A154,#REF!)</f>
        <v>#REF!</v>
      </c>
      <c r="P154" s="5">
        <f>IFERROR(VLOOKUP($A154,#REF!,2,FALSE),0)</f>
        <v>0</v>
      </c>
      <c r="Q154" s="42" t="e">
        <f t="shared" si="2"/>
        <v>#REF!</v>
      </c>
    </row>
    <row r="155" spans="1:17">
      <c r="A155" s="56" t="s">
        <v>323</v>
      </c>
      <c r="B155" s="7" t="s">
        <v>65</v>
      </c>
      <c r="C155" s="7" t="s">
        <v>66</v>
      </c>
      <c r="D155" s="7" t="s">
        <v>172</v>
      </c>
      <c r="E155" s="7" t="s">
        <v>315</v>
      </c>
      <c r="F155" s="7" t="s">
        <v>320</v>
      </c>
      <c r="G155" s="7" t="s">
        <v>122</v>
      </c>
      <c r="H155" s="7" t="s">
        <v>444</v>
      </c>
      <c r="I155" s="7" t="s">
        <v>1779</v>
      </c>
      <c r="J155" s="3" t="s">
        <v>2233</v>
      </c>
      <c r="K155" s="5">
        <f>SUMIF(BC!$E$6:$E$347,$A155,BC!$K$6:$K$347)</f>
        <v>0</v>
      </c>
      <c r="L155" s="5" t="e">
        <f>SUMIF(#REF!,$A155,#REF!)+SUMIF(#REF!,$A155,#REF!)</f>
        <v>#REF!</v>
      </c>
      <c r="M155" s="5" t="e">
        <f>SUMIF(#REF!,Casilleros!$A155,#REF!)+SUMIF(#REF!,Casilleros!$A155,#REF!)+SUMIF(#REF!,$A155,#REF!)</f>
        <v>#REF!</v>
      </c>
      <c r="N155" s="5" t="e">
        <f>SUMIF(#REF!,$A155,#REF!)</f>
        <v>#REF!</v>
      </c>
      <c r="O155" s="5" t="e">
        <f>SUMIF(#REF!,$A155,#REF!)+SUMIF(#REF!,$A155,#REF!)</f>
        <v>#REF!</v>
      </c>
      <c r="P155" s="5">
        <f>IFERROR(VLOOKUP($A155,#REF!,2,FALSE),0)</f>
        <v>0</v>
      </c>
      <c r="Q155" s="42" t="e">
        <f t="shared" si="2"/>
        <v>#REF!</v>
      </c>
    </row>
    <row r="156" spans="1:17">
      <c r="A156" s="56" t="s">
        <v>325</v>
      </c>
      <c r="B156" s="7" t="s">
        <v>65</v>
      </c>
      <c r="C156" s="7" t="s">
        <v>66</v>
      </c>
      <c r="D156" s="7" t="s">
        <v>172</v>
      </c>
      <c r="E156" s="7" t="s">
        <v>324</v>
      </c>
      <c r="F156" s="7" t="s">
        <v>444</v>
      </c>
      <c r="G156" s="7" t="s">
        <v>444</v>
      </c>
      <c r="H156" s="7" t="s">
        <v>444</v>
      </c>
      <c r="I156" s="7" t="s">
        <v>324</v>
      </c>
      <c r="J156" s="3" t="s">
        <v>2235</v>
      </c>
      <c r="K156" s="5">
        <f>SUMIF(BC!$E$6:$E$347,$A156,BC!$K$6:$K$347)</f>
        <v>0</v>
      </c>
      <c r="L156" s="5" t="e">
        <f>SUMIF(#REF!,$A156,#REF!)+SUMIF(#REF!,$A156,#REF!)</f>
        <v>#REF!</v>
      </c>
      <c r="M156" s="5" t="e">
        <f>SUMIF(#REF!,Casilleros!$A156,#REF!)+SUMIF(#REF!,Casilleros!$A156,#REF!)+SUMIF(#REF!,$A156,#REF!)</f>
        <v>#REF!</v>
      </c>
      <c r="N156" s="5" t="e">
        <f>SUMIF(#REF!,$A156,#REF!)</f>
        <v>#REF!</v>
      </c>
      <c r="O156" s="5" t="e">
        <f>SUMIF(#REF!,$A156,#REF!)+SUMIF(#REF!,$A156,#REF!)</f>
        <v>#REF!</v>
      </c>
      <c r="P156" s="5">
        <f>IFERROR(VLOOKUP($A156,#REF!,2,FALSE),0)</f>
        <v>0</v>
      </c>
      <c r="Q156" s="42" t="e">
        <f t="shared" si="2"/>
        <v>#REF!</v>
      </c>
    </row>
    <row r="157" spans="1:17">
      <c r="A157" s="56" t="s">
        <v>327</v>
      </c>
      <c r="B157" s="7" t="s">
        <v>65</v>
      </c>
      <c r="C157" s="7" t="s">
        <v>66</v>
      </c>
      <c r="D157" s="7" t="s">
        <v>326</v>
      </c>
      <c r="E157" s="7" t="s">
        <v>444</v>
      </c>
      <c r="F157" s="7" t="s">
        <v>444</v>
      </c>
      <c r="G157" s="7" t="s">
        <v>444</v>
      </c>
      <c r="H157" s="7" t="s">
        <v>444</v>
      </c>
      <c r="I157" s="7" t="s">
        <v>1780</v>
      </c>
      <c r="K157" s="5">
        <f>SUMIF(BC!$E$6:$E$347,$A157,BC!$K$6:$K$347)</f>
        <v>0</v>
      </c>
      <c r="L157" s="5" t="e">
        <f>SUMIF(#REF!,$A157,#REF!)+SUMIF(#REF!,$A157,#REF!)</f>
        <v>#REF!</v>
      </c>
      <c r="M157" s="5" t="e">
        <f>SUMIF(#REF!,Casilleros!$A157,#REF!)+SUMIF(#REF!,Casilleros!$A157,#REF!)+SUMIF(#REF!,$A157,#REF!)</f>
        <v>#REF!</v>
      </c>
      <c r="N157" s="5" t="e">
        <f>SUMIF(#REF!,$A157,#REF!)</f>
        <v>#REF!</v>
      </c>
      <c r="O157" s="5" t="e">
        <f>SUMIF(#REF!,$A157,#REF!)+SUMIF(#REF!,$A157,#REF!)</f>
        <v>#REF!</v>
      </c>
      <c r="P157" s="5">
        <f>IFERROR(VLOOKUP($A157,#REF!,2,FALSE),0)</f>
        <v>0</v>
      </c>
      <c r="Q157" s="42" t="e">
        <f t="shared" si="2"/>
        <v>#REF!</v>
      </c>
    </row>
    <row r="158" spans="1:17">
      <c r="A158" s="56" t="s">
        <v>330</v>
      </c>
      <c r="B158" s="7" t="s">
        <v>65</v>
      </c>
      <c r="C158" s="7" t="s">
        <v>66</v>
      </c>
      <c r="D158" s="7" t="s">
        <v>328</v>
      </c>
      <c r="E158" s="7" t="s">
        <v>329</v>
      </c>
      <c r="F158" s="7" t="s">
        <v>444</v>
      </c>
      <c r="G158" s="7" t="s">
        <v>444</v>
      </c>
      <c r="H158" s="7" t="s">
        <v>444</v>
      </c>
      <c r="I158" s="7" t="s">
        <v>1781</v>
      </c>
      <c r="K158" s="5">
        <f>SUMIF(BC!$E$6:$E$347,$A158,BC!$K$6:$K$347)</f>
        <v>0</v>
      </c>
      <c r="L158" s="5" t="e">
        <f>SUMIF(#REF!,$A158,#REF!)+SUMIF(#REF!,$A158,#REF!)</f>
        <v>#REF!</v>
      </c>
      <c r="M158" s="5" t="e">
        <f>SUMIF(#REF!,Casilleros!$A158,#REF!)+SUMIF(#REF!,Casilleros!$A158,#REF!)+SUMIF(#REF!,$A158,#REF!)</f>
        <v>#REF!</v>
      </c>
      <c r="N158" s="5" t="e">
        <f>SUMIF(#REF!,$A158,#REF!)</f>
        <v>#REF!</v>
      </c>
      <c r="O158" s="5" t="e">
        <f>SUMIF(#REF!,$A158,#REF!)+SUMIF(#REF!,$A158,#REF!)</f>
        <v>#REF!</v>
      </c>
      <c r="P158" s="5">
        <f>IFERROR(VLOOKUP($A158,#REF!,2,FALSE),0)</f>
        <v>0</v>
      </c>
      <c r="Q158" s="42" t="e">
        <f t="shared" si="2"/>
        <v>#REF!</v>
      </c>
    </row>
    <row r="159" spans="1:17">
      <c r="A159" s="56" t="s">
        <v>332</v>
      </c>
      <c r="B159" s="7" t="s">
        <v>65</v>
      </c>
      <c r="C159" s="7" t="s">
        <v>66</v>
      </c>
      <c r="D159" s="7" t="s">
        <v>328</v>
      </c>
      <c r="E159" s="7" t="s">
        <v>331</v>
      </c>
      <c r="F159" s="7" t="s">
        <v>444</v>
      </c>
      <c r="G159" s="7" t="s">
        <v>444</v>
      </c>
      <c r="H159" s="7" t="s">
        <v>444</v>
      </c>
      <c r="I159" s="7" t="s">
        <v>1782</v>
      </c>
      <c r="K159" s="5">
        <f>SUMIF(BC!$E$6:$E$347,$A159,BC!$K$6:$K$347)</f>
        <v>0</v>
      </c>
      <c r="L159" s="5" t="e">
        <f>SUMIF(#REF!,$A159,#REF!)+SUMIF(#REF!,$A159,#REF!)</f>
        <v>#REF!</v>
      </c>
      <c r="M159" s="5" t="e">
        <f>SUMIF(#REF!,Casilleros!$A159,#REF!)+SUMIF(#REF!,Casilleros!$A159,#REF!)+SUMIF(#REF!,$A159,#REF!)</f>
        <v>#REF!</v>
      </c>
      <c r="N159" s="5" t="e">
        <f>SUMIF(#REF!,$A159,#REF!)</f>
        <v>#REF!</v>
      </c>
      <c r="O159" s="5" t="e">
        <f>SUMIF(#REF!,$A159,#REF!)+SUMIF(#REF!,$A159,#REF!)</f>
        <v>#REF!</v>
      </c>
      <c r="P159" s="5">
        <f>IFERROR(VLOOKUP($A159,#REF!,2,FALSE),0)</f>
        <v>0</v>
      </c>
      <c r="Q159" s="42" t="e">
        <f t="shared" si="2"/>
        <v>#REF!</v>
      </c>
    </row>
    <row r="160" spans="1:17">
      <c r="A160" s="56" t="s">
        <v>334</v>
      </c>
      <c r="B160" s="7" t="s">
        <v>65</v>
      </c>
      <c r="C160" s="7" t="s">
        <v>66</v>
      </c>
      <c r="D160" s="7" t="s">
        <v>328</v>
      </c>
      <c r="E160" s="7" t="s">
        <v>333</v>
      </c>
      <c r="F160" s="7" t="s">
        <v>444</v>
      </c>
      <c r="G160" s="7" t="s">
        <v>444</v>
      </c>
      <c r="H160" s="7" t="s">
        <v>444</v>
      </c>
      <c r="I160" s="7" t="s">
        <v>1783</v>
      </c>
      <c r="K160" s="5">
        <f>SUMIF(BC!$E$6:$E$347,$A160,BC!$K$6:$K$347)</f>
        <v>0</v>
      </c>
      <c r="L160" s="5" t="e">
        <f>SUMIF(#REF!,$A160,#REF!)+SUMIF(#REF!,$A160,#REF!)</f>
        <v>#REF!</v>
      </c>
      <c r="M160" s="5" t="e">
        <f>SUMIF(#REF!,Casilleros!$A160,#REF!)+SUMIF(#REF!,Casilleros!$A160,#REF!)+SUMIF(#REF!,$A160,#REF!)</f>
        <v>#REF!</v>
      </c>
      <c r="N160" s="5" t="e">
        <f>SUMIF(#REF!,$A160,#REF!)</f>
        <v>#REF!</v>
      </c>
      <c r="O160" s="5" t="e">
        <f>SUMIF(#REF!,$A160,#REF!)+SUMIF(#REF!,$A160,#REF!)</f>
        <v>#REF!</v>
      </c>
      <c r="P160" s="5">
        <f>IFERROR(VLOOKUP($A160,#REF!,2,FALSE),0)</f>
        <v>0</v>
      </c>
      <c r="Q160" s="42" t="e">
        <f t="shared" si="2"/>
        <v>#REF!</v>
      </c>
    </row>
    <row r="161" spans="1:17">
      <c r="A161" s="56" t="s">
        <v>336</v>
      </c>
      <c r="B161" s="7" t="s">
        <v>65</v>
      </c>
      <c r="C161" s="7" t="s">
        <v>66</v>
      </c>
      <c r="D161" s="7" t="s">
        <v>328</v>
      </c>
      <c r="E161" s="7" t="s">
        <v>335</v>
      </c>
      <c r="F161" s="7" t="s">
        <v>444</v>
      </c>
      <c r="G161" s="7" t="s">
        <v>444</v>
      </c>
      <c r="H161" s="7" t="s">
        <v>444</v>
      </c>
      <c r="I161" s="7" t="s">
        <v>1784</v>
      </c>
      <c r="K161" s="5">
        <f>SUMIF(BC!$E$6:$E$347,$A161,BC!$K$6:$K$347)</f>
        <v>0</v>
      </c>
      <c r="L161" s="5" t="e">
        <f>SUMIF(#REF!,$A161,#REF!)+SUMIF(#REF!,$A161,#REF!)</f>
        <v>#REF!</v>
      </c>
      <c r="M161" s="5" t="e">
        <f>SUMIF(#REF!,Casilleros!$A161,#REF!)+SUMIF(#REF!,Casilleros!$A161,#REF!)+SUMIF(#REF!,$A161,#REF!)</f>
        <v>#REF!</v>
      </c>
      <c r="N161" s="5" t="e">
        <f>SUMIF(#REF!,$A161,#REF!)</f>
        <v>#REF!</v>
      </c>
      <c r="O161" s="5" t="e">
        <f>SUMIF(#REF!,$A161,#REF!)+SUMIF(#REF!,$A161,#REF!)</f>
        <v>#REF!</v>
      </c>
      <c r="P161" s="5">
        <f>IFERROR(VLOOKUP($A161,#REF!,2,FALSE),0)</f>
        <v>0</v>
      </c>
      <c r="Q161" s="42" t="e">
        <f t="shared" si="2"/>
        <v>#REF!</v>
      </c>
    </row>
    <row r="162" spans="1:17">
      <c r="A162" s="56" t="s">
        <v>338</v>
      </c>
      <c r="B162" s="7" t="s">
        <v>65</v>
      </c>
      <c r="C162" s="7" t="s">
        <v>66</v>
      </c>
      <c r="D162" s="7" t="s">
        <v>328</v>
      </c>
      <c r="E162" s="7" t="s">
        <v>337</v>
      </c>
      <c r="F162" s="7" t="s">
        <v>444</v>
      </c>
      <c r="G162" s="7" t="s">
        <v>444</v>
      </c>
      <c r="H162" s="7" t="s">
        <v>444</v>
      </c>
      <c r="I162" s="7" t="s">
        <v>1785</v>
      </c>
      <c r="K162" s="5">
        <f>SUMIF(BC!$E$6:$E$347,$A162,BC!$K$6:$K$347)</f>
        <v>0</v>
      </c>
      <c r="L162" s="5" t="e">
        <f>SUMIF(#REF!,$A162,#REF!)+SUMIF(#REF!,$A162,#REF!)</f>
        <v>#REF!</v>
      </c>
      <c r="M162" s="5" t="e">
        <f>SUMIF(#REF!,Casilleros!$A162,#REF!)+SUMIF(#REF!,Casilleros!$A162,#REF!)+SUMIF(#REF!,$A162,#REF!)</f>
        <v>#REF!</v>
      </c>
      <c r="N162" s="5" t="e">
        <f>SUMIF(#REF!,$A162,#REF!)</f>
        <v>#REF!</v>
      </c>
      <c r="O162" s="5" t="e">
        <f>SUMIF(#REF!,$A162,#REF!)+SUMIF(#REF!,$A162,#REF!)</f>
        <v>#REF!</v>
      </c>
      <c r="P162" s="5">
        <f>IFERROR(VLOOKUP($A162,#REF!,2,FALSE),0)</f>
        <v>0</v>
      </c>
      <c r="Q162" s="42" t="e">
        <f t="shared" si="2"/>
        <v>#REF!</v>
      </c>
    </row>
    <row r="163" spans="1:17">
      <c r="A163" s="56" t="s">
        <v>340</v>
      </c>
      <c r="B163" s="7" t="s">
        <v>65</v>
      </c>
      <c r="C163" s="7" t="s">
        <v>66</v>
      </c>
      <c r="D163" s="7" t="s">
        <v>328</v>
      </c>
      <c r="E163" s="7" t="s">
        <v>339</v>
      </c>
      <c r="F163" s="7" t="s">
        <v>444</v>
      </c>
      <c r="G163" s="7" t="s">
        <v>444</v>
      </c>
      <c r="H163" s="7" t="s">
        <v>444</v>
      </c>
      <c r="I163" s="7" t="s">
        <v>1786</v>
      </c>
      <c r="K163" s="5">
        <f>SUMIF(BC!$E$6:$E$347,$A163,BC!$K$6:$K$347)</f>
        <v>0</v>
      </c>
      <c r="L163" s="5" t="e">
        <f>SUMIF(#REF!,$A163,#REF!)+SUMIF(#REF!,$A163,#REF!)</f>
        <v>#REF!</v>
      </c>
      <c r="M163" s="5" t="e">
        <f>SUMIF(#REF!,Casilleros!$A163,#REF!)+SUMIF(#REF!,Casilleros!$A163,#REF!)+SUMIF(#REF!,$A163,#REF!)</f>
        <v>#REF!</v>
      </c>
      <c r="N163" s="5" t="e">
        <f>SUMIF(#REF!,$A163,#REF!)</f>
        <v>#REF!</v>
      </c>
      <c r="O163" s="5" t="e">
        <f>SUMIF(#REF!,$A163,#REF!)+SUMIF(#REF!,$A163,#REF!)</f>
        <v>#REF!</v>
      </c>
      <c r="P163" s="5">
        <f>IFERROR(VLOOKUP($A163,#REF!,2,FALSE),0)</f>
        <v>0</v>
      </c>
      <c r="Q163" s="42" t="e">
        <f t="shared" si="2"/>
        <v>#REF!</v>
      </c>
    </row>
    <row r="164" spans="1:17">
      <c r="A164" s="56" t="s">
        <v>342</v>
      </c>
      <c r="B164" s="7" t="s">
        <v>65</v>
      </c>
      <c r="C164" s="7" t="s">
        <v>66</v>
      </c>
      <c r="D164" s="7" t="s">
        <v>328</v>
      </c>
      <c r="E164" s="7" t="s">
        <v>341</v>
      </c>
      <c r="F164" s="7" t="s">
        <v>444</v>
      </c>
      <c r="G164" s="7" t="s">
        <v>444</v>
      </c>
      <c r="H164" s="7" t="s">
        <v>444</v>
      </c>
      <c r="I164" s="7" t="s">
        <v>1787</v>
      </c>
      <c r="K164" s="5">
        <f>SUMIF(BC!$E$6:$E$347,$A164,BC!$K$6:$K$347)</f>
        <v>0</v>
      </c>
      <c r="L164" s="5" t="e">
        <f>SUMIF(#REF!,$A164,#REF!)+SUMIF(#REF!,$A164,#REF!)</f>
        <v>#REF!</v>
      </c>
      <c r="M164" s="5" t="e">
        <f>SUMIF(#REF!,Casilleros!$A164,#REF!)+SUMIF(#REF!,Casilleros!$A164,#REF!)+SUMIF(#REF!,$A164,#REF!)</f>
        <v>#REF!</v>
      </c>
      <c r="N164" s="5" t="e">
        <f>SUMIF(#REF!,$A164,#REF!)</f>
        <v>#REF!</v>
      </c>
      <c r="O164" s="5" t="e">
        <f>SUMIF(#REF!,$A164,#REF!)+SUMIF(#REF!,$A164,#REF!)</f>
        <v>#REF!</v>
      </c>
      <c r="P164" s="5">
        <f>IFERROR(VLOOKUP($A164,#REF!,2,FALSE),0)</f>
        <v>0</v>
      </c>
      <c r="Q164" s="42" t="e">
        <f t="shared" si="2"/>
        <v>#REF!</v>
      </c>
    </row>
    <row r="165" spans="1:17">
      <c r="A165" s="56" t="s">
        <v>344</v>
      </c>
      <c r="B165" s="7" t="s">
        <v>65</v>
      </c>
      <c r="C165" s="7" t="s">
        <v>66</v>
      </c>
      <c r="D165" s="7" t="s">
        <v>328</v>
      </c>
      <c r="E165" s="7" t="s">
        <v>343</v>
      </c>
      <c r="F165" s="7" t="s">
        <v>444</v>
      </c>
      <c r="G165" s="7" t="s">
        <v>444</v>
      </c>
      <c r="H165" s="7" t="s">
        <v>444</v>
      </c>
      <c r="I165" s="7" t="s">
        <v>1788</v>
      </c>
      <c r="K165" s="5">
        <f>SUMIF(BC!$E$6:$E$347,$A165,BC!$K$6:$K$347)</f>
        <v>0</v>
      </c>
      <c r="L165" s="5" t="e">
        <f>SUMIF(#REF!,$A165,#REF!)+SUMIF(#REF!,$A165,#REF!)</f>
        <v>#REF!</v>
      </c>
      <c r="M165" s="5" t="e">
        <f>SUMIF(#REF!,Casilleros!$A165,#REF!)+SUMIF(#REF!,Casilleros!$A165,#REF!)+SUMIF(#REF!,$A165,#REF!)</f>
        <v>#REF!</v>
      </c>
      <c r="N165" s="5" t="e">
        <f>SUMIF(#REF!,$A165,#REF!)</f>
        <v>#REF!</v>
      </c>
      <c r="O165" s="5" t="e">
        <f>SUMIF(#REF!,$A165,#REF!)+SUMIF(#REF!,$A165,#REF!)</f>
        <v>#REF!</v>
      </c>
      <c r="P165" s="5">
        <f>IFERROR(VLOOKUP($A165,#REF!,2,FALSE),0)</f>
        <v>0</v>
      </c>
      <c r="Q165" s="42" t="e">
        <f t="shared" si="2"/>
        <v>#REF!</v>
      </c>
    </row>
    <row r="166" spans="1:17">
      <c r="A166" s="56" t="s">
        <v>346</v>
      </c>
      <c r="B166" s="7" t="s">
        <v>65</v>
      </c>
      <c r="C166" s="7" t="s">
        <v>66</v>
      </c>
      <c r="D166" s="7" t="s">
        <v>328</v>
      </c>
      <c r="E166" s="7" t="s">
        <v>345</v>
      </c>
      <c r="F166" s="7" t="s">
        <v>444</v>
      </c>
      <c r="G166" s="7" t="s">
        <v>444</v>
      </c>
      <c r="H166" s="7" t="s">
        <v>444</v>
      </c>
      <c r="I166" s="7" t="s">
        <v>1789</v>
      </c>
      <c r="K166" s="5">
        <f>SUMIF(BC!$E$6:$E$347,$A166,BC!$K$6:$K$347)</f>
        <v>0</v>
      </c>
      <c r="L166" s="5" t="e">
        <f>SUMIF(#REF!,$A166,#REF!)+SUMIF(#REF!,$A166,#REF!)</f>
        <v>#REF!</v>
      </c>
      <c r="M166" s="5" t="e">
        <f>SUMIF(#REF!,Casilleros!$A166,#REF!)+SUMIF(#REF!,Casilleros!$A166,#REF!)+SUMIF(#REF!,$A166,#REF!)</f>
        <v>#REF!</v>
      </c>
      <c r="N166" s="5" t="e">
        <f>SUMIF(#REF!,$A166,#REF!)</f>
        <v>#REF!</v>
      </c>
      <c r="O166" s="5" t="e">
        <f>SUMIF(#REF!,$A166,#REF!)+SUMIF(#REF!,$A166,#REF!)</f>
        <v>#REF!</v>
      </c>
      <c r="P166" s="5">
        <f>IFERROR(VLOOKUP($A166,#REF!,2,FALSE),0)</f>
        <v>0</v>
      </c>
      <c r="Q166" s="42" t="e">
        <f t="shared" si="2"/>
        <v>#REF!</v>
      </c>
    </row>
    <row r="167" spans="1:17">
      <c r="A167" s="56" t="s">
        <v>348</v>
      </c>
      <c r="B167" s="7" t="s">
        <v>65</v>
      </c>
      <c r="C167" s="7" t="s">
        <v>66</v>
      </c>
      <c r="D167" s="7" t="s">
        <v>328</v>
      </c>
      <c r="E167" s="7" t="s">
        <v>347</v>
      </c>
      <c r="F167" s="7" t="s">
        <v>444</v>
      </c>
      <c r="G167" s="7" t="s">
        <v>444</v>
      </c>
      <c r="H167" s="7" t="s">
        <v>444</v>
      </c>
      <c r="I167" s="7" t="s">
        <v>1790</v>
      </c>
      <c r="K167" s="5">
        <f>SUMIF(BC!$E$6:$E$347,$A167,BC!$K$6:$K$347)</f>
        <v>0</v>
      </c>
      <c r="L167" s="5" t="e">
        <f>SUMIF(#REF!,$A167,#REF!)+SUMIF(#REF!,$A167,#REF!)</f>
        <v>#REF!</v>
      </c>
      <c r="M167" s="5" t="e">
        <f>SUMIF(#REF!,Casilleros!$A167,#REF!)+SUMIF(#REF!,Casilleros!$A167,#REF!)+SUMIF(#REF!,$A167,#REF!)</f>
        <v>#REF!</v>
      </c>
      <c r="N167" s="5" t="e">
        <f>SUMIF(#REF!,$A167,#REF!)</f>
        <v>#REF!</v>
      </c>
      <c r="O167" s="5" t="e">
        <f>SUMIF(#REF!,$A167,#REF!)+SUMIF(#REF!,$A167,#REF!)</f>
        <v>#REF!</v>
      </c>
      <c r="P167" s="5">
        <f>IFERROR(VLOOKUP($A167,#REF!,2,FALSE),0)</f>
        <v>0</v>
      </c>
      <c r="Q167" s="42" t="e">
        <f t="shared" si="2"/>
        <v>#REF!</v>
      </c>
    </row>
    <row r="168" spans="1:17">
      <c r="A168" s="56" t="s">
        <v>351</v>
      </c>
      <c r="B168" s="7" t="s">
        <v>65</v>
      </c>
      <c r="C168" s="7" t="s">
        <v>66</v>
      </c>
      <c r="D168" s="7" t="s">
        <v>349</v>
      </c>
      <c r="E168" s="7" t="s">
        <v>350</v>
      </c>
      <c r="F168" s="7" t="s">
        <v>444</v>
      </c>
      <c r="G168" s="7" t="s">
        <v>444</v>
      </c>
      <c r="H168" s="7" t="s">
        <v>444</v>
      </c>
      <c r="I168" s="7" t="s">
        <v>1791</v>
      </c>
      <c r="K168" s="5">
        <f>SUMIF(BC!$E$6:$E$347,$A168,BC!$K$6:$K$347)</f>
        <v>0</v>
      </c>
      <c r="L168" s="5" t="e">
        <f>SUMIF(#REF!,$A168,#REF!)+SUMIF(#REF!,$A168,#REF!)</f>
        <v>#REF!</v>
      </c>
      <c r="M168" s="5" t="e">
        <f>SUMIF(#REF!,Casilleros!$A168,#REF!)+SUMIF(#REF!,Casilleros!$A168,#REF!)+SUMIF(#REF!,$A168,#REF!)</f>
        <v>#REF!</v>
      </c>
      <c r="N168" s="5" t="e">
        <f>SUMIF(#REF!,$A168,#REF!)</f>
        <v>#REF!</v>
      </c>
      <c r="O168" s="5" t="e">
        <f>SUMIF(#REF!,$A168,#REF!)+SUMIF(#REF!,$A168,#REF!)</f>
        <v>#REF!</v>
      </c>
      <c r="P168" s="5">
        <f>IFERROR(VLOOKUP($A168,#REF!,2,FALSE),0)</f>
        <v>0</v>
      </c>
      <c r="Q168" s="42" t="e">
        <f t="shared" si="2"/>
        <v>#REF!</v>
      </c>
    </row>
    <row r="169" spans="1:17">
      <c r="A169" s="56" t="s">
        <v>353</v>
      </c>
      <c r="B169" s="7" t="s">
        <v>65</v>
      </c>
      <c r="C169" s="7" t="s">
        <v>66</v>
      </c>
      <c r="D169" s="7" t="s">
        <v>349</v>
      </c>
      <c r="E169" s="7" t="s">
        <v>352</v>
      </c>
      <c r="F169" s="7" t="s">
        <v>444</v>
      </c>
      <c r="G169" s="7" t="s">
        <v>444</v>
      </c>
      <c r="H169" s="7" t="s">
        <v>444</v>
      </c>
      <c r="I169" s="7" t="s">
        <v>1792</v>
      </c>
      <c r="K169" s="5">
        <f>SUMIF(BC!$E$6:$E$347,$A169,BC!$K$6:$K$347)</f>
        <v>0</v>
      </c>
      <c r="L169" s="5" t="e">
        <f>SUMIF(#REF!,$A169,#REF!)+SUMIF(#REF!,$A169,#REF!)</f>
        <v>#REF!</v>
      </c>
      <c r="M169" s="5" t="e">
        <f>SUMIF(#REF!,Casilleros!$A169,#REF!)+SUMIF(#REF!,Casilleros!$A169,#REF!)+SUMIF(#REF!,$A169,#REF!)</f>
        <v>#REF!</v>
      </c>
      <c r="N169" s="5" t="e">
        <f>SUMIF(#REF!,$A169,#REF!)</f>
        <v>#REF!</v>
      </c>
      <c r="O169" s="5" t="e">
        <f>SUMIF(#REF!,$A169,#REF!)+SUMIF(#REF!,$A169,#REF!)</f>
        <v>#REF!</v>
      </c>
      <c r="P169" s="5">
        <f>IFERROR(VLOOKUP($A169,#REF!,2,FALSE),0)</f>
        <v>0</v>
      </c>
      <c r="Q169" s="42" t="e">
        <f t="shared" si="2"/>
        <v>#REF!</v>
      </c>
    </row>
    <row r="170" spans="1:17">
      <c r="A170" s="56" t="s">
        <v>355</v>
      </c>
      <c r="B170" s="7" t="s">
        <v>65</v>
      </c>
      <c r="C170" s="7" t="s">
        <v>66</v>
      </c>
      <c r="D170" s="7" t="s">
        <v>349</v>
      </c>
      <c r="E170" s="7" t="s">
        <v>354</v>
      </c>
      <c r="F170" s="7" t="s">
        <v>444</v>
      </c>
      <c r="G170" s="7" t="s">
        <v>444</v>
      </c>
      <c r="H170" s="7" t="s">
        <v>444</v>
      </c>
      <c r="I170" s="7" t="s">
        <v>1793</v>
      </c>
      <c r="K170" s="5">
        <f>SUMIF(BC!$E$6:$E$347,$A170,BC!$K$6:$K$347)</f>
        <v>0</v>
      </c>
      <c r="L170" s="5" t="e">
        <f>SUMIF(#REF!,$A170,#REF!)+SUMIF(#REF!,$A170,#REF!)</f>
        <v>#REF!</v>
      </c>
      <c r="M170" s="5" t="e">
        <f>SUMIF(#REF!,Casilleros!$A170,#REF!)+SUMIF(#REF!,Casilleros!$A170,#REF!)+SUMIF(#REF!,$A170,#REF!)</f>
        <v>#REF!</v>
      </c>
      <c r="N170" s="5" t="e">
        <f>SUMIF(#REF!,$A170,#REF!)</f>
        <v>#REF!</v>
      </c>
      <c r="O170" s="5" t="e">
        <f>SUMIF(#REF!,$A170,#REF!)+SUMIF(#REF!,$A170,#REF!)</f>
        <v>#REF!</v>
      </c>
      <c r="P170" s="5">
        <f>IFERROR(VLOOKUP($A170,#REF!,2,FALSE),0)</f>
        <v>0</v>
      </c>
      <c r="Q170" s="42" t="e">
        <f t="shared" si="2"/>
        <v>#REF!</v>
      </c>
    </row>
    <row r="171" spans="1:17">
      <c r="A171" s="56" t="s">
        <v>357</v>
      </c>
      <c r="B171" s="7" t="s">
        <v>65</v>
      </c>
      <c r="C171" s="7" t="s">
        <v>66</v>
      </c>
      <c r="D171" s="7" t="s">
        <v>349</v>
      </c>
      <c r="E171" s="7" t="s">
        <v>356</v>
      </c>
      <c r="F171" s="7" t="s">
        <v>444</v>
      </c>
      <c r="G171" s="7" t="s">
        <v>444</v>
      </c>
      <c r="H171" s="7" t="s">
        <v>444</v>
      </c>
      <c r="I171" s="7" t="s">
        <v>1794</v>
      </c>
      <c r="K171" s="5">
        <f>SUMIF(BC!$E$6:$E$347,$A171,BC!$K$6:$K$347)</f>
        <v>0</v>
      </c>
      <c r="L171" s="5" t="e">
        <f>SUMIF(#REF!,$A171,#REF!)+SUMIF(#REF!,$A171,#REF!)</f>
        <v>#REF!</v>
      </c>
      <c r="M171" s="5" t="e">
        <f>SUMIF(#REF!,Casilleros!$A171,#REF!)+SUMIF(#REF!,Casilleros!$A171,#REF!)+SUMIF(#REF!,$A171,#REF!)</f>
        <v>#REF!</v>
      </c>
      <c r="N171" s="5" t="e">
        <f>SUMIF(#REF!,$A171,#REF!)</f>
        <v>#REF!</v>
      </c>
      <c r="O171" s="5" t="e">
        <f>SUMIF(#REF!,$A171,#REF!)+SUMIF(#REF!,$A171,#REF!)</f>
        <v>#REF!</v>
      </c>
      <c r="P171" s="5">
        <f>IFERROR(VLOOKUP($A171,#REF!,2,FALSE),0)</f>
        <v>0</v>
      </c>
      <c r="Q171" s="42" t="e">
        <f t="shared" si="2"/>
        <v>#REF!</v>
      </c>
    </row>
    <row r="172" spans="1:17">
      <c r="A172" s="56" t="s">
        <v>359</v>
      </c>
      <c r="B172" s="7" t="s">
        <v>65</v>
      </c>
      <c r="C172" s="7" t="s">
        <v>66</v>
      </c>
      <c r="D172" s="7" t="s">
        <v>358</v>
      </c>
      <c r="E172" s="7" t="s">
        <v>444</v>
      </c>
      <c r="F172" s="7" t="s">
        <v>444</v>
      </c>
      <c r="G172" s="7" t="s">
        <v>444</v>
      </c>
      <c r="H172" s="7" t="s">
        <v>444</v>
      </c>
      <c r="I172" s="7" t="s">
        <v>1795</v>
      </c>
      <c r="K172" s="5">
        <f>SUMIF(BC!$E$6:$E$347,$A172,BC!$K$6:$K$347)</f>
        <v>0</v>
      </c>
      <c r="L172" s="5" t="e">
        <f>SUMIF(#REF!,$A172,#REF!)+SUMIF(#REF!,$A172,#REF!)</f>
        <v>#REF!</v>
      </c>
      <c r="M172" s="5" t="e">
        <f>SUMIF(#REF!,Casilleros!$A172,#REF!)+SUMIF(#REF!,Casilleros!$A172,#REF!)+SUMIF(#REF!,$A172,#REF!)</f>
        <v>#REF!</v>
      </c>
      <c r="N172" s="5" t="e">
        <f>SUMIF(#REF!,$A172,#REF!)</f>
        <v>#REF!</v>
      </c>
      <c r="O172" s="5" t="e">
        <f>SUMIF(#REF!,$A172,#REF!)+SUMIF(#REF!,$A172,#REF!)</f>
        <v>#REF!</v>
      </c>
      <c r="P172" s="5">
        <f>IFERROR(VLOOKUP($A172,#REF!,2,FALSE),0)</f>
        <v>0</v>
      </c>
      <c r="Q172" s="42" t="e">
        <f t="shared" si="2"/>
        <v>#REF!</v>
      </c>
    </row>
    <row r="173" spans="1:17">
      <c r="A173" s="56" t="s">
        <v>361</v>
      </c>
      <c r="B173" s="7" t="s">
        <v>65</v>
      </c>
      <c r="C173" s="7" t="s">
        <v>66</v>
      </c>
      <c r="D173" s="7" t="s">
        <v>360</v>
      </c>
      <c r="E173" s="7" t="s">
        <v>444</v>
      </c>
      <c r="F173" s="7" t="s">
        <v>444</v>
      </c>
      <c r="G173" s="7" t="s">
        <v>444</v>
      </c>
      <c r="H173" s="7" t="s">
        <v>444</v>
      </c>
      <c r="I173" s="7" t="s">
        <v>1796</v>
      </c>
      <c r="K173" s="5">
        <f>SUMIF(BC!$E$6:$E$347,$A173,BC!$K$6:$K$347)</f>
        <v>0</v>
      </c>
      <c r="L173" s="5" t="e">
        <f>SUMIF(#REF!,$A173,#REF!)+SUMIF(#REF!,$A173,#REF!)</f>
        <v>#REF!</v>
      </c>
      <c r="M173" s="5" t="e">
        <f>SUMIF(#REF!,Casilleros!$A173,#REF!)+SUMIF(#REF!,Casilleros!$A173,#REF!)+SUMIF(#REF!,$A173,#REF!)</f>
        <v>#REF!</v>
      </c>
      <c r="N173" s="5" t="e">
        <f>SUMIF(#REF!,$A173,#REF!)</f>
        <v>#REF!</v>
      </c>
      <c r="O173" s="5" t="e">
        <f>SUMIF(#REF!,$A173,#REF!)+SUMIF(#REF!,$A173,#REF!)</f>
        <v>#REF!</v>
      </c>
      <c r="P173" s="5">
        <f>IFERROR(VLOOKUP($A173,#REF!,2,FALSE),0)</f>
        <v>0</v>
      </c>
      <c r="Q173" s="42" t="e">
        <f t="shared" si="2"/>
        <v>#REF!</v>
      </c>
    </row>
    <row r="174" spans="1:17">
      <c r="A174" s="56" t="s">
        <v>363</v>
      </c>
      <c r="B174" s="7" t="s">
        <v>65</v>
      </c>
      <c r="C174" s="7" t="s">
        <v>66</v>
      </c>
      <c r="D174" s="7" t="s">
        <v>362</v>
      </c>
      <c r="E174" s="7" t="s">
        <v>444</v>
      </c>
      <c r="F174" s="7" t="s">
        <v>444</v>
      </c>
      <c r="G174" s="7" t="s">
        <v>444</v>
      </c>
      <c r="H174" s="7" t="s">
        <v>444</v>
      </c>
      <c r="I174" s="7" t="s">
        <v>1797</v>
      </c>
      <c r="K174" s="5">
        <f>SUMIF(BC!$E$6:$E$347,$A174,BC!$K$6:$K$347)</f>
        <v>0</v>
      </c>
      <c r="L174" s="5" t="e">
        <f>SUMIF(#REF!,$A174,#REF!)+SUMIF(#REF!,$A174,#REF!)</f>
        <v>#REF!</v>
      </c>
      <c r="M174" s="5" t="e">
        <f>SUMIF(#REF!,Casilleros!$A174,#REF!)+SUMIF(#REF!,Casilleros!$A174,#REF!)+SUMIF(#REF!,$A174,#REF!)</f>
        <v>#REF!</v>
      </c>
      <c r="N174" s="5" t="e">
        <f>SUMIF(#REF!,$A174,#REF!)</f>
        <v>#REF!</v>
      </c>
      <c r="O174" s="5" t="e">
        <f>SUMIF(#REF!,$A174,#REF!)+SUMIF(#REF!,$A174,#REF!)</f>
        <v>#REF!</v>
      </c>
      <c r="P174" s="5">
        <f>IFERROR(VLOOKUP($A174,#REF!,2,FALSE),0)</f>
        <v>0</v>
      </c>
      <c r="Q174" s="42" t="e">
        <f t="shared" si="2"/>
        <v>#REF!</v>
      </c>
    </row>
    <row r="175" spans="1:17">
      <c r="A175" s="56" t="s">
        <v>365</v>
      </c>
      <c r="B175" s="7" t="s">
        <v>65</v>
      </c>
      <c r="C175" s="7" t="s">
        <v>364</v>
      </c>
      <c r="D175" s="7" t="s">
        <v>444</v>
      </c>
      <c r="E175" s="7" t="s">
        <v>444</v>
      </c>
      <c r="F175" s="7" t="s">
        <v>444</v>
      </c>
      <c r="G175" s="7" t="s">
        <v>444</v>
      </c>
      <c r="H175" s="7" t="s">
        <v>444</v>
      </c>
      <c r="I175" s="7" t="s">
        <v>1798</v>
      </c>
      <c r="K175" s="5">
        <f>SUMIF(BC!$E$6:$E$347,$A175,BC!$K$6:$K$347)</f>
        <v>0</v>
      </c>
      <c r="L175" s="5" t="e">
        <f>SUMIF(#REF!,$A175,#REF!)+SUMIF(#REF!,$A175,#REF!)</f>
        <v>#REF!</v>
      </c>
      <c r="M175" s="5" t="e">
        <f>SUMIF(#REF!,Casilleros!$A175,#REF!)+SUMIF(#REF!,Casilleros!$A175,#REF!)+SUMIF(#REF!,$A175,#REF!)</f>
        <v>#REF!</v>
      </c>
      <c r="N175" s="5" t="e">
        <f>SUMIF(#REF!,$A175,#REF!)</f>
        <v>#REF!</v>
      </c>
      <c r="O175" s="5" t="e">
        <f>SUMIF(#REF!,$A175,#REF!)+SUMIF(#REF!,$A175,#REF!)</f>
        <v>#REF!</v>
      </c>
      <c r="P175" s="5">
        <f>IFERROR(VLOOKUP($A175,#REF!,2,FALSE),0)</f>
        <v>0</v>
      </c>
      <c r="Q175" s="42" t="e">
        <f t="shared" si="2"/>
        <v>#REF!</v>
      </c>
    </row>
    <row r="176" spans="1:17">
      <c r="A176" s="56" t="s">
        <v>370</v>
      </c>
      <c r="B176" s="7" t="s">
        <v>65</v>
      </c>
      <c r="C176" s="7" t="s">
        <v>366</v>
      </c>
      <c r="D176" s="7" t="s">
        <v>367</v>
      </c>
      <c r="E176" s="7" t="s">
        <v>368</v>
      </c>
      <c r="F176" s="7" t="s">
        <v>369</v>
      </c>
      <c r="G176" s="7" t="s">
        <v>72</v>
      </c>
      <c r="H176" s="7" t="s">
        <v>73</v>
      </c>
      <c r="I176" s="7" t="s">
        <v>1799</v>
      </c>
      <c r="J176" s="7" t="s">
        <v>2201</v>
      </c>
      <c r="K176" s="5" t="e">
        <f>SUMIF(BC!$E$6:$E$347,$A176,BC!$K$6:$K$347)</f>
        <v>#REF!</v>
      </c>
      <c r="L176" s="5" t="e">
        <f>SUMIF(#REF!,$A176,#REF!)+SUMIF(#REF!,$A176,#REF!)</f>
        <v>#REF!</v>
      </c>
      <c r="M176" s="5" t="e">
        <f>SUMIF(#REF!,Casilleros!$A176,#REF!)+SUMIF(#REF!,Casilleros!$A176,#REF!)+SUMIF(#REF!,$A176,#REF!)</f>
        <v>#REF!</v>
      </c>
      <c r="N176" s="5" t="e">
        <f>SUMIF(#REF!,$A176,#REF!)</f>
        <v>#REF!</v>
      </c>
      <c r="O176" s="5" t="e">
        <f>SUMIF(#REF!,$A176,#REF!)+SUMIF(#REF!,$A176,#REF!)</f>
        <v>#REF!</v>
      </c>
      <c r="P176" s="5">
        <f>IFERROR(VLOOKUP($A176,#REF!,2,FALSE),0)</f>
        <v>0</v>
      </c>
      <c r="Q176" s="42" t="e">
        <f t="shared" si="2"/>
        <v>#REF!</v>
      </c>
    </row>
    <row r="177" spans="1:17">
      <c r="A177" s="56" t="s">
        <v>371</v>
      </c>
      <c r="B177" s="7" t="s">
        <v>65</v>
      </c>
      <c r="C177" s="7" t="s">
        <v>366</v>
      </c>
      <c r="D177" s="7" t="s">
        <v>367</v>
      </c>
      <c r="E177" s="7" t="s">
        <v>368</v>
      </c>
      <c r="F177" s="7" t="s">
        <v>369</v>
      </c>
      <c r="G177" s="7" t="s">
        <v>72</v>
      </c>
      <c r="H177" s="7" t="s">
        <v>26</v>
      </c>
      <c r="I177" s="7" t="s">
        <v>1800</v>
      </c>
      <c r="J177" s="7" t="s">
        <v>2201</v>
      </c>
      <c r="K177" s="5">
        <f>SUMIF(BC!$E$6:$E$347,$A177,BC!$K$6:$K$347)</f>
        <v>0</v>
      </c>
      <c r="L177" s="5" t="e">
        <f>SUMIF(#REF!,$A177,#REF!)+SUMIF(#REF!,$A177,#REF!)</f>
        <v>#REF!</v>
      </c>
      <c r="M177" s="5" t="e">
        <f>SUMIF(#REF!,Casilleros!$A177,#REF!)+SUMIF(#REF!,Casilleros!$A177,#REF!)+SUMIF(#REF!,$A177,#REF!)</f>
        <v>#REF!</v>
      </c>
      <c r="N177" s="5" t="e">
        <f>SUMIF(#REF!,$A177,#REF!)</f>
        <v>#REF!</v>
      </c>
      <c r="O177" s="5" t="e">
        <f>SUMIF(#REF!,$A177,#REF!)+SUMIF(#REF!,$A177,#REF!)</f>
        <v>#REF!</v>
      </c>
      <c r="P177" s="5">
        <f>IFERROR(VLOOKUP($A177,#REF!,2,FALSE),0)</f>
        <v>0</v>
      </c>
      <c r="Q177" s="42" t="e">
        <f t="shared" si="2"/>
        <v>#REF!</v>
      </c>
    </row>
    <row r="178" spans="1:17">
      <c r="A178" s="56" t="s">
        <v>372</v>
      </c>
      <c r="B178" s="7" t="s">
        <v>65</v>
      </c>
      <c r="C178" s="7" t="s">
        <v>366</v>
      </c>
      <c r="D178" s="7" t="s">
        <v>367</v>
      </c>
      <c r="E178" s="7" t="s">
        <v>368</v>
      </c>
      <c r="F178" s="7" t="s">
        <v>369</v>
      </c>
      <c r="G178" s="7" t="s">
        <v>78</v>
      </c>
      <c r="H178" s="7" t="s">
        <v>73</v>
      </c>
      <c r="I178" s="7" t="s">
        <v>1801</v>
      </c>
      <c r="J178" s="7" t="s">
        <v>2201</v>
      </c>
      <c r="K178" s="5">
        <f>SUMIF(BC!$E$6:$E$347,$A178,BC!$K$6:$K$347)</f>
        <v>0</v>
      </c>
      <c r="L178" s="5" t="e">
        <f>SUMIF(#REF!,$A178,#REF!)+SUMIF(#REF!,$A178,#REF!)</f>
        <v>#REF!</v>
      </c>
      <c r="M178" s="5" t="e">
        <f>SUMIF(#REF!,Casilleros!$A178,#REF!)+SUMIF(#REF!,Casilleros!$A178,#REF!)+SUMIF(#REF!,$A178,#REF!)</f>
        <v>#REF!</v>
      </c>
      <c r="N178" s="5" t="e">
        <f>SUMIF(#REF!,$A178,#REF!)</f>
        <v>#REF!</v>
      </c>
      <c r="O178" s="5" t="e">
        <f>SUMIF(#REF!,$A178,#REF!)+SUMIF(#REF!,$A178,#REF!)</f>
        <v>#REF!</v>
      </c>
      <c r="P178" s="5">
        <f>IFERROR(VLOOKUP($A178,#REF!,2,FALSE),0)</f>
        <v>0</v>
      </c>
      <c r="Q178" s="42" t="e">
        <f t="shared" si="2"/>
        <v>#REF!</v>
      </c>
    </row>
    <row r="179" spans="1:17">
      <c r="A179" s="56" t="s">
        <v>373</v>
      </c>
      <c r="B179" s="7" t="s">
        <v>65</v>
      </c>
      <c r="C179" s="7" t="s">
        <v>366</v>
      </c>
      <c r="D179" s="7" t="s">
        <v>367</v>
      </c>
      <c r="E179" s="7" t="s">
        <v>368</v>
      </c>
      <c r="F179" s="7" t="s">
        <v>369</v>
      </c>
      <c r="G179" s="7" t="s">
        <v>78</v>
      </c>
      <c r="H179" s="7" t="s">
        <v>26</v>
      </c>
      <c r="I179" s="7" t="s">
        <v>1802</v>
      </c>
      <c r="J179" s="7" t="s">
        <v>2201</v>
      </c>
      <c r="K179" s="5">
        <f>SUMIF(BC!$E$6:$E$347,$A179,BC!$K$6:$K$347)</f>
        <v>0</v>
      </c>
      <c r="L179" s="5" t="e">
        <f>SUMIF(#REF!,$A179,#REF!)+SUMIF(#REF!,$A179,#REF!)</f>
        <v>#REF!</v>
      </c>
      <c r="M179" s="5" t="e">
        <f>SUMIF(#REF!,Casilleros!$A179,#REF!)+SUMIF(#REF!,Casilleros!$A179,#REF!)+SUMIF(#REF!,$A179,#REF!)</f>
        <v>#REF!</v>
      </c>
      <c r="N179" s="5" t="e">
        <f>SUMIF(#REF!,$A179,#REF!)</f>
        <v>#REF!</v>
      </c>
      <c r="O179" s="5" t="e">
        <f>SUMIF(#REF!,$A179,#REF!)+SUMIF(#REF!,$A179,#REF!)</f>
        <v>#REF!</v>
      </c>
      <c r="P179" s="5">
        <f>IFERROR(VLOOKUP($A179,#REF!,2,FALSE),0)</f>
        <v>0</v>
      </c>
      <c r="Q179" s="42" t="e">
        <f t="shared" si="2"/>
        <v>#REF!</v>
      </c>
    </row>
    <row r="180" spans="1:17">
      <c r="A180" s="56" t="s">
        <v>376</v>
      </c>
      <c r="B180" s="7" t="s">
        <v>65</v>
      </c>
      <c r="C180" s="7" t="s">
        <v>366</v>
      </c>
      <c r="D180" s="7" t="s">
        <v>367</v>
      </c>
      <c r="E180" s="7" t="s">
        <v>368</v>
      </c>
      <c r="F180" s="7" t="s">
        <v>374</v>
      </c>
      <c r="G180" s="7" t="s">
        <v>375</v>
      </c>
      <c r="H180" s="7" t="s">
        <v>73</v>
      </c>
      <c r="I180" s="7" t="s">
        <v>1803</v>
      </c>
      <c r="J180" s="7" t="s">
        <v>2201</v>
      </c>
      <c r="K180" s="5">
        <f>SUMIF(BC!$E$6:$E$347,$A180,BC!$K$6:$K$347)</f>
        <v>0</v>
      </c>
      <c r="L180" s="5" t="e">
        <f>SUMIF(#REF!,$A180,#REF!)+SUMIF(#REF!,$A180,#REF!)</f>
        <v>#REF!</v>
      </c>
      <c r="M180" s="5" t="e">
        <f>SUMIF(#REF!,Casilleros!$A180,#REF!)+SUMIF(#REF!,Casilleros!$A180,#REF!)+SUMIF(#REF!,$A180,#REF!)</f>
        <v>#REF!</v>
      </c>
      <c r="N180" s="5" t="e">
        <f>SUMIF(#REF!,$A180,#REF!)</f>
        <v>#REF!</v>
      </c>
      <c r="O180" s="5" t="e">
        <f>SUMIF(#REF!,$A180,#REF!)+SUMIF(#REF!,$A180,#REF!)</f>
        <v>#REF!</v>
      </c>
      <c r="P180" s="5">
        <f>IFERROR(VLOOKUP($A180,#REF!,2,FALSE),0)</f>
        <v>0</v>
      </c>
      <c r="Q180" s="42" t="e">
        <f t="shared" si="2"/>
        <v>#REF!</v>
      </c>
    </row>
    <row r="181" spans="1:17">
      <c r="A181" s="56" t="s">
        <v>377</v>
      </c>
      <c r="B181" s="7" t="s">
        <v>65</v>
      </c>
      <c r="C181" s="7" t="s">
        <v>366</v>
      </c>
      <c r="D181" s="7" t="s">
        <v>367</v>
      </c>
      <c r="E181" s="7" t="s">
        <v>368</v>
      </c>
      <c r="F181" s="7" t="s">
        <v>374</v>
      </c>
      <c r="G181" s="7" t="s">
        <v>375</v>
      </c>
      <c r="H181" s="7" t="s">
        <v>26</v>
      </c>
      <c r="I181" s="7" t="s">
        <v>1804</v>
      </c>
      <c r="J181" s="7" t="s">
        <v>2201</v>
      </c>
      <c r="K181" s="5">
        <f>SUMIF(BC!$E$6:$E$347,$A181,BC!$K$6:$K$347)</f>
        <v>0</v>
      </c>
      <c r="L181" s="5" t="e">
        <f>SUMIF(#REF!,$A181,#REF!)+SUMIF(#REF!,$A181,#REF!)</f>
        <v>#REF!</v>
      </c>
      <c r="M181" s="5" t="e">
        <f>SUMIF(#REF!,Casilleros!$A181,#REF!)+SUMIF(#REF!,Casilleros!$A181,#REF!)+SUMIF(#REF!,$A181,#REF!)</f>
        <v>#REF!</v>
      </c>
      <c r="N181" s="5" t="e">
        <f>SUMIF(#REF!,$A181,#REF!)</f>
        <v>#REF!</v>
      </c>
      <c r="O181" s="5" t="e">
        <f>SUMIF(#REF!,$A181,#REF!)+SUMIF(#REF!,$A181,#REF!)</f>
        <v>#REF!</v>
      </c>
      <c r="P181" s="5">
        <f>IFERROR(VLOOKUP($A181,#REF!,2,FALSE),0)</f>
        <v>0</v>
      </c>
      <c r="Q181" s="42" t="e">
        <f t="shared" si="2"/>
        <v>#REF!</v>
      </c>
    </row>
    <row r="182" spans="1:17">
      <c r="A182" s="56" t="s">
        <v>379</v>
      </c>
      <c r="B182" s="7" t="s">
        <v>65</v>
      </c>
      <c r="C182" s="7" t="s">
        <v>366</v>
      </c>
      <c r="D182" s="7" t="s">
        <v>367</v>
      </c>
      <c r="E182" s="7" t="s">
        <v>368</v>
      </c>
      <c r="F182" s="7" t="s">
        <v>374</v>
      </c>
      <c r="G182" s="7" t="s">
        <v>378</v>
      </c>
      <c r="H182" s="7" t="s">
        <v>87</v>
      </c>
      <c r="I182" s="7" t="s">
        <v>1805</v>
      </c>
      <c r="J182" s="7" t="s">
        <v>2201</v>
      </c>
      <c r="K182" s="5">
        <f>SUMIF(BC!$E$6:$E$347,$A182,BC!$K$6:$K$347)</f>
        <v>0</v>
      </c>
      <c r="L182" s="5" t="e">
        <f>SUMIF(#REF!,$A182,#REF!)+SUMIF(#REF!,$A182,#REF!)</f>
        <v>#REF!</v>
      </c>
      <c r="M182" s="5" t="e">
        <f>SUMIF(#REF!,Casilleros!$A182,#REF!)+SUMIF(#REF!,Casilleros!$A182,#REF!)+SUMIF(#REF!,$A182,#REF!)</f>
        <v>#REF!</v>
      </c>
      <c r="N182" s="5" t="e">
        <f>SUMIF(#REF!,$A182,#REF!)</f>
        <v>#REF!</v>
      </c>
      <c r="O182" s="5" t="e">
        <f>SUMIF(#REF!,$A182,#REF!)+SUMIF(#REF!,$A182,#REF!)</f>
        <v>#REF!</v>
      </c>
      <c r="P182" s="5">
        <f>IFERROR(VLOOKUP($A182,#REF!,2,FALSE),0)</f>
        <v>0</v>
      </c>
      <c r="Q182" s="42" t="e">
        <f t="shared" si="2"/>
        <v>#REF!</v>
      </c>
    </row>
    <row r="183" spans="1:17">
      <c r="A183" s="56" t="s">
        <v>380</v>
      </c>
      <c r="B183" s="7" t="s">
        <v>65</v>
      </c>
      <c r="C183" s="7" t="s">
        <v>366</v>
      </c>
      <c r="D183" s="7" t="s">
        <v>367</v>
      </c>
      <c r="E183" s="7" t="s">
        <v>368</v>
      </c>
      <c r="F183" s="7" t="s">
        <v>374</v>
      </c>
      <c r="G183" s="7" t="s">
        <v>378</v>
      </c>
      <c r="H183" s="7" t="s">
        <v>89</v>
      </c>
      <c r="I183" s="7" t="s">
        <v>1806</v>
      </c>
      <c r="J183" s="7" t="s">
        <v>2201</v>
      </c>
      <c r="K183" s="5">
        <f>SUMIF(BC!$E$6:$E$347,$A183,BC!$K$6:$K$347)</f>
        <v>0</v>
      </c>
      <c r="L183" s="5" t="e">
        <f>SUMIF(#REF!,$A183,#REF!)+SUMIF(#REF!,$A183,#REF!)</f>
        <v>#REF!</v>
      </c>
      <c r="M183" s="5" t="e">
        <f>SUMIF(#REF!,Casilleros!$A183,#REF!)+SUMIF(#REF!,Casilleros!$A183,#REF!)+SUMIF(#REF!,$A183,#REF!)</f>
        <v>#REF!</v>
      </c>
      <c r="N183" s="5" t="e">
        <f>SUMIF(#REF!,$A183,#REF!)</f>
        <v>#REF!</v>
      </c>
      <c r="O183" s="5" t="e">
        <f>SUMIF(#REF!,$A183,#REF!)+SUMIF(#REF!,$A183,#REF!)</f>
        <v>#REF!</v>
      </c>
      <c r="P183" s="5">
        <f>IFERROR(VLOOKUP($A183,#REF!,2,FALSE),0)</f>
        <v>0</v>
      </c>
      <c r="Q183" s="42" t="e">
        <f t="shared" si="2"/>
        <v>#REF!</v>
      </c>
    </row>
    <row r="184" spans="1:17">
      <c r="A184" s="56" t="s">
        <v>381</v>
      </c>
      <c r="B184" s="7" t="s">
        <v>65</v>
      </c>
      <c r="C184" s="7" t="s">
        <v>366</v>
      </c>
      <c r="D184" s="7" t="s">
        <v>367</v>
      </c>
      <c r="E184" s="7" t="s">
        <v>368</v>
      </c>
      <c r="F184" s="7" t="s">
        <v>374</v>
      </c>
      <c r="G184" s="7" t="s">
        <v>91</v>
      </c>
      <c r="H184" s="7" t="s">
        <v>73</v>
      </c>
      <c r="I184" s="7" t="s">
        <v>1807</v>
      </c>
      <c r="J184" s="7" t="s">
        <v>2201</v>
      </c>
      <c r="K184" s="5">
        <f>SUMIF(BC!$E$6:$E$347,$A184,BC!$K$6:$K$347)</f>
        <v>0</v>
      </c>
      <c r="L184" s="5" t="e">
        <f>SUMIF(#REF!,$A184,#REF!)+SUMIF(#REF!,$A184,#REF!)</f>
        <v>#REF!</v>
      </c>
      <c r="M184" s="5" t="e">
        <f>SUMIF(#REF!,Casilleros!$A184,#REF!)+SUMIF(#REF!,Casilleros!$A184,#REF!)+SUMIF(#REF!,$A184,#REF!)</f>
        <v>#REF!</v>
      </c>
      <c r="N184" s="5" t="e">
        <f>SUMIF(#REF!,$A184,#REF!)</f>
        <v>#REF!</v>
      </c>
      <c r="O184" s="5" t="e">
        <f>SUMIF(#REF!,$A184,#REF!)+SUMIF(#REF!,$A184,#REF!)</f>
        <v>#REF!</v>
      </c>
      <c r="P184" s="5">
        <f>IFERROR(VLOOKUP($A184,#REF!,2,FALSE),0)</f>
        <v>0</v>
      </c>
      <c r="Q184" s="42" t="e">
        <f t="shared" si="2"/>
        <v>#REF!</v>
      </c>
    </row>
    <row r="185" spans="1:17">
      <c r="A185" s="56" t="s">
        <v>382</v>
      </c>
      <c r="B185" s="7" t="s">
        <v>65</v>
      </c>
      <c r="C185" s="7" t="s">
        <v>366</v>
      </c>
      <c r="D185" s="7" t="s">
        <v>367</v>
      </c>
      <c r="E185" s="7" t="s">
        <v>368</v>
      </c>
      <c r="F185" s="7" t="s">
        <v>374</v>
      </c>
      <c r="G185" s="7" t="s">
        <v>91</v>
      </c>
      <c r="H185" s="7" t="s">
        <v>26</v>
      </c>
      <c r="I185" s="7" t="s">
        <v>1808</v>
      </c>
      <c r="J185" s="7" t="s">
        <v>2201</v>
      </c>
      <c r="K185" s="5">
        <f>SUMIF(BC!$E$6:$E$347,$A185,BC!$K$6:$K$347)</f>
        <v>0</v>
      </c>
      <c r="L185" s="5" t="e">
        <f>SUMIF(#REF!,$A185,#REF!)+SUMIF(#REF!,$A185,#REF!)</f>
        <v>#REF!</v>
      </c>
      <c r="M185" s="5" t="e">
        <f>SUMIF(#REF!,Casilleros!$A185,#REF!)+SUMIF(#REF!,Casilleros!$A185,#REF!)+SUMIF(#REF!,$A185,#REF!)</f>
        <v>#REF!</v>
      </c>
      <c r="N185" s="5" t="e">
        <f>SUMIF(#REF!,$A185,#REF!)</f>
        <v>#REF!</v>
      </c>
      <c r="O185" s="5" t="e">
        <f>SUMIF(#REF!,$A185,#REF!)+SUMIF(#REF!,$A185,#REF!)</f>
        <v>#REF!</v>
      </c>
      <c r="P185" s="5">
        <f>IFERROR(VLOOKUP($A185,#REF!,2,FALSE),0)</f>
        <v>0</v>
      </c>
      <c r="Q185" s="42" t="e">
        <f t="shared" si="2"/>
        <v>#REF!</v>
      </c>
    </row>
    <row r="186" spans="1:17">
      <c r="A186" s="56" t="s">
        <v>383</v>
      </c>
      <c r="B186" s="7" t="s">
        <v>65</v>
      </c>
      <c r="C186" s="7" t="s">
        <v>366</v>
      </c>
      <c r="D186" s="7" t="s">
        <v>367</v>
      </c>
      <c r="E186" s="7" t="s">
        <v>368</v>
      </c>
      <c r="F186" s="7" t="s">
        <v>374</v>
      </c>
      <c r="G186" s="7" t="s">
        <v>96</v>
      </c>
      <c r="H186" s="7" t="s">
        <v>73</v>
      </c>
      <c r="I186" s="7" t="s">
        <v>1809</v>
      </c>
      <c r="J186" s="7" t="s">
        <v>2201</v>
      </c>
      <c r="K186" s="5">
        <f>SUMIF(BC!$E$6:$E$347,$A186,BC!$K$6:$K$347)</f>
        <v>0</v>
      </c>
      <c r="L186" s="5" t="e">
        <f>SUMIF(#REF!,$A186,#REF!)+SUMIF(#REF!,$A186,#REF!)</f>
        <v>#REF!</v>
      </c>
      <c r="M186" s="5" t="e">
        <f>SUMIF(#REF!,Casilleros!$A186,#REF!)+SUMIF(#REF!,Casilleros!$A186,#REF!)+SUMIF(#REF!,$A186,#REF!)</f>
        <v>#REF!</v>
      </c>
      <c r="N186" s="5" t="e">
        <f>SUMIF(#REF!,$A186,#REF!)</f>
        <v>#REF!</v>
      </c>
      <c r="O186" s="5" t="e">
        <f>SUMIF(#REF!,$A186,#REF!)+SUMIF(#REF!,$A186,#REF!)</f>
        <v>#REF!</v>
      </c>
      <c r="P186" s="5">
        <f>IFERROR(VLOOKUP($A186,#REF!,2,FALSE),0)</f>
        <v>0</v>
      </c>
      <c r="Q186" s="42" t="e">
        <f t="shared" si="2"/>
        <v>#REF!</v>
      </c>
    </row>
    <row r="187" spans="1:17">
      <c r="A187" s="56" t="s">
        <v>384</v>
      </c>
      <c r="B187" s="7" t="s">
        <v>65</v>
      </c>
      <c r="C187" s="7" t="s">
        <v>366</v>
      </c>
      <c r="D187" s="7" t="s">
        <v>367</v>
      </c>
      <c r="E187" s="7" t="s">
        <v>368</v>
      </c>
      <c r="F187" s="7" t="s">
        <v>374</v>
      </c>
      <c r="G187" s="7" t="s">
        <v>96</v>
      </c>
      <c r="H187" s="7" t="s">
        <v>26</v>
      </c>
      <c r="I187" s="7" t="s">
        <v>1810</v>
      </c>
      <c r="J187" s="7" t="s">
        <v>2201</v>
      </c>
      <c r="K187" s="5">
        <f>SUMIF(BC!$E$6:$E$347,$A187,BC!$K$6:$K$347)</f>
        <v>0</v>
      </c>
      <c r="L187" s="5" t="e">
        <f>SUMIF(#REF!,$A187,#REF!)+SUMIF(#REF!,$A187,#REF!)</f>
        <v>#REF!</v>
      </c>
      <c r="M187" s="5" t="e">
        <f>SUMIF(#REF!,Casilleros!$A187,#REF!)+SUMIF(#REF!,Casilleros!$A187,#REF!)+SUMIF(#REF!,$A187,#REF!)</f>
        <v>#REF!</v>
      </c>
      <c r="N187" s="5" t="e">
        <f>SUMIF(#REF!,$A187,#REF!)</f>
        <v>#REF!</v>
      </c>
      <c r="O187" s="5" t="e">
        <f>SUMIF(#REF!,$A187,#REF!)+SUMIF(#REF!,$A187,#REF!)</f>
        <v>#REF!</v>
      </c>
      <c r="P187" s="5">
        <f>IFERROR(VLOOKUP($A187,#REF!,2,FALSE),0)</f>
        <v>0</v>
      </c>
      <c r="Q187" s="42" t="e">
        <f t="shared" si="2"/>
        <v>#REF!</v>
      </c>
    </row>
    <row r="188" spans="1:17">
      <c r="A188" s="56" t="s">
        <v>386</v>
      </c>
      <c r="B188" s="7" t="s">
        <v>65</v>
      </c>
      <c r="C188" s="7" t="s">
        <v>366</v>
      </c>
      <c r="D188" s="7" t="s">
        <v>367</v>
      </c>
      <c r="E188" s="7" t="s">
        <v>385</v>
      </c>
      <c r="F188" s="7" t="s">
        <v>72</v>
      </c>
      <c r="G188" s="7" t="s">
        <v>73</v>
      </c>
      <c r="H188" s="7" t="s">
        <v>444</v>
      </c>
      <c r="I188" s="7" t="s">
        <v>1811</v>
      </c>
      <c r="J188" s="3" t="s">
        <v>2203</v>
      </c>
      <c r="K188" s="5" t="e">
        <f>SUMIF(BC!$E$6:$E$347,$A188,BC!$K$6:$K$347)</f>
        <v>#REF!</v>
      </c>
      <c r="L188" s="5" t="e">
        <f>SUMIF(#REF!,$A188,#REF!)+SUMIF(#REF!,$A188,#REF!)</f>
        <v>#REF!</v>
      </c>
      <c r="M188" s="5" t="e">
        <f>SUMIF(#REF!,Casilleros!$A188,#REF!)+SUMIF(#REF!,Casilleros!$A188,#REF!)+SUMIF(#REF!,$A188,#REF!)</f>
        <v>#REF!</v>
      </c>
      <c r="N188" s="5" t="e">
        <f>SUMIF(#REF!,$A188,#REF!)</f>
        <v>#REF!</v>
      </c>
      <c r="O188" s="5" t="e">
        <f>SUMIF(#REF!,$A188,#REF!)+SUMIF(#REF!,$A188,#REF!)</f>
        <v>#REF!</v>
      </c>
      <c r="P188" s="5">
        <f>IFERROR(VLOOKUP($A188,#REF!,2,FALSE),0)</f>
        <v>0</v>
      </c>
      <c r="Q188" s="42" t="e">
        <f t="shared" si="2"/>
        <v>#REF!</v>
      </c>
    </row>
    <row r="189" spans="1:17">
      <c r="A189" s="56" t="s">
        <v>387</v>
      </c>
      <c r="B189" s="7" t="s">
        <v>65</v>
      </c>
      <c r="C189" s="7" t="s">
        <v>366</v>
      </c>
      <c r="D189" s="7" t="s">
        <v>367</v>
      </c>
      <c r="E189" s="7" t="s">
        <v>385</v>
      </c>
      <c r="F189" s="7" t="s">
        <v>72</v>
      </c>
      <c r="G189" s="7" t="s">
        <v>26</v>
      </c>
      <c r="H189" s="7" t="s">
        <v>444</v>
      </c>
      <c r="I189" s="7" t="s">
        <v>1812</v>
      </c>
      <c r="J189" s="3" t="s">
        <v>2203</v>
      </c>
      <c r="K189" s="5">
        <f>SUMIF(BC!$E$6:$E$347,$A189,BC!$K$6:$K$347)</f>
        <v>0</v>
      </c>
      <c r="L189" s="5" t="e">
        <f>SUMIF(#REF!,$A189,#REF!)+SUMIF(#REF!,$A189,#REF!)</f>
        <v>#REF!</v>
      </c>
      <c r="M189" s="5" t="e">
        <f>SUMIF(#REF!,Casilleros!$A189,#REF!)+SUMIF(#REF!,Casilleros!$A189,#REF!)+SUMIF(#REF!,$A189,#REF!)</f>
        <v>#REF!</v>
      </c>
      <c r="N189" s="5" t="e">
        <f>SUMIF(#REF!,$A189,#REF!)</f>
        <v>#REF!</v>
      </c>
      <c r="O189" s="5" t="e">
        <f>SUMIF(#REF!,$A189,#REF!)+SUMIF(#REF!,$A189,#REF!)</f>
        <v>#REF!</v>
      </c>
      <c r="P189" s="5">
        <f>IFERROR(VLOOKUP($A189,#REF!,2,FALSE),0)</f>
        <v>0</v>
      </c>
      <c r="Q189" s="42" t="e">
        <f t="shared" si="2"/>
        <v>#REF!</v>
      </c>
    </row>
    <row r="190" spans="1:17">
      <c r="A190" s="56" t="s">
        <v>388</v>
      </c>
      <c r="B190" s="7" t="s">
        <v>65</v>
      </c>
      <c r="C190" s="7" t="s">
        <v>366</v>
      </c>
      <c r="D190" s="7" t="s">
        <v>367</v>
      </c>
      <c r="E190" s="7" t="s">
        <v>385</v>
      </c>
      <c r="F190" s="7" t="s">
        <v>78</v>
      </c>
      <c r="G190" s="7" t="s">
        <v>73</v>
      </c>
      <c r="H190" s="7" t="s">
        <v>444</v>
      </c>
      <c r="I190" s="7" t="s">
        <v>1813</v>
      </c>
      <c r="J190" s="3" t="s">
        <v>2203</v>
      </c>
      <c r="K190" s="5" t="e">
        <f>SUMIF(BC!$E$6:$E$347,$A190,BC!$K$6:$K$347)</f>
        <v>#REF!</v>
      </c>
      <c r="L190" s="5" t="e">
        <f>SUMIF(#REF!,$A190,#REF!)+SUMIF(#REF!,$A190,#REF!)</f>
        <v>#REF!</v>
      </c>
      <c r="M190" s="5" t="e">
        <f>SUMIF(#REF!,Casilleros!$A190,#REF!)+SUMIF(#REF!,Casilleros!$A190,#REF!)+SUMIF(#REF!,$A190,#REF!)</f>
        <v>#REF!</v>
      </c>
      <c r="N190" s="5" t="e">
        <f>SUMIF(#REF!,$A190,#REF!)</f>
        <v>#REF!</v>
      </c>
      <c r="O190" s="5" t="e">
        <f>SUMIF(#REF!,$A190,#REF!)+SUMIF(#REF!,$A190,#REF!)</f>
        <v>#REF!</v>
      </c>
      <c r="P190" s="5">
        <f>IFERROR(VLOOKUP($A190,#REF!,2,FALSE),0)</f>
        <v>0</v>
      </c>
      <c r="Q190" s="42" t="e">
        <f t="shared" si="2"/>
        <v>#REF!</v>
      </c>
    </row>
    <row r="191" spans="1:17">
      <c r="A191" s="56" t="s">
        <v>389</v>
      </c>
      <c r="B191" s="7" t="s">
        <v>65</v>
      </c>
      <c r="C191" s="7" t="s">
        <v>366</v>
      </c>
      <c r="D191" s="7" t="s">
        <v>367</v>
      </c>
      <c r="E191" s="7" t="s">
        <v>385</v>
      </c>
      <c r="F191" s="7" t="s">
        <v>78</v>
      </c>
      <c r="G191" s="7" t="s">
        <v>26</v>
      </c>
      <c r="H191" s="7" t="s">
        <v>444</v>
      </c>
      <c r="I191" s="7" t="s">
        <v>1814</v>
      </c>
      <c r="J191" s="3" t="s">
        <v>2203</v>
      </c>
      <c r="K191" s="5">
        <f>SUMIF(BC!$E$6:$E$347,$A191,BC!$K$6:$K$347)</f>
        <v>0</v>
      </c>
      <c r="L191" s="5" t="e">
        <f>SUMIF(#REF!,$A191,#REF!)+SUMIF(#REF!,$A191,#REF!)</f>
        <v>#REF!</v>
      </c>
      <c r="M191" s="5" t="e">
        <f>SUMIF(#REF!,Casilleros!$A191,#REF!)+SUMIF(#REF!,Casilleros!$A191,#REF!)+SUMIF(#REF!,$A191,#REF!)</f>
        <v>#REF!</v>
      </c>
      <c r="N191" s="5" t="e">
        <f>SUMIF(#REF!,$A191,#REF!)</f>
        <v>#REF!</v>
      </c>
      <c r="O191" s="5" t="e">
        <f>SUMIF(#REF!,$A191,#REF!)+SUMIF(#REF!,$A191,#REF!)</f>
        <v>#REF!</v>
      </c>
      <c r="P191" s="5">
        <f>IFERROR(VLOOKUP($A191,#REF!,2,FALSE),0)</f>
        <v>0</v>
      </c>
      <c r="Q191" s="42" t="e">
        <f t="shared" si="2"/>
        <v>#REF!</v>
      </c>
    </row>
    <row r="192" spans="1:17">
      <c r="A192" s="56" t="s">
        <v>391</v>
      </c>
      <c r="B192" s="7" t="s">
        <v>65</v>
      </c>
      <c r="C192" s="7" t="s">
        <v>366</v>
      </c>
      <c r="D192" s="7" t="s">
        <v>367</v>
      </c>
      <c r="E192" s="7" t="s">
        <v>390</v>
      </c>
      <c r="F192" s="7" t="s">
        <v>444</v>
      </c>
      <c r="G192" s="7" t="s">
        <v>444</v>
      </c>
      <c r="H192" s="7" t="s">
        <v>444</v>
      </c>
      <c r="I192" s="7" t="s">
        <v>390</v>
      </c>
      <c r="J192" s="3" t="s">
        <v>460</v>
      </c>
      <c r="K192" s="5">
        <f>SUMIF(BC!$E$6:$E$347,$A192,BC!$K$6:$K$347)</f>
        <v>0</v>
      </c>
      <c r="L192" s="5" t="e">
        <f>SUMIF(#REF!,$A192,#REF!)+SUMIF(#REF!,$A192,#REF!)</f>
        <v>#REF!</v>
      </c>
      <c r="M192" s="5" t="e">
        <f>SUMIF(#REF!,Casilleros!$A192,#REF!)+SUMIF(#REF!,Casilleros!$A192,#REF!)+SUMIF(#REF!,$A192,#REF!)</f>
        <v>#REF!</v>
      </c>
      <c r="N192" s="5" t="e">
        <f>SUMIF(#REF!,$A192,#REF!)</f>
        <v>#REF!</v>
      </c>
      <c r="O192" s="5" t="e">
        <f>SUMIF(#REF!,$A192,#REF!)+SUMIF(#REF!,$A192,#REF!)</f>
        <v>#REF!</v>
      </c>
      <c r="P192" s="5">
        <f>IFERROR(VLOOKUP($A192,#REF!,2,FALSE),0)</f>
        <v>0</v>
      </c>
      <c r="Q192" s="42" t="e">
        <f t="shared" si="2"/>
        <v>#REF!</v>
      </c>
    </row>
    <row r="193" spans="1:17">
      <c r="A193" s="56" t="s">
        <v>393</v>
      </c>
      <c r="B193" s="7" t="s">
        <v>65</v>
      </c>
      <c r="C193" s="7" t="s">
        <v>366</v>
      </c>
      <c r="D193" s="7" t="s">
        <v>367</v>
      </c>
      <c r="E193" s="7" t="s">
        <v>392</v>
      </c>
      <c r="F193" s="7" t="s">
        <v>444</v>
      </c>
      <c r="G193" s="7" t="s">
        <v>444</v>
      </c>
      <c r="H193" s="7" t="s">
        <v>444</v>
      </c>
      <c r="I193" s="7" t="s">
        <v>392</v>
      </c>
      <c r="J193" s="3" t="s">
        <v>2206</v>
      </c>
      <c r="K193" s="5">
        <f>SUMIF(BC!$E$6:$E$347,$A193,BC!$K$6:$K$347)</f>
        <v>0</v>
      </c>
      <c r="L193" s="5" t="e">
        <f>SUMIF(#REF!,$A193,#REF!)+SUMIF(#REF!,$A193,#REF!)</f>
        <v>#REF!</v>
      </c>
      <c r="M193" s="5" t="e">
        <f>SUMIF(#REF!,Casilleros!$A193,#REF!)+SUMIF(#REF!,Casilleros!$A193,#REF!)+SUMIF(#REF!,$A193,#REF!)</f>
        <v>#REF!</v>
      </c>
      <c r="N193" s="5" t="e">
        <f>SUMIF(#REF!,$A193,#REF!)</f>
        <v>#REF!</v>
      </c>
      <c r="O193" s="5" t="e">
        <f>SUMIF(#REF!,$A193,#REF!)+SUMIF(#REF!,$A193,#REF!)</f>
        <v>#REF!</v>
      </c>
      <c r="P193" s="5">
        <f>IFERROR(VLOOKUP($A193,#REF!,2,FALSE),0)</f>
        <v>0</v>
      </c>
      <c r="Q193" s="42" t="e">
        <f t="shared" si="2"/>
        <v>#REF!</v>
      </c>
    </row>
    <row r="194" spans="1:17">
      <c r="A194" s="56" t="s">
        <v>395</v>
      </c>
      <c r="B194" s="7" t="s">
        <v>65</v>
      </c>
      <c r="C194" s="7" t="s">
        <v>366</v>
      </c>
      <c r="D194" s="7" t="s">
        <v>367</v>
      </c>
      <c r="E194" s="7" t="s">
        <v>394</v>
      </c>
      <c r="F194" s="7" t="s">
        <v>101</v>
      </c>
      <c r="G194" s="7" t="s">
        <v>444</v>
      </c>
      <c r="H194" s="7" t="s">
        <v>444</v>
      </c>
      <c r="I194" s="7" t="s">
        <v>1815</v>
      </c>
      <c r="J194" s="3" t="s">
        <v>2208</v>
      </c>
      <c r="K194" s="5">
        <f>SUMIF(BC!$E$6:$E$347,$A194,BC!$K$6:$K$347)</f>
        <v>0</v>
      </c>
      <c r="L194" s="5" t="e">
        <f>SUMIF(#REF!,$A194,#REF!)+SUMIF(#REF!,$A194,#REF!)</f>
        <v>#REF!</v>
      </c>
      <c r="M194" s="5" t="e">
        <f>SUMIF(#REF!,Casilleros!$A194,#REF!)+SUMIF(#REF!,Casilleros!$A194,#REF!)+SUMIF(#REF!,$A194,#REF!)</f>
        <v>#REF!</v>
      </c>
      <c r="N194" s="5" t="e">
        <f>SUMIF(#REF!,$A194,#REF!)</f>
        <v>#REF!</v>
      </c>
      <c r="O194" s="5" t="e">
        <f>SUMIF(#REF!,$A194,#REF!)+SUMIF(#REF!,$A194,#REF!)</f>
        <v>#REF!</v>
      </c>
      <c r="P194" s="5">
        <f>IFERROR(VLOOKUP($A194,#REF!,2,FALSE),0)</f>
        <v>0</v>
      </c>
      <c r="Q194" s="42" t="e">
        <f t="shared" si="2"/>
        <v>#REF!</v>
      </c>
    </row>
    <row r="195" spans="1:17">
      <c r="A195" s="56" t="s">
        <v>396</v>
      </c>
      <c r="B195" s="7" t="s">
        <v>65</v>
      </c>
      <c r="C195" s="7" t="s">
        <v>366</v>
      </c>
      <c r="D195" s="7" t="s">
        <v>367</v>
      </c>
      <c r="E195" s="7" t="s">
        <v>394</v>
      </c>
      <c r="F195" s="7" t="s">
        <v>105</v>
      </c>
      <c r="G195" s="7" t="s">
        <v>444</v>
      </c>
      <c r="H195" s="7" t="s">
        <v>444</v>
      </c>
      <c r="I195" s="7" t="s">
        <v>1816</v>
      </c>
      <c r="J195" s="3" t="s">
        <v>2208</v>
      </c>
      <c r="K195" s="5">
        <f>SUMIF(BC!$E$6:$E$347,$A195,BC!$K$6:$K$347)</f>
        <v>0</v>
      </c>
      <c r="L195" s="5" t="e">
        <f>SUMIF(#REF!,$A195,#REF!)+SUMIF(#REF!,$A195,#REF!)</f>
        <v>#REF!</v>
      </c>
      <c r="M195" s="5" t="e">
        <f>SUMIF(#REF!,Casilleros!$A195,#REF!)+SUMIF(#REF!,Casilleros!$A195,#REF!)+SUMIF(#REF!,$A195,#REF!)</f>
        <v>#REF!</v>
      </c>
      <c r="N195" s="5" t="e">
        <f>SUMIF(#REF!,$A195,#REF!)</f>
        <v>#REF!</v>
      </c>
      <c r="O195" s="5" t="e">
        <f>SUMIF(#REF!,$A195,#REF!)+SUMIF(#REF!,$A195,#REF!)</f>
        <v>#REF!</v>
      </c>
      <c r="P195" s="5">
        <f>IFERROR(VLOOKUP($A195,#REF!,2,FALSE),0)</f>
        <v>0</v>
      </c>
      <c r="Q195" s="42" t="e">
        <f t="shared" si="2"/>
        <v>#REF!</v>
      </c>
    </row>
    <row r="196" spans="1:17">
      <c r="A196" s="56" t="s">
        <v>398</v>
      </c>
      <c r="B196" s="7" t="s">
        <v>65</v>
      </c>
      <c r="C196" s="7" t="s">
        <v>366</v>
      </c>
      <c r="D196" s="7" t="s">
        <v>367</v>
      </c>
      <c r="E196" s="7" t="s">
        <v>397</v>
      </c>
      <c r="F196" s="7" t="s">
        <v>444</v>
      </c>
      <c r="G196" s="7" t="s">
        <v>444</v>
      </c>
      <c r="H196" s="7" t="s">
        <v>444</v>
      </c>
      <c r="I196" s="7" t="s">
        <v>397</v>
      </c>
      <c r="J196" s="3" t="s">
        <v>2210</v>
      </c>
      <c r="K196" s="5">
        <f>SUMIF(BC!$E$6:$E$347,$A196,BC!$K$6:$K$347)</f>
        <v>0</v>
      </c>
      <c r="L196" s="5" t="e">
        <f>SUMIF(#REF!,$A196,#REF!)+SUMIF(#REF!,$A196,#REF!)</f>
        <v>#REF!</v>
      </c>
      <c r="M196" s="5" t="e">
        <f>SUMIF(#REF!,Casilleros!$A196,#REF!)+SUMIF(#REF!,Casilleros!$A196,#REF!)+SUMIF(#REF!,$A196,#REF!)</f>
        <v>#REF!</v>
      </c>
      <c r="N196" s="5" t="e">
        <f>SUMIF(#REF!,$A196,#REF!)</f>
        <v>#REF!</v>
      </c>
      <c r="O196" s="5" t="e">
        <f>SUMIF(#REF!,$A196,#REF!)+SUMIF(#REF!,$A196,#REF!)</f>
        <v>#REF!</v>
      </c>
      <c r="P196" s="5">
        <f>IFERROR(VLOOKUP($A196,#REF!,2,FALSE),0)</f>
        <v>0</v>
      </c>
      <c r="Q196" s="42" t="e">
        <f t="shared" si="2"/>
        <v>#REF!</v>
      </c>
    </row>
    <row r="197" spans="1:17">
      <c r="A197" s="56" t="s">
        <v>400</v>
      </c>
      <c r="B197" s="7" t="s">
        <v>65</v>
      </c>
      <c r="C197" s="7" t="s">
        <v>366</v>
      </c>
      <c r="D197" s="7" t="s">
        <v>367</v>
      </c>
      <c r="E197" s="7" t="s">
        <v>399</v>
      </c>
      <c r="F197" s="7" t="s">
        <v>444</v>
      </c>
      <c r="G197" s="7" t="s">
        <v>444</v>
      </c>
      <c r="H197" s="7" t="s">
        <v>444</v>
      </c>
      <c r="I197" s="7" t="s">
        <v>399</v>
      </c>
      <c r="J197" s="7" t="s">
        <v>2213</v>
      </c>
      <c r="K197" s="5" t="e">
        <f>SUMIF(BC!$E$6:$E$347,$A197,BC!$K$6:$K$347)</f>
        <v>#REF!</v>
      </c>
      <c r="L197" s="5" t="e">
        <f>SUMIF(#REF!,$A197,#REF!)+SUMIF(#REF!,$A197,#REF!)</f>
        <v>#REF!</v>
      </c>
      <c r="M197" s="5" t="e">
        <f>SUMIF(#REF!,Casilleros!$A197,#REF!)+SUMIF(#REF!,Casilleros!$A197,#REF!)+SUMIF(#REF!,$A197,#REF!)</f>
        <v>#REF!</v>
      </c>
      <c r="N197" s="5" t="e">
        <f>SUMIF(#REF!,$A197,#REF!)</f>
        <v>#REF!</v>
      </c>
      <c r="O197" s="5" t="e">
        <f>SUMIF(#REF!,$A197,#REF!)+SUMIF(#REF!,$A197,#REF!)</f>
        <v>#REF!</v>
      </c>
      <c r="P197" s="5">
        <f>IFERROR(VLOOKUP($A197,#REF!,2,FALSE),0)</f>
        <v>0</v>
      </c>
      <c r="Q197" s="42" t="e">
        <f t="shared" si="2"/>
        <v>#REF!</v>
      </c>
    </row>
    <row r="198" spans="1:17">
      <c r="A198" s="56" t="s">
        <v>403</v>
      </c>
      <c r="B198" s="7" t="s">
        <v>65</v>
      </c>
      <c r="C198" s="7" t="s">
        <v>366</v>
      </c>
      <c r="D198" s="7" t="s">
        <v>367</v>
      </c>
      <c r="E198" s="7" t="s">
        <v>401</v>
      </c>
      <c r="F198" s="7" t="s">
        <v>402</v>
      </c>
      <c r="G198" s="7" t="s">
        <v>444</v>
      </c>
      <c r="H198" s="7" t="s">
        <v>444</v>
      </c>
      <c r="I198" s="7" t="s">
        <v>1817</v>
      </c>
      <c r="J198" s="3" t="s">
        <v>2215</v>
      </c>
      <c r="K198" s="5" t="e">
        <f>SUMIF(BC!$E$6:$E$347,$A198,BC!$K$6:$K$347)</f>
        <v>#REF!</v>
      </c>
      <c r="L198" s="5" t="e">
        <f>SUMIF(#REF!,$A198,#REF!)+SUMIF(#REF!,$A198,#REF!)</f>
        <v>#REF!</v>
      </c>
      <c r="M198" s="5" t="e">
        <f>SUMIF(#REF!,Casilleros!$A198,#REF!)+SUMIF(#REF!,Casilleros!$A198,#REF!)+SUMIF(#REF!,$A198,#REF!)</f>
        <v>#REF!</v>
      </c>
      <c r="N198" s="5" t="e">
        <f>SUMIF(#REF!,$A198,#REF!)</f>
        <v>#REF!</v>
      </c>
      <c r="O198" s="5" t="e">
        <f>SUMIF(#REF!,$A198,#REF!)+SUMIF(#REF!,$A198,#REF!)</f>
        <v>#REF!</v>
      </c>
      <c r="P198" s="5">
        <f>IFERROR(VLOOKUP($A198,#REF!,2,FALSE),0)</f>
        <v>0</v>
      </c>
      <c r="Q198" s="42" t="e">
        <f t="shared" ref="Q198:Q261" si="3">SUM(K198:P198)</f>
        <v>#REF!</v>
      </c>
    </row>
    <row r="199" spans="1:17">
      <c r="A199" s="56" t="s">
        <v>405</v>
      </c>
      <c r="B199" s="7" t="s">
        <v>65</v>
      </c>
      <c r="C199" s="7" t="s">
        <v>366</v>
      </c>
      <c r="D199" s="7" t="s">
        <v>367</v>
      </c>
      <c r="E199" s="7" t="s">
        <v>401</v>
      </c>
      <c r="F199" s="7" t="s">
        <v>404</v>
      </c>
      <c r="G199" s="7" t="s">
        <v>444</v>
      </c>
      <c r="H199" s="7" t="s">
        <v>444</v>
      </c>
      <c r="I199" s="7" t="s">
        <v>1818</v>
      </c>
      <c r="J199" s="3" t="s">
        <v>2215</v>
      </c>
      <c r="K199" s="5" t="e">
        <f>SUMIF(BC!$E$6:$E$347,$A199,BC!$K$6:$K$347)</f>
        <v>#REF!</v>
      </c>
      <c r="L199" s="5" t="e">
        <f>SUMIF(#REF!,$A199,#REF!)+SUMIF(#REF!,$A199,#REF!)</f>
        <v>#REF!</v>
      </c>
      <c r="M199" s="5" t="e">
        <f>SUMIF(#REF!,Casilleros!$A199,#REF!)+SUMIF(#REF!,Casilleros!$A199,#REF!)+SUMIF(#REF!,$A199,#REF!)</f>
        <v>#REF!</v>
      </c>
      <c r="N199" s="5" t="e">
        <f>SUMIF(#REF!,$A199,#REF!)</f>
        <v>#REF!</v>
      </c>
      <c r="O199" s="5" t="e">
        <f>SUMIF(#REF!,$A199,#REF!)+SUMIF(#REF!,$A199,#REF!)</f>
        <v>#REF!</v>
      </c>
      <c r="P199" s="5">
        <f>IFERROR(VLOOKUP($A199,#REF!,2,FALSE),0)</f>
        <v>0</v>
      </c>
      <c r="Q199" s="42" t="e">
        <f t="shared" si="3"/>
        <v>#REF!</v>
      </c>
    </row>
    <row r="200" spans="1:17">
      <c r="A200" s="56" t="s">
        <v>407</v>
      </c>
      <c r="B200" s="7" t="s">
        <v>65</v>
      </c>
      <c r="C200" s="7" t="s">
        <v>366</v>
      </c>
      <c r="D200" s="7" t="s">
        <v>367</v>
      </c>
      <c r="E200" s="7" t="s">
        <v>401</v>
      </c>
      <c r="F200" s="7" t="s">
        <v>406</v>
      </c>
      <c r="G200" s="7" t="s">
        <v>444</v>
      </c>
      <c r="H200" s="7" t="s">
        <v>444</v>
      </c>
      <c r="I200" s="7" t="s">
        <v>1819</v>
      </c>
      <c r="J200" s="3" t="s">
        <v>2215</v>
      </c>
      <c r="K200" s="5">
        <f>SUMIF(BC!$E$6:$E$347,$A200,BC!$K$6:$K$347)</f>
        <v>0</v>
      </c>
      <c r="L200" s="5" t="e">
        <f>SUMIF(#REF!,$A200,#REF!)+SUMIF(#REF!,$A200,#REF!)</f>
        <v>#REF!</v>
      </c>
      <c r="M200" s="5" t="e">
        <f>SUMIF(#REF!,Casilleros!$A200,#REF!)+SUMIF(#REF!,Casilleros!$A200,#REF!)+SUMIF(#REF!,$A200,#REF!)</f>
        <v>#REF!</v>
      </c>
      <c r="N200" s="5" t="e">
        <f>SUMIF(#REF!,$A200,#REF!)</f>
        <v>#REF!</v>
      </c>
      <c r="O200" s="5" t="e">
        <f>SUMIF(#REF!,$A200,#REF!)+SUMIF(#REF!,$A200,#REF!)</f>
        <v>#REF!</v>
      </c>
      <c r="P200" s="5">
        <f>IFERROR(VLOOKUP($A200,#REF!,2,FALSE),0)</f>
        <v>0</v>
      </c>
      <c r="Q200" s="42" t="e">
        <f t="shared" si="3"/>
        <v>#REF!</v>
      </c>
    </row>
    <row r="201" spans="1:17">
      <c r="A201" s="56" t="s">
        <v>409</v>
      </c>
      <c r="B201" s="7" t="s">
        <v>65</v>
      </c>
      <c r="C201" s="7" t="s">
        <v>366</v>
      </c>
      <c r="D201" s="7" t="s">
        <v>367</v>
      </c>
      <c r="E201" s="7" t="s">
        <v>401</v>
      </c>
      <c r="F201" s="7" t="s">
        <v>408</v>
      </c>
      <c r="G201" s="7" t="s">
        <v>444</v>
      </c>
      <c r="H201" s="7" t="s">
        <v>444</v>
      </c>
      <c r="I201" s="7" t="s">
        <v>1820</v>
      </c>
      <c r="J201" s="3" t="s">
        <v>2215</v>
      </c>
      <c r="K201" s="5" t="e">
        <f>SUMIF(BC!$E$6:$E$347,$A201,BC!$K$6:$K$347)</f>
        <v>#REF!</v>
      </c>
      <c r="L201" s="5" t="e">
        <f>SUMIF(#REF!,$A201,#REF!)+SUMIF(#REF!,$A201,#REF!)</f>
        <v>#REF!</v>
      </c>
      <c r="M201" s="5" t="e">
        <f>SUMIF(#REF!,Casilleros!$A201,#REF!)+SUMIF(#REF!,Casilleros!$A201,#REF!)+SUMIF(#REF!,$A201,#REF!)</f>
        <v>#REF!</v>
      </c>
      <c r="N201" s="5" t="e">
        <f>SUMIF(#REF!,$A201,#REF!)</f>
        <v>#REF!</v>
      </c>
      <c r="O201" s="5" t="e">
        <f>SUMIF(#REF!,$A201,#REF!)+SUMIF(#REF!,$A201,#REF!)</f>
        <v>#REF!</v>
      </c>
      <c r="P201" s="5">
        <f>IFERROR(VLOOKUP($A201,#REF!,2,FALSE),0)</f>
        <v>0</v>
      </c>
      <c r="Q201" s="42" t="e">
        <f t="shared" si="3"/>
        <v>#REF!</v>
      </c>
    </row>
    <row r="202" spans="1:17">
      <c r="A202" s="56" t="s">
        <v>412</v>
      </c>
      <c r="B202" s="7" t="s">
        <v>65</v>
      </c>
      <c r="C202" s="7" t="s">
        <v>366</v>
      </c>
      <c r="D202" s="7" t="s">
        <v>367</v>
      </c>
      <c r="E202" s="7" t="s">
        <v>410</v>
      </c>
      <c r="F202" s="7" t="s">
        <v>411</v>
      </c>
      <c r="G202" s="7" t="s">
        <v>444</v>
      </c>
      <c r="H202" s="7" t="s">
        <v>444</v>
      </c>
      <c r="I202" s="7" t="s">
        <v>1821</v>
      </c>
      <c r="J202" s="3" t="s">
        <v>2217</v>
      </c>
      <c r="K202" s="5" t="e">
        <f>SUMIF(BC!$E$6:$E$347,$A202,BC!$K$6:$K$347)</f>
        <v>#REF!</v>
      </c>
      <c r="L202" s="5" t="e">
        <f>SUMIF(#REF!,$A202,#REF!)+SUMIF(#REF!,$A202,#REF!)</f>
        <v>#REF!</v>
      </c>
      <c r="M202" s="5" t="e">
        <f>SUMIF(#REF!,Casilleros!$A202,#REF!)+SUMIF(#REF!,Casilleros!$A202,#REF!)+SUMIF(#REF!,$A202,#REF!)</f>
        <v>#REF!</v>
      </c>
      <c r="N202" s="5" t="e">
        <f>SUMIF(#REF!,$A202,#REF!)</f>
        <v>#REF!</v>
      </c>
      <c r="O202" s="5" t="e">
        <f>SUMIF(#REF!,$A202,#REF!)+SUMIF(#REF!,$A202,#REF!)</f>
        <v>#REF!</v>
      </c>
      <c r="P202" s="5">
        <f>IFERROR(VLOOKUP($A202,#REF!,2,FALSE),0)</f>
        <v>0</v>
      </c>
      <c r="Q202" s="42" t="e">
        <f t="shared" si="3"/>
        <v>#REF!</v>
      </c>
    </row>
    <row r="203" spans="1:17">
      <c r="A203" s="56" t="s">
        <v>414</v>
      </c>
      <c r="B203" s="7" t="s">
        <v>65</v>
      </c>
      <c r="C203" s="7" t="s">
        <v>366</v>
      </c>
      <c r="D203" s="7" t="s">
        <v>367</v>
      </c>
      <c r="E203" s="7" t="s">
        <v>410</v>
      </c>
      <c r="F203" s="7" t="s">
        <v>413</v>
      </c>
      <c r="G203" s="7" t="s">
        <v>444</v>
      </c>
      <c r="H203" s="7" t="s">
        <v>444</v>
      </c>
      <c r="I203" s="7" t="s">
        <v>1822</v>
      </c>
      <c r="J203" s="3" t="s">
        <v>2217</v>
      </c>
      <c r="K203" s="5">
        <f>SUMIF(BC!$E$6:$E$347,$A203,BC!$K$6:$K$347)</f>
        <v>0</v>
      </c>
      <c r="L203" s="5" t="e">
        <f>SUMIF(#REF!,$A203,#REF!)+SUMIF(#REF!,$A203,#REF!)</f>
        <v>#REF!</v>
      </c>
      <c r="M203" s="5" t="e">
        <f>SUMIF(#REF!,Casilleros!$A203,#REF!)+SUMIF(#REF!,Casilleros!$A203,#REF!)+SUMIF(#REF!,$A203,#REF!)</f>
        <v>#REF!</v>
      </c>
      <c r="N203" s="5" t="e">
        <f>SUMIF(#REF!,$A203,#REF!)</f>
        <v>#REF!</v>
      </c>
      <c r="O203" s="5" t="e">
        <f>SUMIF(#REF!,$A203,#REF!)+SUMIF(#REF!,$A203,#REF!)</f>
        <v>#REF!</v>
      </c>
      <c r="P203" s="5">
        <f>IFERROR(VLOOKUP($A203,#REF!,2,FALSE),0)</f>
        <v>0</v>
      </c>
      <c r="Q203" s="42" t="e">
        <f t="shared" si="3"/>
        <v>#REF!</v>
      </c>
    </row>
    <row r="204" spans="1:17">
      <c r="A204" s="56" t="s">
        <v>416</v>
      </c>
      <c r="B204" s="7" t="s">
        <v>65</v>
      </c>
      <c r="C204" s="7" t="s">
        <v>366</v>
      </c>
      <c r="D204" s="7" t="s">
        <v>367</v>
      </c>
      <c r="E204" s="7" t="s">
        <v>410</v>
      </c>
      <c r="F204" s="7" t="s">
        <v>415</v>
      </c>
      <c r="G204" s="7" t="s">
        <v>444</v>
      </c>
      <c r="H204" s="7" t="s">
        <v>444</v>
      </c>
      <c r="I204" s="7" t="s">
        <v>1823</v>
      </c>
      <c r="J204" s="3" t="s">
        <v>2217</v>
      </c>
      <c r="K204" s="5">
        <f>SUMIF(BC!$E$6:$E$347,$A204,BC!$K$6:$K$347)</f>
        <v>0</v>
      </c>
      <c r="L204" s="5" t="e">
        <f>SUMIF(#REF!,$A204,#REF!)+SUMIF(#REF!,$A204,#REF!)</f>
        <v>#REF!</v>
      </c>
      <c r="M204" s="5" t="e">
        <f>SUMIF(#REF!,Casilleros!$A204,#REF!)+SUMIF(#REF!,Casilleros!$A204,#REF!)+SUMIF(#REF!,$A204,#REF!)</f>
        <v>#REF!</v>
      </c>
      <c r="N204" s="5" t="e">
        <f>SUMIF(#REF!,$A204,#REF!)</f>
        <v>#REF!</v>
      </c>
      <c r="O204" s="5" t="e">
        <f>SUMIF(#REF!,$A204,#REF!)+SUMIF(#REF!,$A204,#REF!)</f>
        <v>#REF!</v>
      </c>
      <c r="P204" s="5">
        <f>IFERROR(VLOOKUP($A204,#REF!,2,FALSE),0)</f>
        <v>0</v>
      </c>
      <c r="Q204" s="42" t="e">
        <f t="shared" si="3"/>
        <v>#REF!</v>
      </c>
    </row>
    <row r="205" spans="1:17">
      <c r="A205" s="56" t="s">
        <v>418</v>
      </c>
      <c r="B205" s="7" t="s">
        <v>65</v>
      </c>
      <c r="C205" s="7" t="s">
        <v>366</v>
      </c>
      <c r="D205" s="7" t="s">
        <v>367</v>
      </c>
      <c r="E205" s="7" t="s">
        <v>410</v>
      </c>
      <c r="F205" s="7" t="s">
        <v>417</v>
      </c>
      <c r="G205" s="7" t="s">
        <v>444</v>
      </c>
      <c r="H205" s="7" t="s">
        <v>444</v>
      </c>
      <c r="I205" s="7" t="s">
        <v>1824</v>
      </c>
      <c r="J205" s="3" t="s">
        <v>2217</v>
      </c>
      <c r="K205" s="5">
        <f>SUMIF(BC!$E$6:$E$347,$A205,BC!$K$6:$K$347)</f>
        <v>0</v>
      </c>
      <c r="L205" s="5" t="e">
        <f>SUMIF(#REF!,$A205,#REF!)+SUMIF(#REF!,$A205,#REF!)</f>
        <v>#REF!</v>
      </c>
      <c r="M205" s="5" t="e">
        <f>SUMIF(#REF!,Casilleros!$A205,#REF!)+SUMIF(#REF!,Casilleros!$A205,#REF!)+SUMIF(#REF!,$A205,#REF!)</f>
        <v>#REF!</v>
      </c>
      <c r="N205" s="5" t="e">
        <f>SUMIF(#REF!,$A205,#REF!)</f>
        <v>#REF!</v>
      </c>
      <c r="O205" s="5" t="e">
        <f>SUMIF(#REF!,$A205,#REF!)+SUMIF(#REF!,$A205,#REF!)</f>
        <v>#REF!</v>
      </c>
      <c r="P205" s="5">
        <f>IFERROR(VLOOKUP($A205,#REF!,2,FALSE),0)</f>
        <v>0</v>
      </c>
      <c r="Q205" s="42" t="e">
        <f t="shared" si="3"/>
        <v>#REF!</v>
      </c>
    </row>
    <row r="206" spans="1:17">
      <c r="A206" s="56" t="s">
        <v>420</v>
      </c>
      <c r="B206" s="7" t="s">
        <v>65</v>
      </c>
      <c r="C206" s="7" t="s">
        <v>366</v>
      </c>
      <c r="D206" s="7" t="s">
        <v>367</v>
      </c>
      <c r="E206" s="7" t="s">
        <v>410</v>
      </c>
      <c r="F206" s="7" t="s">
        <v>419</v>
      </c>
      <c r="G206" s="7" t="s">
        <v>444</v>
      </c>
      <c r="H206" s="7" t="s">
        <v>444</v>
      </c>
      <c r="I206" s="7" t="s">
        <v>1825</v>
      </c>
      <c r="J206" s="3" t="s">
        <v>2217</v>
      </c>
      <c r="K206" s="5">
        <f>SUMIF(BC!$E$6:$E$347,$A206,BC!$K$6:$K$347)</f>
        <v>0</v>
      </c>
      <c r="L206" s="5" t="e">
        <f>SUMIF(#REF!,$A206,#REF!)+SUMIF(#REF!,$A206,#REF!)</f>
        <v>#REF!</v>
      </c>
      <c r="M206" s="5" t="e">
        <f>SUMIF(#REF!,Casilleros!$A206,#REF!)+SUMIF(#REF!,Casilleros!$A206,#REF!)+SUMIF(#REF!,$A206,#REF!)</f>
        <v>#REF!</v>
      </c>
      <c r="N206" s="5" t="e">
        <f>SUMIF(#REF!,$A206,#REF!)</f>
        <v>#REF!</v>
      </c>
      <c r="O206" s="5" t="e">
        <f>SUMIF(#REF!,$A206,#REF!)+SUMIF(#REF!,$A206,#REF!)</f>
        <v>#REF!</v>
      </c>
      <c r="P206" s="5">
        <f>IFERROR(VLOOKUP($A206,#REF!,2,FALSE),0)</f>
        <v>0</v>
      </c>
      <c r="Q206" s="42" t="e">
        <f t="shared" si="3"/>
        <v>#REF!</v>
      </c>
    </row>
    <row r="207" spans="1:17">
      <c r="A207" s="56" t="s">
        <v>422</v>
      </c>
      <c r="B207" s="7" t="s">
        <v>65</v>
      </c>
      <c r="C207" s="7" t="s">
        <v>366</v>
      </c>
      <c r="D207" s="7" t="s">
        <v>367</v>
      </c>
      <c r="E207" s="7" t="s">
        <v>410</v>
      </c>
      <c r="F207" s="7" t="s">
        <v>421</v>
      </c>
      <c r="G207" s="7" t="s">
        <v>444</v>
      </c>
      <c r="H207" s="7" t="s">
        <v>444</v>
      </c>
      <c r="I207" s="7" t="s">
        <v>1826</v>
      </c>
      <c r="J207" s="3" t="s">
        <v>2217</v>
      </c>
      <c r="K207" s="5">
        <f>SUMIF(BC!$E$6:$E$347,$A207,BC!$K$6:$K$347)</f>
        <v>0</v>
      </c>
      <c r="L207" s="5" t="e">
        <f>SUMIF(#REF!,$A207,#REF!)+SUMIF(#REF!,$A207,#REF!)</f>
        <v>#REF!</v>
      </c>
      <c r="M207" s="5" t="e">
        <f>SUMIF(#REF!,Casilleros!$A207,#REF!)+SUMIF(#REF!,Casilleros!$A207,#REF!)+SUMIF(#REF!,$A207,#REF!)</f>
        <v>#REF!</v>
      </c>
      <c r="N207" s="5" t="e">
        <f>SUMIF(#REF!,$A207,#REF!)</f>
        <v>#REF!</v>
      </c>
      <c r="O207" s="5" t="e">
        <f>SUMIF(#REF!,$A207,#REF!)+SUMIF(#REF!,$A207,#REF!)</f>
        <v>#REF!</v>
      </c>
      <c r="P207" s="5">
        <f>IFERROR(VLOOKUP($A207,#REF!,2,FALSE),0)</f>
        <v>0</v>
      </c>
      <c r="Q207" s="42" t="e">
        <f t="shared" si="3"/>
        <v>#REF!</v>
      </c>
    </row>
    <row r="208" spans="1:17">
      <c r="A208" s="56" t="s">
        <v>424</v>
      </c>
      <c r="B208" s="7" t="s">
        <v>65</v>
      </c>
      <c r="C208" s="7" t="s">
        <v>366</v>
      </c>
      <c r="D208" s="7" t="s">
        <v>367</v>
      </c>
      <c r="E208" s="7" t="s">
        <v>410</v>
      </c>
      <c r="F208" s="7" t="s">
        <v>423</v>
      </c>
      <c r="G208" s="7" t="s">
        <v>444</v>
      </c>
      <c r="H208" s="7" t="s">
        <v>444</v>
      </c>
      <c r="I208" s="7" t="s">
        <v>1827</v>
      </c>
      <c r="J208" s="3" t="s">
        <v>2217</v>
      </c>
      <c r="K208" s="5">
        <f>SUMIF(BC!$E$6:$E$347,$A208,BC!$K$6:$K$347)</f>
        <v>0</v>
      </c>
      <c r="L208" s="5" t="e">
        <f>SUMIF(#REF!,$A208,#REF!)+SUMIF(#REF!,$A208,#REF!)</f>
        <v>#REF!</v>
      </c>
      <c r="M208" s="5" t="e">
        <f>SUMIF(#REF!,Casilleros!$A208,#REF!)+SUMIF(#REF!,Casilleros!$A208,#REF!)+SUMIF(#REF!,$A208,#REF!)</f>
        <v>#REF!</v>
      </c>
      <c r="N208" s="5" t="e">
        <f>SUMIF(#REF!,$A208,#REF!)</f>
        <v>#REF!</v>
      </c>
      <c r="O208" s="5" t="e">
        <f>SUMIF(#REF!,$A208,#REF!)+SUMIF(#REF!,$A208,#REF!)</f>
        <v>#REF!</v>
      </c>
      <c r="P208" s="5">
        <f>IFERROR(VLOOKUP($A208,#REF!,2,FALSE),0)</f>
        <v>0</v>
      </c>
      <c r="Q208" s="42" t="e">
        <f t="shared" si="3"/>
        <v>#REF!</v>
      </c>
    </row>
    <row r="209" spans="1:17">
      <c r="A209" s="56" t="s">
        <v>426</v>
      </c>
      <c r="B209" s="7" t="s">
        <v>65</v>
      </c>
      <c r="C209" s="7" t="s">
        <v>366</v>
      </c>
      <c r="D209" s="7" t="s">
        <v>367</v>
      </c>
      <c r="E209" s="7" t="s">
        <v>410</v>
      </c>
      <c r="F209" s="7" t="s">
        <v>425</v>
      </c>
      <c r="G209" s="7" t="s">
        <v>444</v>
      </c>
      <c r="H209" s="7" t="s">
        <v>444</v>
      </c>
      <c r="I209" s="7" t="s">
        <v>1828</v>
      </c>
      <c r="J209" s="3" t="s">
        <v>2217</v>
      </c>
      <c r="K209" s="5">
        <f>SUMIF(BC!$E$6:$E$347,$A209,BC!$K$6:$K$347)</f>
        <v>0</v>
      </c>
      <c r="L209" s="5" t="e">
        <f>SUMIF(#REF!,$A209,#REF!)+SUMIF(#REF!,$A209,#REF!)</f>
        <v>#REF!</v>
      </c>
      <c r="M209" s="5" t="e">
        <f>SUMIF(#REF!,Casilleros!$A209,#REF!)+SUMIF(#REF!,Casilleros!$A209,#REF!)+SUMIF(#REF!,$A209,#REF!)</f>
        <v>#REF!</v>
      </c>
      <c r="N209" s="5" t="e">
        <f>SUMIF(#REF!,$A209,#REF!)</f>
        <v>#REF!</v>
      </c>
      <c r="O209" s="5" t="e">
        <f>SUMIF(#REF!,$A209,#REF!)+SUMIF(#REF!,$A209,#REF!)</f>
        <v>#REF!</v>
      </c>
      <c r="P209" s="5">
        <f>IFERROR(VLOOKUP($A209,#REF!,2,FALSE),0)</f>
        <v>0</v>
      </c>
      <c r="Q209" s="42" t="e">
        <f t="shared" si="3"/>
        <v>#REF!</v>
      </c>
    </row>
    <row r="210" spans="1:17">
      <c r="A210" s="56" t="s">
        <v>429</v>
      </c>
      <c r="B210" s="7" t="s">
        <v>65</v>
      </c>
      <c r="C210" s="7" t="s">
        <v>366</v>
      </c>
      <c r="D210" s="7" t="s">
        <v>367</v>
      </c>
      <c r="E210" s="7" t="s">
        <v>427</v>
      </c>
      <c r="F210" s="7" t="s">
        <v>428</v>
      </c>
      <c r="G210" s="7" t="s">
        <v>444</v>
      </c>
      <c r="H210" s="7" t="s">
        <v>444</v>
      </c>
      <c r="I210" s="7" t="s">
        <v>1829</v>
      </c>
      <c r="J210" s="3" t="s">
        <v>2219</v>
      </c>
      <c r="K210" s="5" t="e">
        <f>SUMIF(BC!$E$6:$E$347,$A210,BC!$K$6:$K$347)</f>
        <v>#REF!</v>
      </c>
      <c r="L210" s="5" t="e">
        <f>SUMIF(#REF!,$A210,#REF!)+SUMIF(#REF!,$A210,#REF!)</f>
        <v>#REF!</v>
      </c>
      <c r="M210" s="5" t="e">
        <f>SUMIF(#REF!,Casilleros!$A210,#REF!)+SUMIF(#REF!,Casilleros!$A210,#REF!)+SUMIF(#REF!,$A210,#REF!)</f>
        <v>#REF!</v>
      </c>
      <c r="N210" s="5" t="e">
        <f>SUMIF(#REF!,$A210,#REF!)</f>
        <v>#REF!</v>
      </c>
      <c r="O210" s="5" t="e">
        <f>SUMIF(#REF!,$A210,#REF!)+SUMIF(#REF!,$A210,#REF!)</f>
        <v>#REF!</v>
      </c>
      <c r="P210" s="5">
        <f>IFERROR(VLOOKUP($A210,#REF!,2,FALSE),0)</f>
        <v>0</v>
      </c>
      <c r="Q210" s="42" t="e">
        <f t="shared" si="3"/>
        <v>#REF!</v>
      </c>
    </row>
    <row r="211" spans="1:17">
      <c r="A211" s="56" t="s">
        <v>431</v>
      </c>
      <c r="B211" s="7" t="s">
        <v>65</v>
      </c>
      <c r="C211" s="7" t="s">
        <v>366</v>
      </c>
      <c r="D211" s="7" t="s">
        <v>367</v>
      </c>
      <c r="E211" s="7" t="s">
        <v>427</v>
      </c>
      <c r="F211" s="7" t="s">
        <v>430</v>
      </c>
      <c r="G211" s="7" t="s">
        <v>444</v>
      </c>
      <c r="H211" s="7" t="s">
        <v>444</v>
      </c>
      <c r="I211" s="7" t="s">
        <v>1830</v>
      </c>
      <c r="J211" s="3" t="s">
        <v>2219</v>
      </c>
      <c r="K211" s="5">
        <f>SUMIF(BC!$E$6:$E$347,$A211,BC!$K$6:$K$347)</f>
        <v>0</v>
      </c>
      <c r="L211" s="5" t="e">
        <f>SUMIF(#REF!,$A211,#REF!)+SUMIF(#REF!,$A211,#REF!)</f>
        <v>#REF!</v>
      </c>
      <c r="M211" s="5" t="e">
        <f>SUMIF(#REF!,Casilleros!$A211,#REF!)+SUMIF(#REF!,Casilleros!$A211,#REF!)+SUMIF(#REF!,$A211,#REF!)</f>
        <v>#REF!</v>
      </c>
      <c r="N211" s="5" t="e">
        <f>SUMIF(#REF!,$A211,#REF!)</f>
        <v>#REF!</v>
      </c>
      <c r="O211" s="5" t="e">
        <f>SUMIF(#REF!,$A211,#REF!)+SUMIF(#REF!,$A211,#REF!)</f>
        <v>#REF!</v>
      </c>
      <c r="P211" s="5">
        <f>IFERROR(VLOOKUP($A211,#REF!,2,FALSE),0)</f>
        <v>0</v>
      </c>
      <c r="Q211" s="42" t="e">
        <f t="shared" si="3"/>
        <v>#REF!</v>
      </c>
    </row>
    <row r="212" spans="1:17">
      <c r="A212" s="56" t="s">
        <v>432</v>
      </c>
      <c r="B212" s="7" t="s">
        <v>65</v>
      </c>
      <c r="C212" s="7" t="s">
        <v>366</v>
      </c>
      <c r="D212" s="7" t="s">
        <v>367</v>
      </c>
      <c r="E212" s="7" t="s">
        <v>427</v>
      </c>
      <c r="F212" s="7" t="s">
        <v>122</v>
      </c>
      <c r="G212" s="7" t="s">
        <v>444</v>
      </c>
      <c r="H212" s="7" t="s">
        <v>444</v>
      </c>
      <c r="I212" s="7" t="s">
        <v>1831</v>
      </c>
      <c r="J212" s="3" t="s">
        <v>2219</v>
      </c>
      <c r="K212" s="5">
        <f>SUMIF(BC!$E$6:$E$347,$A212,BC!$K$6:$K$347)</f>
        <v>0</v>
      </c>
      <c r="L212" s="5" t="e">
        <f>SUMIF(#REF!,$A212,#REF!)+SUMIF(#REF!,$A212,#REF!)</f>
        <v>#REF!</v>
      </c>
      <c r="M212" s="5" t="e">
        <f>SUMIF(#REF!,Casilleros!$A212,#REF!)+SUMIF(#REF!,Casilleros!$A212,#REF!)+SUMIF(#REF!,$A212,#REF!)</f>
        <v>#REF!</v>
      </c>
      <c r="N212" s="5" t="e">
        <f>SUMIF(#REF!,$A212,#REF!)</f>
        <v>#REF!</v>
      </c>
      <c r="O212" s="5" t="e">
        <f>SUMIF(#REF!,$A212,#REF!)+SUMIF(#REF!,$A212,#REF!)</f>
        <v>#REF!</v>
      </c>
      <c r="P212" s="5">
        <f>IFERROR(VLOOKUP($A212,#REF!,2,FALSE),0)</f>
        <v>0</v>
      </c>
      <c r="Q212" s="42" t="e">
        <f t="shared" si="3"/>
        <v>#REF!</v>
      </c>
    </row>
    <row r="213" spans="1:17">
      <c r="A213" s="56" t="s">
        <v>435</v>
      </c>
      <c r="B213" s="7" t="s">
        <v>65</v>
      </c>
      <c r="C213" s="7" t="s">
        <v>366</v>
      </c>
      <c r="D213" s="7" t="s">
        <v>367</v>
      </c>
      <c r="E213" s="7" t="s">
        <v>433</v>
      </c>
      <c r="F213" s="7" t="s">
        <v>434</v>
      </c>
      <c r="G213" s="7" t="s">
        <v>444</v>
      </c>
      <c r="H213" s="7" t="s">
        <v>444</v>
      </c>
      <c r="I213" s="7" t="s">
        <v>1832</v>
      </c>
      <c r="J213" s="3" t="s">
        <v>2220</v>
      </c>
      <c r="K213" s="5">
        <f>SUMIF(BC!$E$6:$E$347,$A213,BC!$K$6:$K$347)</f>
        <v>0</v>
      </c>
      <c r="L213" s="5" t="e">
        <f>SUMIF(#REF!,$A213,#REF!)+SUMIF(#REF!,$A213,#REF!)</f>
        <v>#REF!</v>
      </c>
      <c r="M213" s="5" t="e">
        <f>SUMIF(#REF!,Casilleros!$A213,#REF!)+SUMIF(#REF!,Casilleros!$A213,#REF!)+SUMIF(#REF!,$A213,#REF!)</f>
        <v>#REF!</v>
      </c>
      <c r="N213" s="5" t="e">
        <f>SUMIF(#REF!,$A213,#REF!)</f>
        <v>#REF!</v>
      </c>
      <c r="O213" s="5" t="e">
        <f>SUMIF(#REF!,$A213,#REF!)+SUMIF(#REF!,$A213,#REF!)</f>
        <v>#REF!</v>
      </c>
      <c r="P213" s="5">
        <f>IFERROR(VLOOKUP($A213,#REF!,2,FALSE),0)</f>
        <v>0</v>
      </c>
      <c r="Q213" s="42" t="e">
        <f t="shared" si="3"/>
        <v>#REF!</v>
      </c>
    </row>
    <row r="214" spans="1:17">
      <c r="A214" s="56" t="s">
        <v>436</v>
      </c>
      <c r="B214" s="7" t="s">
        <v>65</v>
      </c>
      <c r="C214" s="7" t="s">
        <v>366</v>
      </c>
      <c r="D214" s="7" t="s">
        <v>367</v>
      </c>
      <c r="E214" s="7" t="s">
        <v>433</v>
      </c>
      <c r="F214" s="7" t="s">
        <v>122</v>
      </c>
      <c r="G214" s="7" t="s">
        <v>444</v>
      </c>
      <c r="H214" s="7" t="s">
        <v>444</v>
      </c>
      <c r="I214" s="7" t="s">
        <v>1833</v>
      </c>
      <c r="J214" s="3" t="s">
        <v>2220</v>
      </c>
      <c r="K214" s="5">
        <f>SUMIF(BC!$E$6:$E$347,$A214,BC!$K$6:$K$347)</f>
        <v>0</v>
      </c>
      <c r="L214" s="5" t="e">
        <f>SUMIF(#REF!,$A214,#REF!)+SUMIF(#REF!,$A214,#REF!)</f>
        <v>#REF!</v>
      </c>
      <c r="M214" s="5" t="e">
        <f>SUMIF(#REF!,Casilleros!$A214,#REF!)+SUMIF(#REF!,Casilleros!$A214,#REF!)+SUMIF(#REF!,$A214,#REF!)</f>
        <v>#REF!</v>
      </c>
      <c r="N214" s="5" t="e">
        <f>SUMIF(#REF!,$A214,#REF!)</f>
        <v>#REF!</v>
      </c>
      <c r="O214" s="5" t="e">
        <f>SUMIF(#REF!,$A214,#REF!)+SUMIF(#REF!,$A214,#REF!)</f>
        <v>#REF!</v>
      </c>
      <c r="P214" s="5">
        <f>IFERROR(VLOOKUP($A214,#REF!,2,FALSE),0)</f>
        <v>0</v>
      </c>
      <c r="Q214" s="42" t="e">
        <f t="shared" si="3"/>
        <v>#REF!</v>
      </c>
    </row>
    <row r="215" spans="1:17">
      <c r="A215" s="56" t="s">
        <v>438</v>
      </c>
      <c r="B215" s="7" t="s">
        <v>65</v>
      </c>
      <c r="C215" s="7" t="s">
        <v>366</v>
      </c>
      <c r="D215" s="7" t="s">
        <v>437</v>
      </c>
      <c r="E215" s="7" t="s">
        <v>444</v>
      </c>
      <c r="F215" s="7" t="s">
        <v>444</v>
      </c>
      <c r="G215" s="7" t="s">
        <v>444</v>
      </c>
      <c r="H215" s="7" t="s">
        <v>444</v>
      </c>
      <c r="I215" s="7" t="s">
        <v>1834</v>
      </c>
      <c r="K215" s="5">
        <f>SUMIF(BC!$E$6:$E$347,$A215,BC!$K$6:$K$347)</f>
        <v>0</v>
      </c>
      <c r="L215" s="5" t="e">
        <f>SUMIF(#REF!,$A215,#REF!)+SUMIF(#REF!,$A215,#REF!)</f>
        <v>#REF!</v>
      </c>
      <c r="M215" s="5" t="e">
        <f>SUMIF(#REF!,Casilleros!$A215,#REF!)+SUMIF(#REF!,Casilleros!$A215,#REF!)+SUMIF(#REF!,$A215,#REF!)</f>
        <v>#REF!</v>
      </c>
      <c r="N215" s="5" t="e">
        <f>SUMIF(#REF!,$A215,#REF!)</f>
        <v>#REF!</v>
      </c>
      <c r="O215" s="5" t="e">
        <f>SUMIF(#REF!,$A215,#REF!)+SUMIF(#REF!,$A215,#REF!)</f>
        <v>#REF!</v>
      </c>
      <c r="P215" s="5">
        <f>IFERROR(VLOOKUP($A215,#REF!,2,FALSE),0)</f>
        <v>0</v>
      </c>
      <c r="Q215" s="42" t="e">
        <f t="shared" si="3"/>
        <v>#REF!</v>
      </c>
    </row>
    <row r="216" spans="1:17">
      <c r="A216" s="56" t="s">
        <v>442</v>
      </c>
      <c r="B216" s="7" t="s">
        <v>65</v>
      </c>
      <c r="C216" s="7" t="s">
        <v>366</v>
      </c>
      <c r="D216" s="7" t="s">
        <v>439</v>
      </c>
      <c r="E216" s="7" t="s">
        <v>440</v>
      </c>
      <c r="F216" s="7" t="s">
        <v>441</v>
      </c>
      <c r="G216" s="7" t="s">
        <v>72</v>
      </c>
      <c r="H216" s="7" t="s">
        <v>73</v>
      </c>
      <c r="I216" s="7" t="s">
        <v>1835</v>
      </c>
      <c r="J216" s="3" t="s">
        <v>2221</v>
      </c>
      <c r="K216" s="5">
        <f>SUMIF(BC!$E$6:$E$347,$A216,BC!$K$6:$K$347)</f>
        <v>0</v>
      </c>
      <c r="L216" s="5" t="e">
        <f>SUMIF(#REF!,$A216,#REF!)+SUMIF(#REF!,$A216,#REF!)</f>
        <v>#REF!</v>
      </c>
      <c r="M216" s="5" t="e">
        <f>SUMIF(#REF!,Casilleros!$A216,#REF!)+SUMIF(#REF!,Casilleros!$A216,#REF!)+SUMIF(#REF!,$A216,#REF!)</f>
        <v>#REF!</v>
      </c>
      <c r="N216" s="5" t="e">
        <f>SUMIF(#REF!,$A216,#REF!)</f>
        <v>#REF!</v>
      </c>
      <c r="O216" s="5" t="e">
        <f>SUMIF(#REF!,$A216,#REF!)+SUMIF(#REF!,$A216,#REF!)</f>
        <v>#REF!</v>
      </c>
      <c r="P216" s="5">
        <f>IFERROR(VLOOKUP($A216,#REF!,2,FALSE),0)</f>
        <v>0</v>
      </c>
      <c r="Q216" s="42" t="e">
        <f t="shared" si="3"/>
        <v>#REF!</v>
      </c>
    </row>
    <row r="217" spans="1:17">
      <c r="A217" s="56" t="s">
        <v>443</v>
      </c>
      <c r="B217" s="7" t="s">
        <v>65</v>
      </c>
      <c r="C217" s="7" t="s">
        <v>366</v>
      </c>
      <c r="D217" s="7" t="s">
        <v>439</v>
      </c>
      <c r="E217" s="7" t="s">
        <v>440</v>
      </c>
      <c r="F217" s="7" t="s">
        <v>441</v>
      </c>
      <c r="G217" s="7" t="s">
        <v>72</v>
      </c>
      <c r="H217" s="7" t="s">
        <v>26</v>
      </c>
      <c r="I217" s="7" t="s">
        <v>1836</v>
      </c>
      <c r="J217" s="3" t="s">
        <v>2221</v>
      </c>
      <c r="K217" s="5">
        <f>SUMIF(BC!$E$6:$E$347,$A217,BC!$K$6:$K$347)</f>
        <v>0</v>
      </c>
      <c r="L217" s="5" t="e">
        <f>SUMIF(#REF!,$A217,#REF!)+SUMIF(#REF!,$A217,#REF!)</f>
        <v>#REF!</v>
      </c>
      <c r="M217" s="5" t="e">
        <f>SUMIF(#REF!,Casilleros!$A217,#REF!)+SUMIF(#REF!,Casilleros!$A217,#REF!)+SUMIF(#REF!,$A217,#REF!)</f>
        <v>#REF!</v>
      </c>
      <c r="N217" s="5" t="e">
        <f>SUMIF(#REF!,$A217,#REF!)</f>
        <v>#REF!</v>
      </c>
      <c r="O217" s="5" t="e">
        <f>SUMIF(#REF!,$A217,#REF!)+SUMIF(#REF!,$A217,#REF!)</f>
        <v>#REF!</v>
      </c>
      <c r="P217" s="5">
        <f>IFERROR(VLOOKUP($A217,#REF!,2,FALSE),0)</f>
        <v>0</v>
      </c>
      <c r="Q217" s="42" t="e">
        <f t="shared" si="3"/>
        <v>#REF!</v>
      </c>
    </row>
    <row r="218" spans="1:17">
      <c r="A218" s="56" t="s">
        <v>445</v>
      </c>
      <c r="B218" s="7" t="s">
        <v>65</v>
      </c>
      <c r="C218" s="7" t="s">
        <v>366</v>
      </c>
      <c r="D218" s="7" t="s">
        <v>439</v>
      </c>
      <c r="E218" s="7" t="s">
        <v>440</v>
      </c>
      <c r="F218" s="7" t="s">
        <v>441</v>
      </c>
      <c r="G218" s="7" t="s">
        <v>78</v>
      </c>
      <c r="H218" s="7" t="s">
        <v>73</v>
      </c>
      <c r="I218" s="7" t="s">
        <v>1837</v>
      </c>
      <c r="J218" s="3" t="s">
        <v>2221</v>
      </c>
      <c r="K218" s="5">
        <f>SUMIF(BC!$E$6:$E$347,$A218,BC!$K$6:$K$347)</f>
        <v>0</v>
      </c>
      <c r="L218" s="5" t="e">
        <f>SUMIF(#REF!,$A218,#REF!)+SUMIF(#REF!,$A218,#REF!)</f>
        <v>#REF!</v>
      </c>
      <c r="M218" s="5" t="e">
        <f>SUMIF(#REF!,Casilleros!$A218,#REF!)+SUMIF(#REF!,Casilleros!$A218,#REF!)+SUMIF(#REF!,$A218,#REF!)</f>
        <v>#REF!</v>
      </c>
      <c r="N218" s="5" t="e">
        <f>SUMIF(#REF!,$A218,#REF!)</f>
        <v>#REF!</v>
      </c>
      <c r="O218" s="5" t="e">
        <f>SUMIF(#REF!,$A218,#REF!)+SUMIF(#REF!,$A218,#REF!)</f>
        <v>#REF!</v>
      </c>
      <c r="P218" s="5">
        <f>IFERROR(VLOOKUP($A218,#REF!,2,FALSE),0)</f>
        <v>0</v>
      </c>
      <c r="Q218" s="42" t="e">
        <f t="shared" si="3"/>
        <v>#REF!</v>
      </c>
    </row>
    <row r="219" spans="1:17">
      <c r="A219" s="56" t="s">
        <v>446</v>
      </c>
      <c r="B219" s="7" t="s">
        <v>65</v>
      </c>
      <c r="C219" s="7" t="s">
        <v>366</v>
      </c>
      <c r="D219" s="7" t="s">
        <v>439</v>
      </c>
      <c r="E219" s="7" t="s">
        <v>440</v>
      </c>
      <c r="F219" s="7" t="s">
        <v>441</v>
      </c>
      <c r="G219" s="7" t="s">
        <v>78</v>
      </c>
      <c r="H219" s="7" t="s">
        <v>26</v>
      </c>
      <c r="I219" s="7" t="s">
        <v>1838</v>
      </c>
      <c r="J219" s="3" t="s">
        <v>2221</v>
      </c>
      <c r="K219" s="5">
        <f>SUMIF(BC!$E$6:$E$347,$A219,BC!$K$6:$K$347)</f>
        <v>0</v>
      </c>
      <c r="L219" s="5" t="e">
        <f>SUMIF(#REF!,$A219,#REF!)+SUMIF(#REF!,$A219,#REF!)</f>
        <v>#REF!</v>
      </c>
      <c r="M219" s="5" t="e">
        <f>SUMIF(#REF!,Casilleros!$A219,#REF!)+SUMIF(#REF!,Casilleros!$A219,#REF!)+SUMIF(#REF!,$A219,#REF!)</f>
        <v>#REF!</v>
      </c>
      <c r="N219" s="5" t="e">
        <f>SUMIF(#REF!,$A219,#REF!)</f>
        <v>#REF!</v>
      </c>
      <c r="O219" s="5" t="e">
        <f>SUMIF(#REF!,$A219,#REF!)+SUMIF(#REF!,$A219,#REF!)</f>
        <v>#REF!</v>
      </c>
      <c r="P219" s="5">
        <f>IFERROR(VLOOKUP($A219,#REF!,2,FALSE),0)</f>
        <v>0</v>
      </c>
      <c r="Q219" s="42" t="e">
        <f t="shared" si="3"/>
        <v>#REF!</v>
      </c>
    </row>
    <row r="220" spans="1:17">
      <c r="A220" s="56" t="s">
        <v>449</v>
      </c>
      <c r="B220" s="7" t="s">
        <v>65</v>
      </c>
      <c r="C220" s="7" t="s">
        <v>366</v>
      </c>
      <c r="D220" s="7" t="s">
        <v>439</v>
      </c>
      <c r="E220" s="7" t="s">
        <v>440</v>
      </c>
      <c r="F220" s="7" t="s">
        <v>447</v>
      </c>
      <c r="G220" s="7" t="s">
        <v>448</v>
      </c>
      <c r="H220" s="7" t="s">
        <v>73</v>
      </c>
      <c r="I220" s="7" t="s">
        <v>1839</v>
      </c>
      <c r="J220" s="3" t="s">
        <v>2221</v>
      </c>
      <c r="K220" s="5" t="e">
        <f>SUMIF(BC!$E$6:$E$347,$A220,BC!$K$6:$K$347)</f>
        <v>#REF!</v>
      </c>
      <c r="L220" s="5" t="e">
        <f>SUMIF(#REF!,$A220,#REF!)+SUMIF(#REF!,$A220,#REF!)</f>
        <v>#REF!</v>
      </c>
      <c r="M220" s="5" t="e">
        <f>SUMIF(#REF!,Casilleros!$A220,#REF!)+SUMIF(#REF!,Casilleros!$A220,#REF!)+SUMIF(#REF!,$A220,#REF!)</f>
        <v>#REF!</v>
      </c>
      <c r="N220" s="5" t="e">
        <f>SUMIF(#REF!,$A220,#REF!)</f>
        <v>#REF!</v>
      </c>
      <c r="O220" s="5" t="e">
        <f>SUMIF(#REF!,$A220,#REF!)+SUMIF(#REF!,$A220,#REF!)</f>
        <v>#REF!</v>
      </c>
      <c r="P220" s="5">
        <f>IFERROR(VLOOKUP($A220,#REF!,2,FALSE),0)</f>
        <v>0</v>
      </c>
      <c r="Q220" s="42" t="e">
        <f t="shared" si="3"/>
        <v>#REF!</v>
      </c>
    </row>
    <row r="221" spans="1:17">
      <c r="A221" s="56" t="s">
        <v>450</v>
      </c>
      <c r="B221" s="7" t="s">
        <v>65</v>
      </c>
      <c r="C221" s="7" t="s">
        <v>366</v>
      </c>
      <c r="D221" s="7" t="s">
        <v>439</v>
      </c>
      <c r="E221" s="7" t="s">
        <v>440</v>
      </c>
      <c r="F221" s="7" t="s">
        <v>447</v>
      </c>
      <c r="G221" s="7" t="s">
        <v>448</v>
      </c>
      <c r="H221" s="7" t="s">
        <v>26</v>
      </c>
      <c r="I221" s="7" t="s">
        <v>1840</v>
      </c>
      <c r="J221" s="3" t="s">
        <v>2221</v>
      </c>
      <c r="K221" s="5">
        <f>SUMIF(BC!$E$6:$E$347,$A221,BC!$K$6:$K$347)</f>
        <v>0</v>
      </c>
      <c r="L221" s="5" t="e">
        <f>SUMIF(#REF!,$A221,#REF!)+SUMIF(#REF!,$A221,#REF!)</f>
        <v>#REF!</v>
      </c>
      <c r="M221" s="5" t="e">
        <f>SUMIF(#REF!,Casilleros!$A221,#REF!)+SUMIF(#REF!,Casilleros!$A221,#REF!)+SUMIF(#REF!,$A221,#REF!)</f>
        <v>#REF!</v>
      </c>
      <c r="N221" s="5" t="e">
        <f>SUMIF(#REF!,$A221,#REF!)</f>
        <v>#REF!</v>
      </c>
      <c r="O221" s="5" t="e">
        <f>SUMIF(#REF!,$A221,#REF!)+SUMIF(#REF!,$A221,#REF!)</f>
        <v>#REF!</v>
      </c>
      <c r="P221" s="5">
        <f>IFERROR(VLOOKUP($A221,#REF!,2,FALSE),0)</f>
        <v>0</v>
      </c>
      <c r="Q221" s="42" t="e">
        <f t="shared" si="3"/>
        <v>#REF!</v>
      </c>
    </row>
    <row r="222" spans="1:17">
      <c r="A222" s="56" t="s">
        <v>451</v>
      </c>
      <c r="B222" s="7" t="s">
        <v>65</v>
      </c>
      <c r="C222" s="7" t="s">
        <v>366</v>
      </c>
      <c r="D222" s="7" t="s">
        <v>439</v>
      </c>
      <c r="E222" s="7" t="s">
        <v>440</v>
      </c>
      <c r="F222" s="7" t="s">
        <v>447</v>
      </c>
      <c r="G222" s="7" t="s">
        <v>91</v>
      </c>
      <c r="H222" s="7" t="s">
        <v>73</v>
      </c>
      <c r="I222" s="7" t="s">
        <v>1841</v>
      </c>
      <c r="J222" s="3" t="s">
        <v>2221</v>
      </c>
      <c r="K222" s="5">
        <f>SUMIF(BC!$E$6:$E$347,$A222,BC!$K$6:$K$347)</f>
        <v>0</v>
      </c>
      <c r="L222" s="5" t="e">
        <f>SUMIF(#REF!,$A222,#REF!)+SUMIF(#REF!,$A222,#REF!)</f>
        <v>#REF!</v>
      </c>
      <c r="M222" s="5" t="e">
        <f>SUMIF(#REF!,Casilleros!$A222,#REF!)+SUMIF(#REF!,Casilleros!$A222,#REF!)+SUMIF(#REF!,$A222,#REF!)</f>
        <v>#REF!</v>
      </c>
      <c r="N222" s="5" t="e">
        <f>SUMIF(#REF!,$A222,#REF!)</f>
        <v>#REF!</v>
      </c>
      <c r="O222" s="5" t="e">
        <f>SUMIF(#REF!,$A222,#REF!)+SUMIF(#REF!,$A222,#REF!)</f>
        <v>#REF!</v>
      </c>
      <c r="P222" s="5">
        <f>IFERROR(VLOOKUP($A222,#REF!,2,FALSE),0)</f>
        <v>0</v>
      </c>
      <c r="Q222" s="42" t="e">
        <f t="shared" si="3"/>
        <v>#REF!</v>
      </c>
    </row>
    <row r="223" spans="1:17">
      <c r="A223" s="56" t="s">
        <v>452</v>
      </c>
      <c r="B223" s="7" t="s">
        <v>65</v>
      </c>
      <c r="C223" s="7" t="s">
        <v>366</v>
      </c>
      <c r="D223" s="7" t="s">
        <v>439</v>
      </c>
      <c r="E223" s="7" t="s">
        <v>440</v>
      </c>
      <c r="F223" s="7" t="s">
        <v>447</v>
      </c>
      <c r="G223" s="7" t="s">
        <v>91</v>
      </c>
      <c r="H223" s="7" t="s">
        <v>26</v>
      </c>
      <c r="I223" s="7" t="s">
        <v>1842</v>
      </c>
      <c r="J223" s="3" t="s">
        <v>2221</v>
      </c>
      <c r="K223" s="5">
        <f>SUMIF(BC!$E$6:$E$347,$A223,BC!$K$6:$K$347)</f>
        <v>0</v>
      </c>
      <c r="L223" s="5" t="e">
        <f>SUMIF(#REF!,$A223,#REF!)+SUMIF(#REF!,$A223,#REF!)</f>
        <v>#REF!</v>
      </c>
      <c r="M223" s="5" t="e">
        <f>SUMIF(#REF!,Casilleros!$A223,#REF!)+SUMIF(#REF!,Casilleros!$A223,#REF!)+SUMIF(#REF!,$A223,#REF!)</f>
        <v>#REF!</v>
      </c>
      <c r="N223" s="5" t="e">
        <f>SUMIF(#REF!,$A223,#REF!)</f>
        <v>#REF!</v>
      </c>
      <c r="O223" s="5" t="e">
        <f>SUMIF(#REF!,$A223,#REF!)+SUMIF(#REF!,$A223,#REF!)</f>
        <v>#REF!</v>
      </c>
      <c r="P223" s="5">
        <f>IFERROR(VLOOKUP($A223,#REF!,2,FALSE),0)</f>
        <v>0</v>
      </c>
      <c r="Q223" s="42" t="e">
        <f t="shared" si="3"/>
        <v>#REF!</v>
      </c>
    </row>
    <row r="224" spans="1:17">
      <c r="A224" s="56" t="s">
        <v>453</v>
      </c>
      <c r="B224" s="7" t="s">
        <v>65</v>
      </c>
      <c r="C224" s="7" t="s">
        <v>366</v>
      </c>
      <c r="D224" s="7" t="s">
        <v>439</v>
      </c>
      <c r="E224" s="7" t="s">
        <v>440</v>
      </c>
      <c r="F224" s="7" t="s">
        <v>447</v>
      </c>
      <c r="G224" s="7" t="s">
        <v>96</v>
      </c>
      <c r="H224" s="7" t="s">
        <v>73</v>
      </c>
      <c r="I224" s="7" t="s">
        <v>1843</v>
      </c>
      <c r="J224" s="3" t="s">
        <v>2221</v>
      </c>
      <c r="K224" s="5">
        <f>SUMIF(BC!$E$6:$E$347,$A224,BC!$K$6:$K$347)</f>
        <v>0</v>
      </c>
      <c r="L224" s="5" t="e">
        <f>SUMIF(#REF!,$A224,#REF!)+SUMIF(#REF!,$A224,#REF!)</f>
        <v>#REF!</v>
      </c>
      <c r="M224" s="5" t="e">
        <f>SUMIF(#REF!,Casilleros!$A224,#REF!)+SUMIF(#REF!,Casilleros!$A224,#REF!)+SUMIF(#REF!,$A224,#REF!)</f>
        <v>#REF!</v>
      </c>
      <c r="N224" s="5" t="e">
        <f>SUMIF(#REF!,$A224,#REF!)</f>
        <v>#REF!</v>
      </c>
      <c r="O224" s="5" t="e">
        <f>SUMIF(#REF!,$A224,#REF!)+SUMIF(#REF!,$A224,#REF!)</f>
        <v>#REF!</v>
      </c>
      <c r="P224" s="5">
        <f>IFERROR(VLOOKUP($A224,#REF!,2,FALSE),0)</f>
        <v>0</v>
      </c>
      <c r="Q224" s="42" t="e">
        <f t="shared" si="3"/>
        <v>#REF!</v>
      </c>
    </row>
    <row r="225" spans="1:17">
      <c r="A225" s="56" t="s">
        <v>454</v>
      </c>
      <c r="B225" s="7" t="s">
        <v>65</v>
      </c>
      <c r="C225" s="7" t="s">
        <v>366</v>
      </c>
      <c r="D225" s="7" t="s">
        <v>439</v>
      </c>
      <c r="E225" s="7" t="s">
        <v>440</v>
      </c>
      <c r="F225" s="7" t="s">
        <v>447</v>
      </c>
      <c r="G225" s="7" t="s">
        <v>96</v>
      </c>
      <c r="H225" s="7" t="s">
        <v>26</v>
      </c>
      <c r="I225" s="7" t="s">
        <v>1844</v>
      </c>
      <c r="J225" s="3" t="s">
        <v>2221</v>
      </c>
      <c r="K225" s="5">
        <f>SUMIF(BC!$E$6:$E$347,$A225,BC!$K$6:$K$347)</f>
        <v>0</v>
      </c>
      <c r="L225" s="5" t="e">
        <f>SUMIF(#REF!,$A225,#REF!)+SUMIF(#REF!,$A225,#REF!)</f>
        <v>#REF!</v>
      </c>
      <c r="M225" s="5" t="e">
        <f>SUMIF(#REF!,Casilleros!$A225,#REF!)+SUMIF(#REF!,Casilleros!$A225,#REF!)+SUMIF(#REF!,$A225,#REF!)</f>
        <v>#REF!</v>
      </c>
      <c r="N225" s="5" t="e">
        <f>SUMIF(#REF!,$A225,#REF!)</f>
        <v>#REF!</v>
      </c>
      <c r="O225" s="5" t="e">
        <f>SUMIF(#REF!,$A225,#REF!)+SUMIF(#REF!,$A225,#REF!)</f>
        <v>#REF!</v>
      </c>
      <c r="P225" s="5">
        <f>IFERROR(VLOOKUP($A225,#REF!,2,FALSE),0)</f>
        <v>0</v>
      </c>
      <c r="Q225" s="42" t="e">
        <f t="shared" si="3"/>
        <v>#REF!</v>
      </c>
    </row>
    <row r="226" spans="1:17">
      <c r="A226" s="56" t="s">
        <v>456</v>
      </c>
      <c r="B226" s="7" t="s">
        <v>65</v>
      </c>
      <c r="C226" s="7" t="s">
        <v>366</v>
      </c>
      <c r="D226" s="7" t="s">
        <v>439</v>
      </c>
      <c r="E226" s="7" t="s">
        <v>455</v>
      </c>
      <c r="F226" s="7" t="s">
        <v>72</v>
      </c>
      <c r="G226" s="7" t="s">
        <v>73</v>
      </c>
      <c r="H226" s="7" t="s">
        <v>444</v>
      </c>
      <c r="I226" s="7" t="s">
        <v>1845</v>
      </c>
      <c r="J226" s="3" t="s">
        <v>2221</v>
      </c>
      <c r="K226" s="5">
        <f>SUMIF(BC!$E$6:$E$347,$A226,BC!$K$6:$K$347)</f>
        <v>0</v>
      </c>
      <c r="L226" s="5" t="e">
        <f>SUMIF(#REF!,$A226,#REF!)+SUMIF(#REF!,$A226,#REF!)</f>
        <v>#REF!</v>
      </c>
      <c r="M226" s="5" t="e">
        <f>SUMIF(#REF!,Casilleros!$A226,#REF!)+SUMIF(#REF!,Casilleros!$A226,#REF!)+SUMIF(#REF!,$A226,#REF!)</f>
        <v>#REF!</v>
      </c>
      <c r="N226" s="5" t="e">
        <f>SUMIF(#REF!,$A226,#REF!)</f>
        <v>#REF!</v>
      </c>
      <c r="O226" s="5" t="e">
        <f>SUMIF(#REF!,$A226,#REF!)+SUMIF(#REF!,$A226,#REF!)</f>
        <v>#REF!</v>
      </c>
      <c r="P226" s="5">
        <f>IFERROR(VLOOKUP($A226,#REF!,2,FALSE),0)</f>
        <v>0</v>
      </c>
      <c r="Q226" s="42" t="e">
        <f t="shared" si="3"/>
        <v>#REF!</v>
      </c>
    </row>
    <row r="227" spans="1:17">
      <c r="A227" s="56" t="s">
        <v>457</v>
      </c>
      <c r="B227" s="7" t="s">
        <v>65</v>
      </c>
      <c r="C227" s="7" t="s">
        <v>366</v>
      </c>
      <c r="D227" s="7" t="s">
        <v>439</v>
      </c>
      <c r="E227" s="7" t="s">
        <v>455</v>
      </c>
      <c r="F227" s="7" t="s">
        <v>72</v>
      </c>
      <c r="G227" s="7" t="s">
        <v>26</v>
      </c>
      <c r="H227" s="7" t="s">
        <v>444</v>
      </c>
      <c r="I227" s="7" t="s">
        <v>1846</v>
      </c>
      <c r="J227" s="3" t="s">
        <v>2221</v>
      </c>
      <c r="K227" s="5">
        <f>SUMIF(BC!$E$6:$E$347,$A227,BC!$K$6:$K$347)</f>
        <v>0</v>
      </c>
      <c r="L227" s="5" t="e">
        <f>SUMIF(#REF!,$A227,#REF!)+SUMIF(#REF!,$A227,#REF!)</f>
        <v>#REF!</v>
      </c>
      <c r="M227" s="5" t="e">
        <f>SUMIF(#REF!,Casilleros!$A227,#REF!)+SUMIF(#REF!,Casilleros!$A227,#REF!)+SUMIF(#REF!,$A227,#REF!)</f>
        <v>#REF!</v>
      </c>
      <c r="N227" s="5" t="e">
        <f>SUMIF(#REF!,$A227,#REF!)</f>
        <v>#REF!</v>
      </c>
      <c r="O227" s="5" t="e">
        <f>SUMIF(#REF!,$A227,#REF!)+SUMIF(#REF!,$A227,#REF!)</f>
        <v>#REF!</v>
      </c>
      <c r="P227" s="5">
        <f>IFERROR(VLOOKUP($A227,#REF!,2,FALSE),0)</f>
        <v>0</v>
      </c>
      <c r="Q227" s="42" t="e">
        <f t="shared" si="3"/>
        <v>#REF!</v>
      </c>
    </row>
    <row r="228" spans="1:17">
      <c r="A228" s="56" t="s">
        <v>458</v>
      </c>
      <c r="B228" s="7" t="s">
        <v>65</v>
      </c>
      <c r="C228" s="7" t="s">
        <v>366</v>
      </c>
      <c r="D228" s="7" t="s">
        <v>439</v>
      </c>
      <c r="E228" s="7" t="s">
        <v>455</v>
      </c>
      <c r="F228" s="7" t="s">
        <v>78</v>
      </c>
      <c r="G228" s="7" t="s">
        <v>73</v>
      </c>
      <c r="H228" s="7" t="s">
        <v>444</v>
      </c>
      <c r="I228" s="7" t="s">
        <v>1847</v>
      </c>
      <c r="J228" s="3" t="s">
        <v>2221</v>
      </c>
      <c r="K228" s="5">
        <f>SUMIF(BC!$E$6:$E$347,$A228,BC!$K$6:$K$347)</f>
        <v>0</v>
      </c>
      <c r="L228" s="5" t="e">
        <f>SUMIF(#REF!,$A228,#REF!)+SUMIF(#REF!,$A228,#REF!)</f>
        <v>#REF!</v>
      </c>
      <c r="M228" s="5" t="e">
        <f>SUMIF(#REF!,Casilleros!$A228,#REF!)+SUMIF(#REF!,Casilleros!$A228,#REF!)+SUMIF(#REF!,$A228,#REF!)</f>
        <v>#REF!</v>
      </c>
      <c r="N228" s="5" t="e">
        <f>SUMIF(#REF!,$A228,#REF!)</f>
        <v>#REF!</v>
      </c>
      <c r="O228" s="5" t="e">
        <f>SUMIF(#REF!,$A228,#REF!)+SUMIF(#REF!,$A228,#REF!)</f>
        <v>#REF!</v>
      </c>
      <c r="P228" s="5">
        <f>IFERROR(VLOOKUP($A228,#REF!,2,FALSE),0)</f>
        <v>0</v>
      </c>
      <c r="Q228" s="42" t="e">
        <f t="shared" si="3"/>
        <v>#REF!</v>
      </c>
    </row>
    <row r="229" spans="1:17">
      <c r="A229" s="56" t="s">
        <v>459</v>
      </c>
      <c r="B229" s="7" t="s">
        <v>65</v>
      </c>
      <c r="C229" s="7" t="s">
        <v>366</v>
      </c>
      <c r="D229" s="7" t="s">
        <v>439</v>
      </c>
      <c r="E229" s="7" t="s">
        <v>455</v>
      </c>
      <c r="F229" s="7" t="s">
        <v>78</v>
      </c>
      <c r="G229" s="7" t="s">
        <v>26</v>
      </c>
      <c r="H229" s="7" t="s">
        <v>444</v>
      </c>
      <c r="I229" s="7" t="s">
        <v>1848</v>
      </c>
      <c r="J229" s="3" t="s">
        <v>2221</v>
      </c>
      <c r="K229" s="5">
        <f>SUMIF(BC!$E$6:$E$347,$A229,BC!$K$6:$K$347)</f>
        <v>0</v>
      </c>
      <c r="L229" s="5" t="e">
        <f>SUMIF(#REF!,$A229,#REF!)+SUMIF(#REF!,$A229,#REF!)</f>
        <v>#REF!</v>
      </c>
      <c r="M229" s="5" t="e">
        <f>SUMIF(#REF!,Casilleros!$A229,#REF!)+SUMIF(#REF!,Casilleros!$A229,#REF!)+SUMIF(#REF!,$A229,#REF!)</f>
        <v>#REF!</v>
      </c>
      <c r="N229" s="5" t="e">
        <f>SUMIF(#REF!,$A229,#REF!)</f>
        <v>#REF!</v>
      </c>
      <c r="O229" s="5" t="e">
        <f>SUMIF(#REF!,$A229,#REF!)+SUMIF(#REF!,$A229,#REF!)</f>
        <v>#REF!</v>
      </c>
      <c r="P229" s="5">
        <f>IFERROR(VLOOKUP($A229,#REF!,2,FALSE),0)</f>
        <v>0</v>
      </c>
      <c r="Q229" s="42" t="e">
        <f t="shared" si="3"/>
        <v>#REF!</v>
      </c>
    </row>
    <row r="230" spans="1:17">
      <c r="A230" s="56" t="s">
        <v>461</v>
      </c>
      <c r="B230" s="7" t="s">
        <v>65</v>
      </c>
      <c r="C230" s="7" t="s">
        <v>366</v>
      </c>
      <c r="D230" s="7" t="s">
        <v>439</v>
      </c>
      <c r="E230" s="7" t="s">
        <v>460</v>
      </c>
      <c r="F230" s="7" t="s">
        <v>444</v>
      </c>
      <c r="G230" s="7" t="s">
        <v>444</v>
      </c>
      <c r="H230" s="7" t="s">
        <v>444</v>
      </c>
      <c r="I230" s="7" t="s">
        <v>460</v>
      </c>
      <c r="J230" s="3" t="s">
        <v>2222</v>
      </c>
      <c r="K230" s="5">
        <f>SUMIF(BC!$E$6:$E$347,$A230,BC!$K$6:$K$347)</f>
        <v>0</v>
      </c>
      <c r="L230" s="5" t="e">
        <f>SUMIF(#REF!,$A230,#REF!)+SUMIF(#REF!,$A230,#REF!)</f>
        <v>#REF!</v>
      </c>
      <c r="M230" s="5" t="e">
        <f>SUMIF(#REF!,Casilleros!$A230,#REF!)+SUMIF(#REF!,Casilleros!$A230,#REF!)+SUMIF(#REF!,$A230,#REF!)</f>
        <v>#REF!</v>
      </c>
      <c r="N230" s="5" t="e">
        <f>SUMIF(#REF!,$A230,#REF!)</f>
        <v>#REF!</v>
      </c>
      <c r="O230" s="5" t="e">
        <f>SUMIF(#REF!,$A230,#REF!)+SUMIF(#REF!,$A230,#REF!)</f>
        <v>#REF!</v>
      </c>
      <c r="P230" s="5">
        <f>IFERROR(VLOOKUP($A230,#REF!,2,FALSE),0)</f>
        <v>0</v>
      </c>
      <c r="Q230" s="42" t="e">
        <f t="shared" si="3"/>
        <v>#REF!</v>
      </c>
    </row>
    <row r="231" spans="1:17">
      <c r="A231" s="56" t="s">
        <v>463</v>
      </c>
      <c r="B231" s="7" t="s">
        <v>65</v>
      </c>
      <c r="C231" s="7" t="s">
        <v>366</v>
      </c>
      <c r="D231" s="7" t="s">
        <v>439</v>
      </c>
      <c r="E231" s="7" t="s">
        <v>462</v>
      </c>
      <c r="F231" s="7" t="s">
        <v>444</v>
      </c>
      <c r="G231" s="7" t="s">
        <v>444</v>
      </c>
      <c r="H231" s="7" t="s">
        <v>444</v>
      </c>
      <c r="I231" s="7" t="s">
        <v>462</v>
      </c>
      <c r="J231" s="3" t="s">
        <v>462</v>
      </c>
      <c r="K231" s="5">
        <f>SUMIF(BC!$E$6:$E$347,$A231,BC!$K$6:$K$347)</f>
        <v>0</v>
      </c>
      <c r="L231" s="5" t="e">
        <f>SUMIF(#REF!,$A231,#REF!)+SUMIF(#REF!,$A231,#REF!)</f>
        <v>#REF!</v>
      </c>
      <c r="M231" s="5" t="e">
        <f>SUMIF(#REF!,Casilleros!$A231,#REF!)+SUMIF(#REF!,Casilleros!$A231,#REF!)+SUMIF(#REF!,$A231,#REF!)</f>
        <v>#REF!</v>
      </c>
      <c r="N231" s="5" t="e">
        <f>SUMIF(#REF!,$A231,#REF!)</f>
        <v>#REF!</v>
      </c>
      <c r="O231" s="5" t="e">
        <f>SUMIF(#REF!,$A231,#REF!)+SUMIF(#REF!,$A231,#REF!)</f>
        <v>#REF!</v>
      </c>
      <c r="P231" s="5">
        <f>IFERROR(VLOOKUP($A231,#REF!,2,FALSE),0)</f>
        <v>0</v>
      </c>
      <c r="Q231" s="42" t="e">
        <f t="shared" si="3"/>
        <v>#REF!</v>
      </c>
    </row>
    <row r="232" spans="1:17">
      <c r="A232" s="56" t="s">
        <v>465</v>
      </c>
      <c r="B232" s="7" t="s">
        <v>65</v>
      </c>
      <c r="C232" s="7" t="s">
        <v>366</v>
      </c>
      <c r="D232" s="7" t="s">
        <v>439</v>
      </c>
      <c r="E232" s="7" t="s">
        <v>464</v>
      </c>
      <c r="F232" s="7" t="s">
        <v>101</v>
      </c>
      <c r="G232" s="7" t="s">
        <v>444</v>
      </c>
      <c r="H232" s="7" t="s">
        <v>444</v>
      </c>
      <c r="I232" s="7" t="s">
        <v>1849</v>
      </c>
      <c r="J232" s="3" t="s">
        <v>2225</v>
      </c>
      <c r="K232" s="5">
        <f>SUMIF(BC!$E$6:$E$347,$A232,BC!$K$6:$K$347)</f>
        <v>0</v>
      </c>
      <c r="L232" s="5" t="e">
        <f>SUMIF(#REF!,$A232,#REF!)+SUMIF(#REF!,$A232,#REF!)</f>
        <v>#REF!</v>
      </c>
      <c r="M232" s="5" t="e">
        <f>SUMIF(#REF!,Casilleros!$A232,#REF!)+SUMIF(#REF!,Casilleros!$A232,#REF!)+SUMIF(#REF!,$A232,#REF!)</f>
        <v>#REF!</v>
      </c>
      <c r="N232" s="5" t="e">
        <f>SUMIF(#REF!,$A232,#REF!)</f>
        <v>#REF!</v>
      </c>
      <c r="O232" s="5" t="e">
        <f>SUMIF(#REF!,$A232,#REF!)+SUMIF(#REF!,$A232,#REF!)</f>
        <v>#REF!</v>
      </c>
      <c r="P232" s="5">
        <f>IFERROR(VLOOKUP($A232,#REF!,2,FALSE),0)</f>
        <v>0</v>
      </c>
      <c r="Q232" s="42" t="e">
        <f t="shared" si="3"/>
        <v>#REF!</v>
      </c>
    </row>
    <row r="233" spans="1:17">
      <c r="A233" s="56" t="s">
        <v>466</v>
      </c>
      <c r="B233" s="7" t="s">
        <v>65</v>
      </c>
      <c r="C233" s="7" t="s">
        <v>366</v>
      </c>
      <c r="D233" s="7" t="s">
        <v>439</v>
      </c>
      <c r="E233" s="7" t="s">
        <v>464</v>
      </c>
      <c r="F233" s="7" t="s">
        <v>105</v>
      </c>
      <c r="G233" s="7" t="s">
        <v>444</v>
      </c>
      <c r="H233" s="7" t="s">
        <v>444</v>
      </c>
      <c r="I233" s="7" t="s">
        <v>1850</v>
      </c>
      <c r="J233" s="3" t="s">
        <v>2225</v>
      </c>
      <c r="K233" s="5">
        <f>SUMIF(BC!$E$6:$E$347,$A233,BC!$K$6:$K$347)</f>
        <v>0</v>
      </c>
      <c r="L233" s="5" t="e">
        <f>SUMIF(#REF!,$A233,#REF!)+SUMIF(#REF!,$A233,#REF!)</f>
        <v>#REF!</v>
      </c>
      <c r="M233" s="5" t="e">
        <f>SUMIF(#REF!,Casilleros!$A233,#REF!)+SUMIF(#REF!,Casilleros!$A233,#REF!)+SUMIF(#REF!,$A233,#REF!)</f>
        <v>#REF!</v>
      </c>
      <c r="N233" s="5" t="e">
        <f>SUMIF(#REF!,$A233,#REF!)</f>
        <v>#REF!</v>
      </c>
      <c r="O233" s="5" t="e">
        <f>SUMIF(#REF!,$A233,#REF!)+SUMIF(#REF!,$A233,#REF!)</f>
        <v>#REF!</v>
      </c>
      <c r="P233" s="5">
        <f>IFERROR(VLOOKUP($A233,#REF!,2,FALSE),0)</f>
        <v>0</v>
      </c>
      <c r="Q233" s="42" t="e">
        <f t="shared" si="3"/>
        <v>#REF!</v>
      </c>
    </row>
    <row r="234" spans="1:17">
      <c r="A234" s="56" t="s">
        <v>468</v>
      </c>
      <c r="B234" s="7" t="s">
        <v>65</v>
      </c>
      <c r="C234" s="7" t="s">
        <v>366</v>
      </c>
      <c r="D234" s="7" t="s">
        <v>439</v>
      </c>
      <c r="E234" s="7" t="s">
        <v>467</v>
      </c>
      <c r="F234" s="7" t="s">
        <v>444</v>
      </c>
      <c r="G234" s="7" t="s">
        <v>444</v>
      </c>
      <c r="H234" s="7" t="s">
        <v>444</v>
      </c>
      <c r="I234" s="7" t="s">
        <v>467</v>
      </c>
      <c r="J234" s="3" t="s">
        <v>467</v>
      </c>
      <c r="K234" s="5">
        <f>SUMIF(BC!$E$6:$E$347,$A234,BC!$K$6:$K$347)</f>
        <v>0</v>
      </c>
      <c r="L234" s="5" t="e">
        <f>SUMIF(#REF!,$A234,#REF!)+SUMIF(#REF!,$A234,#REF!)</f>
        <v>#REF!</v>
      </c>
      <c r="M234" s="5" t="e">
        <f>SUMIF(#REF!,Casilleros!$A234,#REF!)+SUMIF(#REF!,Casilleros!$A234,#REF!)+SUMIF(#REF!,$A234,#REF!)</f>
        <v>#REF!</v>
      </c>
      <c r="N234" s="5" t="e">
        <f>SUMIF(#REF!,$A234,#REF!)</f>
        <v>#REF!</v>
      </c>
      <c r="O234" s="5" t="e">
        <f>SUMIF(#REF!,$A234,#REF!)+SUMIF(#REF!,$A234,#REF!)</f>
        <v>#REF!</v>
      </c>
      <c r="P234" s="5">
        <f>IFERROR(VLOOKUP($A234,#REF!,2,FALSE),0)</f>
        <v>0</v>
      </c>
      <c r="Q234" s="42" t="e">
        <f t="shared" si="3"/>
        <v>#REF!</v>
      </c>
    </row>
    <row r="235" spans="1:17">
      <c r="A235" s="56" t="s">
        <v>470</v>
      </c>
      <c r="B235" s="7" t="s">
        <v>65</v>
      </c>
      <c r="C235" s="7" t="s">
        <v>366</v>
      </c>
      <c r="D235" s="7" t="s">
        <v>439</v>
      </c>
      <c r="E235" s="7" t="s">
        <v>469</v>
      </c>
      <c r="F235" s="7" t="s">
        <v>444</v>
      </c>
      <c r="G235" s="7" t="s">
        <v>444</v>
      </c>
      <c r="H235" s="7" t="s">
        <v>444</v>
      </c>
      <c r="I235" s="7" t="s">
        <v>469</v>
      </c>
      <c r="J235" s="3" t="s">
        <v>2228</v>
      </c>
      <c r="K235" s="5" t="e">
        <f>SUMIF(BC!$E$6:$E$347,$A235,BC!$K$6:$K$347)</f>
        <v>#REF!</v>
      </c>
      <c r="L235" s="5" t="e">
        <f>SUMIF(#REF!,$A235,#REF!)+SUMIF(#REF!,$A235,#REF!)</f>
        <v>#REF!</v>
      </c>
      <c r="M235" s="5" t="e">
        <f>SUMIF(#REF!,Casilleros!$A235,#REF!)+SUMIF(#REF!,Casilleros!$A235,#REF!)+SUMIF(#REF!,$A235,#REF!)</f>
        <v>#REF!</v>
      </c>
      <c r="N235" s="5" t="e">
        <f>SUMIF(#REF!,$A235,#REF!)</f>
        <v>#REF!</v>
      </c>
      <c r="O235" s="5" t="e">
        <f>SUMIF(#REF!,$A235,#REF!)+SUMIF(#REF!,$A235,#REF!)</f>
        <v>#REF!</v>
      </c>
      <c r="P235" s="5">
        <f>IFERROR(VLOOKUP($A235,#REF!,2,FALSE),0)</f>
        <v>0</v>
      </c>
      <c r="Q235" s="42" t="e">
        <f t="shared" si="3"/>
        <v>#REF!</v>
      </c>
    </row>
    <row r="236" spans="1:17">
      <c r="A236" s="56" t="s">
        <v>472</v>
      </c>
      <c r="B236" s="7" t="s">
        <v>65</v>
      </c>
      <c r="C236" s="7" t="s">
        <v>366</v>
      </c>
      <c r="D236" s="7" t="s">
        <v>439</v>
      </c>
      <c r="E236" s="7" t="s">
        <v>471</v>
      </c>
      <c r="F236" s="7" t="s">
        <v>406</v>
      </c>
      <c r="G236" s="7" t="s">
        <v>444</v>
      </c>
      <c r="H236" s="7" t="s">
        <v>444</v>
      </c>
      <c r="I236" s="7" t="s">
        <v>1851</v>
      </c>
      <c r="J236" s="3" t="s">
        <v>2230</v>
      </c>
      <c r="K236" s="5" t="e">
        <f>SUMIF(BC!$E$6:$E$347,$A236,BC!$K$6:$K$347)</f>
        <v>#REF!</v>
      </c>
      <c r="L236" s="5" t="e">
        <f>SUMIF(#REF!,$A236,#REF!)+SUMIF(#REF!,$A236,#REF!)</f>
        <v>#REF!</v>
      </c>
      <c r="M236" s="5" t="e">
        <f>SUMIF(#REF!,Casilleros!$A236,#REF!)+SUMIF(#REF!,Casilleros!$A236,#REF!)+SUMIF(#REF!,$A236,#REF!)</f>
        <v>#REF!</v>
      </c>
      <c r="N236" s="5" t="e">
        <f>SUMIF(#REF!,$A236,#REF!)</f>
        <v>#REF!</v>
      </c>
      <c r="O236" s="5" t="e">
        <f>SUMIF(#REF!,$A236,#REF!)+SUMIF(#REF!,$A236,#REF!)</f>
        <v>#REF!</v>
      </c>
      <c r="P236" s="5">
        <f>IFERROR(VLOOKUP($A236,#REF!,2,FALSE),0)</f>
        <v>0</v>
      </c>
      <c r="Q236" s="42" t="e">
        <f t="shared" si="3"/>
        <v>#REF!</v>
      </c>
    </row>
    <row r="237" spans="1:17">
      <c r="A237" s="56" t="s">
        <v>474</v>
      </c>
      <c r="B237" s="7" t="s">
        <v>65</v>
      </c>
      <c r="C237" s="7" t="s">
        <v>366</v>
      </c>
      <c r="D237" s="7" t="s">
        <v>439</v>
      </c>
      <c r="E237" s="7" t="s">
        <v>471</v>
      </c>
      <c r="F237" s="7" t="s">
        <v>473</v>
      </c>
      <c r="G237" s="7" t="s">
        <v>444</v>
      </c>
      <c r="H237" s="7" t="s">
        <v>444</v>
      </c>
      <c r="I237" s="7" t="s">
        <v>1852</v>
      </c>
      <c r="J237" s="3" t="s">
        <v>2230</v>
      </c>
      <c r="K237" s="5" t="e">
        <f>SUMIF(BC!$E$6:$E$347,$A237,BC!$K$6:$K$347)</f>
        <v>#REF!</v>
      </c>
      <c r="L237" s="5" t="e">
        <f>SUMIF(#REF!,$A237,#REF!)+SUMIF(#REF!,$A237,#REF!)</f>
        <v>#REF!</v>
      </c>
      <c r="M237" s="5" t="e">
        <f>SUMIF(#REF!,Casilleros!$A237,#REF!)+SUMIF(#REF!,Casilleros!$A237,#REF!)+SUMIF(#REF!,$A237,#REF!)</f>
        <v>#REF!</v>
      </c>
      <c r="N237" s="5" t="e">
        <f>SUMIF(#REF!,$A237,#REF!)</f>
        <v>#REF!</v>
      </c>
      <c r="O237" s="5" t="e">
        <f>SUMIF(#REF!,$A237,#REF!)+SUMIF(#REF!,$A237,#REF!)</f>
        <v>#REF!</v>
      </c>
      <c r="P237" s="5">
        <f>IFERROR(VLOOKUP($A237,#REF!,2,FALSE),0)</f>
        <v>0</v>
      </c>
      <c r="Q237" s="42" t="e">
        <f t="shared" si="3"/>
        <v>#REF!</v>
      </c>
    </row>
    <row r="238" spans="1:17">
      <c r="A238" s="56" t="s">
        <v>476</v>
      </c>
      <c r="B238" s="7" t="s">
        <v>65</v>
      </c>
      <c r="C238" s="7" t="s">
        <v>366</v>
      </c>
      <c r="D238" s="7" t="s">
        <v>439</v>
      </c>
      <c r="E238" s="7" t="s">
        <v>471</v>
      </c>
      <c r="F238" s="7" t="s">
        <v>475</v>
      </c>
      <c r="G238" s="7" t="s">
        <v>444</v>
      </c>
      <c r="H238" s="7" t="s">
        <v>444</v>
      </c>
      <c r="I238" s="7" t="s">
        <v>1853</v>
      </c>
      <c r="J238" s="3" t="s">
        <v>2230</v>
      </c>
      <c r="K238" s="5">
        <f>SUMIF(BC!$E$6:$E$347,$A238,BC!$K$6:$K$347)</f>
        <v>0</v>
      </c>
      <c r="L238" s="5" t="e">
        <f>SUMIF(#REF!,$A238,#REF!)+SUMIF(#REF!,$A238,#REF!)</f>
        <v>#REF!</v>
      </c>
      <c r="M238" s="5" t="e">
        <f>SUMIF(#REF!,Casilleros!$A238,#REF!)+SUMIF(#REF!,Casilleros!$A238,#REF!)+SUMIF(#REF!,$A238,#REF!)</f>
        <v>#REF!</v>
      </c>
      <c r="N238" s="5" t="e">
        <f>SUMIF(#REF!,$A238,#REF!)</f>
        <v>#REF!</v>
      </c>
      <c r="O238" s="5" t="e">
        <f>SUMIF(#REF!,$A238,#REF!)+SUMIF(#REF!,$A238,#REF!)</f>
        <v>#REF!</v>
      </c>
      <c r="P238" s="5">
        <f>IFERROR(VLOOKUP($A238,#REF!,2,FALSE),0)</f>
        <v>0</v>
      </c>
      <c r="Q238" s="42" t="e">
        <f t="shared" si="3"/>
        <v>#REF!</v>
      </c>
    </row>
    <row r="239" spans="1:17">
      <c r="A239" s="56" t="s">
        <v>478</v>
      </c>
      <c r="B239" s="7" t="s">
        <v>65</v>
      </c>
      <c r="C239" s="7" t="s">
        <v>366</v>
      </c>
      <c r="D239" s="7" t="s">
        <v>439</v>
      </c>
      <c r="E239" s="7" t="s">
        <v>477</v>
      </c>
      <c r="F239" s="7" t="s">
        <v>411</v>
      </c>
      <c r="G239" s="7" t="s">
        <v>444</v>
      </c>
      <c r="H239" s="7" t="s">
        <v>444</v>
      </c>
      <c r="I239" s="7" t="s">
        <v>1854</v>
      </c>
      <c r="J239" s="3" t="s">
        <v>2232</v>
      </c>
      <c r="K239" s="5">
        <f>SUMIF(BC!$E$6:$E$347,$A239,BC!$K$6:$K$347)</f>
        <v>0</v>
      </c>
      <c r="L239" s="5" t="e">
        <f>SUMIF(#REF!,$A239,#REF!)+SUMIF(#REF!,$A239,#REF!)</f>
        <v>#REF!</v>
      </c>
      <c r="M239" s="5" t="e">
        <f>SUMIF(#REF!,Casilleros!$A239,#REF!)+SUMIF(#REF!,Casilleros!$A239,#REF!)+SUMIF(#REF!,$A239,#REF!)</f>
        <v>#REF!</v>
      </c>
      <c r="N239" s="5" t="e">
        <f>SUMIF(#REF!,$A239,#REF!)</f>
        <v>#REF!</v>
      </c>
      <c r="O239" s="5" t="e">
        <f>SUMIF(#REF!,$A239,#REF!)+SUMIF(#REF!,$A239,#REF!)</f>
        <v>#REF!</v>
      </c>
      <c r="P239" s="5">
        <f>IFERROR(VLOOKUP($A239,#REF!,2,FALSE),0)</f>
        <v>0</v>
      </c>
      <c r="Q239" s="42" t="e">
        <f t="shared" si="3"/>
        <v>#REF!</v>
      </c>
    </row>
    <row r="240" spans="1:17">
      <c r="A240" s="56" t="s">
        <v>479</v>
      </c>
      <c r="B240" s="7" t="s">
        <v>65</v>
      </c>
      <c r="C240" s="7" t="s">
        <v>366</v>
      </c>
      <c r="D240" s="7" t="s">
        <v>439</v>
      </c>
      <c r="E240" s="7" t="s">
        <v>477</v>
      </c>
      <c r="F240" s="7" t="s">
        <v>413</v>
      </c>
      <c r="G240" s="7" t="s">
        <v>444</v>
      </c>
      <c r="H240" s="7" t="s">
        <v>444</v>
      </c>
      <c r="I240" s="7" t="s">
        <v>1855</v>
      </c>
      <c r="J240" s="3" t="s">
        <v>2232</v>
      </c>
      <c r="K240" s="5">
        <f>SUMIF(BC!$E$6:$E$347,$A240,BC!$K$6:$K$347)</f>
        <v>0</v>
      </c>
      <c r="L240" s="5" t="e">
        <f>SUMIF(#REF!,$A240,#REF!)+SUMIF(#REF!,$A240,#REF!)</f>
        <v>#REF!</v>
      </c>
      <c r="M240" s="5" t="e">
        <f>SUMIF(#REF!,Casilleros!$A240,#REF!)+SUMIF(#REF!,Casilleros!$A240,#REF!)+SUMIF(#REF!,$A240,#REF!)</f>
        <v>#REF!</v>
      </c>
      <c r="N240" s="5" t="e">
        <f>SUMIF(#REF!,$A240,#REF!)</f>
        <v>#REF!</v>
      </c>
      <c r="O240" s="5" t="e">
        <f>SUMIF(#REF!,$A240,#REF!)+SUMIF(#REF!,$A240,#REF!)</f>
        <v>#REF!</v>
      </c>
      <c r="P240" s="5">
        <f>IFERROR(VLOOKUP($A240,#REF!,2,FALSE),0)</f>
        <v>0</v>
      </c>
      <c r="Q240" s="42" t="e">
        <f t="shared" si="3"/>
        <v>#REF!</v>
      </c>
    </row>
    <row r="241" spans="1:17">
      <c r="A241" s="56" t="s">
        <v>480</v>
      </c>
      <c r="B241" s="7" t="s">
        <v>65</v>
      </c>
      <c r="C241" s="7" t="s">
        <v>366</v>
      </c>
      <c r="D241" s="7" t="s">
        <v>439</v>
      </c>
      <c r="E241" s="7" t="s">
        <v>477</v>
      </c>
      <c r="F241" s="7" t="s">
        <v>415</v>
      </c>
      <c r="G241" s="7" t="s">
        <v>444</v>
      </c>
      <c r="H241" s="7" t="s">
        <v>444</v>
      </c>
      <c r="I241" s="7" t="s">
        <v>1856</v>
      </c>
      <c r="J241" s="3" t="s">
        <v>2232</v>
      </c>
      <c r="K241" s="5">
        <f>SUMIF(BC!$E$6:$E$347,$A241,BC!$K$6:$K$347)</f>
        <v>0</v>
      </c>
      <c r="L241" s="5" t="e">
        <f>SUMIF(#REF!,$A241,#REF!)+SUMIF(#REF!,$A241,#REF!)</f>
        <v>#REF!</v>
      </c>
      <c r="M241" s="5" t="e">
        <f>SUMIF(#REF!,Casilleros!$A241,#REF!)+SUMIF(#REF!,Casilleros!$A241,#REF!)+SUMIF(#REF!,$A241,#REF!)</f>
        <v>#REF!</v>
      </c>
      <c r="N241" s="5" t="e">
        <f>SUMIF(#REF!,$A241,#REF!)</f>
        <v>#REF!</v>
      </c>
      <c r="O241" s="5" t="e">
        <f>SUMIF(#REF!,$A241,#REF!)+SUMIF(#REF!,$A241,#REF!)</f>
        <v>#REF!</v>
      </c>
      <c r="P241" s="5">
        <f>IFERROR(VLOOKUP($A241,#REF!,2,FALSE),0)</f>
        <v>0</v>
      </c>
      <c r="Q241" s="42" t="e">
        <f t="shared" si="3"/>
        <v>#REF!</v>
      </c>
    </row>
    <row r="242" spans="1:17">
      <c r="A242" s="56" t="s">
        <v>481</v>
      </c>
      <c r="B242" s="7" t="s">
        <v>65</v>
      </c>
      <c r="C242" s="7" t="s">
        <v>366</v>
      </c>
      <c r="D242" s="7" t="s">
        <v>439</v>
      </c>
      <c r="E242" s="7" t="s">
        <v>477</v>
      </c>
      <c r="F242" s="7" t="s">
        <v>417</v>
      </c>
      <c r="G242" s="7" t="s">
        <v>444</v>
      </c>
      <c r="H242" s="7" t="s">
        <v>444</v>
      </c>
      <c r="I242" s="7" t="s">
        <v>1857</v>
      </c>
      <c r="J242" s="3" t="s">
        <v>2232</v>
      </c>
      <c r="K242" s="5">
        <f>SUMIF(BC!$E$6:$E$347,$A242,BC!$K$6:$K$347)</f>
        <v>0</v>
      </c>
      <c r="L242" s="5" t="e">
        <f>SUMIF(#REF!,$A242,#REF!)+SUMIF(#REF!,$A242,#REF!)</f>
        <v>#REF!</v>
      </c>
      <c r="M242" s="5" t="e">
        <f>SUMIF(#REF!,Casilleros!$A242,#REF!)+SUMIF(#REF!,Casilleros!$A242,#REF!)+SUMIF(#REF!,$A242,#REF!)</f>
        <v>#REF!</v>
      </c>
      <c r="N242" s="5" t="e">
        <f>SUMIF(#REF!,$A242,#REF!)</f>
        <v>#REF!</v>
      </c>
      <c r="O242" s="5" t="e">
        <f>SUMIF(#REF!,$A242,#REF!)+SUMIF(#REF!,$A242,#REF!)</f>
        <v>#REF!</v>
      </c>
      <c r="P242" s="5">
        <f>IFERROR(VLOOKUP($A242,#REF!,2,FALSE),0)</f>
        <v>0</v>
      </c>
      <c r="Q242" s="42" t="e">
        <f t="shared" si="3"/>
        <v>#REF!</v>
      </c>
    </row>
    <row r="243" spans="1:17">
      <c r="A243" s="56" t="s">
        <v>482</v>
      </c>
      <c r="B243" s="7" t="s">
        <v>65</v>
      </c>
      <c r="C243" s="7" t="s">
        <v>366</v>
      </c>
      <c r="D243" s="7" t="s">
        <v>439</v>
      </c>
      <c r="E243" s="7" t="s">
        <v>477</v>
      </c>
      <c r="F243" s="7" t="s">
        <v>419</v>
      </c>
      <c r="G243" s="7" t="s">
        <v>444</v>
      </c>
      <c r="H243" s="7" t="s">
        <v>444</v>
      </c>
      <c r="I243" s="7" t="s">
        <v>1858</v>
      </c>
      <c r="J243" s="3" t="s">
        <v>2232</v>
      </c>
      <c r="K243" s="5">
        <f>SUMIF(BC!$E$6:$E$347,$A243,BC!$K$6:$K$347)</f>
        <v>0</v>
      </c>
      <c r="L243" s="5" t="e">
        <f>SUMIF(#REF!,$A243,#REF!)+SUMIF(#REF!,$A243,#REF!)</f>
        <v>#REF!</v>
      </c>
      <c r="M243" s="5" t="e">
        <f>SUMIF(#REF!,Casilleros!$A243,#REF!)+SUMIF(#REF!,Casilleros!$A243,#REF!)+SUMIF(#REF!,$A243,#REF!)</f>
        <v>#REF!</v>
      </c>
      <c r="N243" s="5" t="e">
        <f>SUMIF(#REF!,$A243,#REF!)</f>
        <v>#REF!</v>
      </c>
      <c r="O243" s="5" t="e">
        <f>SUMIF(#REF!,$A243,#REF!)+SUMIF(#REF!,$A243,#REF!)</f>
        <v>#REF!</v>
      </c>
      <c r="P243" s="5">
        <f>IFERROR(VLOOKUP($A243,#REF!,2,FALSE),0)</f>
        <v>0</v>
      </c>
      <c r="Q243" s="42" t="e">
        <f t="shared" si="3"/>
        <v>#REF!</v>
      </c>
    </row>
    <row r="244" spans="1:17">
      <c r="A244" s="56" t="s">
        <v>483</v>
      </c>
      <c r="B244" s="7" t="s">
        <v>65</v>
      </c>
      <c r="C244" s="7" t="s">
        <v>366</v>
      </c>
      <c r="D244" s="7" t="s">
        <v>439</v>
      </c>
      <c r="E244" s="7" t="s">
        <v>477</v>
      </c>
      <c r="F244" s="7" t="s">
        <v>421</v>
      </c>
      <c r="G244" s="7" t="s">
        <v>444</v>
      </c>
      <c r="H244" s="7" t="s">
        <v>444</v>
      </c>
      <c r="I244" s="7" t="s">
        <v>1859</v>
      </c>
      <c r="J244" s="3" t="s">
        <v>2232</v>
      </c>
      <c r="K244" s="5">
        <f>SUMIF(BC!$E$6:$E$347,$A244,BC!$K$6:$K$347)</f>
        <v>0</v>
      </c>
      <c r="L244" s="5" t="e">
        <f>SUMIF(#REF!,$A244,#REF!)+SUMIF(#REF!,$A244,#REF!)</f>
        <v>#REF!</v>
      </c>
      <c r="M244" s="5" t="e">
        <f>SUMIF(#REF!,Casilleros!$A244,#REF!)+SUMIF(#REF!,Casilleros!$A244,#REF!)+SUMIF(#REF!,$A244,#REF!)</f>
        <v>#REF!</v>
      </c>
      <c r="N244" s="5" t="e">
        <f>SUMIF(#REF!,$A244,#REF!)</f>
        <v>#REF!</v>
      </c>
      <c r="O244" s="5" t="e">
        <f>SUMIF(#REF!,$A244,#REF!)+SUMIF(#REF!,$A244,#REF!)</f>
        <v>#REF!</v>
      </c>
      <c r="P244" s="5">
        <f>IFERROR(VLOOKUP($A244,#REF!,2,FALSE),0)</f>
        <v>0</v>
      </c>
      <c r="Q244" s="42" t="e">
        <f t="shared" si="3"/>
        <v>#REF!</v>
      </c>
    </row>
    <row r="245" spans="1:17">
      <c r="A245" s="56" t="s">
        <v>484</v>
      </c>
      <c r="B245" s="7" t="s">
        <v>65</v>
      </c>
      <c r="C245" s="7" t="s">
        <v>366</v>
      </c>
      <c r="D245" s="7" t="s">
        <v>439</v>
      </c>
      <c r="E245" s="7" t="s">
        <v>477</v>
      </c>
      <c r="F245" s="7" t="s">
        <v>423</v>
      </c>
      <c r="G245" s="7" t="s">
        <v>444</v>
      </c>
      <c r="H245" s="7" t="s">
        <v>444</v>
      </c>
      <c r="I245" s="7" t="s">
        <v>1860</v>
      </c>
      <c r="J245" s="3" t="s">
        <v>2232</v>
      </c>
      <c r="K245" s="5">
        <f>SUMIF(BC!$E$6:$E$347,$A245,BC!$K$6:$K$347)</f>
        <v>0</v>
      </c>
      <c r="L245" s="5" t="e">
        <f>SUMIF(#REF!,$A245,#REF!)+SUMIF(#REF!,$A245,#REF!)</f>
        <v>#REF!</v>
      </c>
      <c r="M245" s="5" t="e">
        <f>SUMIF(#REF!,Casilleros!$A245,#REF!)+SUMIF(#REF!,Casilleros!$A245,#REF!)+SUMIF(#REF!,$A245,#REF!)</f>
        <v>#REF!</v>
      </c>
      <c r="N245" s="5" t="e">
        <f>SUMIF(#REF!,$A245,#REF!)</f>
        <v>#REF!</v>
      </c>
      <c r="O245" s="5" t="e">
        <f>SUMIF(#REF!,$A245,#REF!)+SUMIF(#REF!,$A245,#REF!)</f>
        <v>#REF!</v>
      </c>
      <c r="P245" s="5">
        <f>IFERROR(VLOOKUP($A245,#REF!,2,FALSE),0)</f>
        <v>0</v>
      </c>
      <c r="Q245" s="42" t="e">
        <f t="shared" si="3"/>
        <v>#REF!</v>
      </c>
    </row>
    <row r="246" spans="1:17">
      <c r="A246" s="56" t="s">
        <v>485</v>
      </c>
      <c r="B246" s="7" t="s">
        <v>65</v>
      </c>
      <c r="C246" s="7" t="s">
        <v>366</v>
      </c>
      <c r="D246" s="7" t="s">
        <v>439</v>
      </c>
      <c r="E246" s="7" t="s">
        <v>477</v>
      </c>
      <c r="F246" s="7" t="s">
        <v>425</v>
      </c>
      <c r="G246" s="7" t="s">
        <v>444</v>
      </c>
      <c r="H246" s="7" t="s">
        <v>444</v>
      </c>
      <c r="I246" s="7" t="s">
        <v>1861</v>
      </c>
      <c r="J246" s="3" t="s">
        <v>2232</v>
      </c>
      <c r="K246" s="5">
        <f>SUMIF(BC!$E$6:$E$347,$A246,BC!$K$6:$K$347)</f>
        <v>0</v>
      </c>
      <c r="L246" s="5" t="e">
        <f>SUMIF(#REF!,$A246,#REF!)+SUMIF(#REF!,$A246,#REF!)</f>
        <v>#REF!</v>
      </c>
      <c r="M246" s="5" t="e">
        <f>SUMIF(#REF!,Casilleros!$A246,#REF!)+SUMIF(#REF!,Casilleros!$A246,#REF!)+SUMIF(#REF!,$A246,#REF!)</f>
        <v>#REF!</v>
      </c>
      <c r="N246" s="5" t="e">
        <f>SUMIF(#REF!,$A246,#REF!)</f>
        <v>#REF!</v>
      </c>
      <c r="O246" s="5" t="e">
        <f>SUMIF(#REF!,$A246,#REF!)+SUMIF(#REF!,$A246,#REF!)</f>
        <v>#REF!</v>
      </c>
      <c r="P246" s="5">
        <f>IFERROR(VLOOKUP($A246,#REF!,2,FALSE),0)</f>
        <v>0</v>
      </c>
      <c r="Q246" s="42" t="e">
        <f t="shared" si="3"/>
        <v>#REF!</v>
      </c>
    </row>
    <row r="247" spans="1:17">
      <c r="A247" s="56" t="s">
        <v>486</v>
      </c>
      <c r="B247" s="7" t="s">
        <v>65</v>
      </c>
      <c r="C247" s="7" t="s">
        <v>366</v>
      </c>
      <c r="D247" s="7" t="s">
        <v>439</v>
      </c>
      <c r="E247" s="7" t="s">
        <v>427</v>
      </c>
      <c r="F247" s="7" t="s">
        <v>428</v>
      </c>
      <c r="G247" s="7" t="s">
        <v>444</v>
      </c>
      <c r="H247" s="7" t="s">
        <v>444</v>
      </c>
      <c r="I247" s="7" t="s">
        <v>1829</v>
      </c>
      <c r="J247" s="3" t="s">
        <v>2234</v>
      </c>
      <c r="K247" s="5" t="e">
        <f>SUMIF(BC!$E$6:$E$347,$A247,BC!$K$6:$K$347)</f>
        <v>#REF!</v>
      </c>
      <c r="L247" s="5" t="e">
        <f>SUMIF(#REF!,$A247,#REF!)+SUMIF(#REF!,$A247,#REF!)</f>
        <v>#REF!</v>
      </c>
      <c r="M247" s="5" t="e">
        <f>SUMIF(#REF!,Casilleros!$A247,#REF!)+SUMIF(#REF!,Casilleros!$A247,#REF!)+SUMIF(#REF!,$A247,#REF!)</f>
        <v>#REF!</v>
      </c>
      <c r="N247" s="5" t="e">
        <f>SUMIF(#REF!,$A247,#REF!)</f>
        <v>#REF!</v>
      </c>
      <c r="O247" s="5" t="e">
        <f>SUMIF(#REF!,$A247,#REF!)+SUMIF(#REF!,$A247,#REF!)</f>
        <v>#REF!</v>
      </c>
      <c r="P247" s="5">
        <f>IFERROR(VLOOKUP($A247,#REF!,2,FALSE),0)</f>
        <v>0</v>
      </c>
      <c r="Q247" s="42" t="e">
        <f t="shared" si="3"/>
        <v>#REF!</v>
      </c>
    </row>
    <row r="248" spans="1:17">
      <c r="A248" s="56" t="s">
        <v>488</v>
      </c>
      <c r="B248" s="7" t="s">
        <v>65</v>
      </c>
      <c r="C248" s="7" t="s">
        <v>366</v>
      </c>
      <c r="D248" s="7" t="s">
        <v>439</v>
      </c>
      <c r="E248" s="7" t="s">
        <v>427</v>
      </c>
      <c r="F248" s="7" t="s">
        <v>487</v>
      </c>
      <c r="G248" s="7" t="s">
        <v>444</v>
      </c>
      <c r="H248" s="7" t="s">
        <v>444</v>
      </c>
      <c r="I248" s="7" t="s">
        <v>1862</v>
      </c>
      <c r="J248" s="3" t="s">
        <v>2234</v>
      </c>
      <c r="K248" s="5">
        <f>SUMIF(BC!$E$6:$E$347,$A248,BC!$K$6:$K$347)</f>
        <v>0</v>
      </c>
      <c r="L248" s="5" t="e">
        <f>SUMIF(#REF!,$A248,#REF!)+SUMIF(#REF!,$A248,#REF!)</f>
        <v>#REF!</v>
      </c>
      <c r="M248" s="5" t="e">
        <f>SUMIF(#REF!,Casilleros!$A248,#REF!)+SUMIF(#REF!,Casilleros!$A248,#REF!)+SUMIF(#REF!,$A248,#REF!)</f>
        <v>#REF!</v>
      </c>
      <c r="N248" s="5" t="e">
        <f>SUMIF(#REF!,$A248,#REF!)</f>
        <v>#REF!</v>
      </c>
      <c r="O248" s="5" t="e">
        <f>SUMIF(#REF!,$A248,#REF!)+SUMIF(#REF!,$A248,#REF!)</f>
        <v>#REF!</v>
      </c>
      <c r="P248" s="5">
        <f>IFERROR(VLOOKUP($A248,#REF!,2,FALSE),0)</f>
        <v>0</v>
      </c>
      <c r="Q248" s="42" t="e">
        <f t="shared" si="3"/>
        <v>#REF!</v>
      </c>
    </row>
    <row r="249" spans="1:17">
      <c r="A249" s="56" t="s">
        <v>489</v>
      </c>
      <c r="B249" s="7" t="s">
        <v>65</v>
      </c>
      <c r="C249" s="7" t="s">
        <v>366</v>
      </c>
      <c r="D249" s="7" t="s">
        <v>439</v>
      </c>
      <c r="E249" s="7" t="s">
        <v>427</v>
      </c>
      <c r="F249" s="7" t="s">
        <v>122</v>
      </c>
      <c r="G249" s="7" t="s">
        <v>444</v>
      </c>
      <c r="H249" s="7" t="s">
        <v>444</v>
      </c>
      <c r="I249" s="7" t="s">
        <v>1831</v>
      </c>
      <c r="J249" s="3" t="s">
        <v>2234</v>
      </c>
      <c r="K249" s="5">
        <f>SUMIF(BC!$E$6:$E$347,$A249,BC!$K$6:$K$347)</f>
        <v>0</v>
      </c>
      <c r="L249" s="5" t="e">
        <f>SUMIF(#REF!,$A249,#REF!)+SUMIF(#REF!,$A249,#REF!)</f>
        <v>#REF!</v>
      </c>
      <c r="M249" s="5" t="e">
        <f>SUMIF(#REF!,Casilleros!$A249,#REF!)+SUMIF(#REF!,Casilleros!$A249,#REF!)+SUMIF(#REF!,$A249,#REF!)</f>
        <v>#REF!</v>
      </c>
      <c r="N249" s="5" t="e">
        <f>SUMIF(#REF!,$A249,#REF!)</f>
        <v>#REF!</v>
      </c>
      <c r="O249" s="5" t="e">
        <f>SUMIF(#REF!,$A249,#REF!)+SUMIF(#REF!,$A249,#REF!)</f>
        <v>#REF!</v>
      </c>
      <c r="P249" s="5">
        <f>IFERROR(VLOOKUP($A249,#REF!,2,FALSE),0)</f>
        <v>0</v>
      </c>
      <c r="Q249" s="42" t="e">
        <f t="shared" si="3"/>
        <v>#REF!</v>
      </c>
    </row>
    <row r="250" spans="1:17">
      <c r="A250" s="56" t="s">
        <v>491</v>
      </c>
      <c r="B250" s="7" t="s">
        <v>65</v>
      </c>
      <c r="C250" s="7" t="s">
        <v>366</v>
      </c>
      <c r="D250" s="7" t="s">
        <v>439</v>
      </c>
      <c r="E250" s="7" t="s">
        <v>490</v>
      </c>
      <c r="F250" s="7" t="s">
        <v>434</v>
      </c>
      <c r="G250" s="7" t="s">
        <v>444</v>
      </c>
      <c r="H250" s="7" t="s">
        <v>444</v>
      </c>
      <c r="I250" s="7" t="s">
        <v>1863</v>
      </c>
      <c r="J250" s="3" t="s">
        <v>2236</v>
      </c>
      <c r="K250" s="5">
        <f>SUMIF(BC!$E$6:$E$347,$A250,BC!$K$6:$K$347)</f>
        <v>0</v>
      </c>
      <c r="L250" s="5" t="e">
        <f>SUMIF(#REF!,$A250,#REF!)+SUMIF(#REF!,$A250,#REF!)</f>
        <v>#REF!</v>
      </c>
      <c r="M250" s="5" t="e">
        <f>SUMIF(#REF!,Casilleros!$A250,#REF!)+SUMIF(#REF!,Casilleros!$A250,#REF!)+SUMIF(#REF!,$A250,#REF!)</f>
        <v>#REF!</v>
      </c>
      <c r="N250" s="5" t="e">
        <f>SUMIF(#REF!,$A250,#REF!)</f>
        <v>#REF!</v>
      </c>
      <c r="O250" s="5" t="e">
        <f>SUMIF(#REF!,$A250,#REF!)+SUMIF(#REF!,$A250,#REF!)</f>
        <v>#REF!</v>
      </c>
      <c r="P250" s="5">
        <f>IFERROR(VLOOKUP($A250,#REF!,2,FALSE),0)</f>
        <v>0</v>
      </c>
      <c r="Q250" s="42" t="e">
        <f t="shared" si="3"/>
        <v>#REF!</v>
      </c>
    </row>
    <row r="251" spans="1:17">
      <c r="A251" s="56" t="s">
        <v>492</v>
      </c>
      <c r="B251" s="7" t="s">
        <v>65</v>
      </c>
      <c r="C251" s="7" t="s">
        <v>366</v>
      </c>
      <c r="D251" s="7" t="s">
        <v>439</v>
      </c>
      <c r="E251" s="7" t="s">
        <v>490</v>
      </c>
      <c r="F251" s="7" t="s">
        <v>122</v>
      </c>
      <c r="G251" s="7" t="s">
        <v>444</v>
      </c>
      <c r="H251" s="7" t="s">
        <v>444</v>
      </c>
      <c r="I251" s="7" t="s">
        <v>1864</v>
      </c>
      <c r="J251" s="3" t="s">
        <v>2236</v>
      </c>
      <c r="K251" s="5">
        <f>SUMIF(BC!$E$6:$E$347,$A251,BC!$K$6:$K$347)</f>
        <v>0</v>
      </c>
      <c r="L251" s="5" t="e">
        <f>SUMIF(#REF!,$A251,#REF!)+SUMIF(#REF!,$A251,#REF!)</f>
        <v>#REF!</v>
      </c>
      <c r="M251" s="5" t="e">
        <f>SUMIF(#REF!,Casilleros!$A251,#REF!)+SUMIF(#REF!,Casilleros!$A251,#REF!)+SUMIF(#REF!,$A251,#REF!)</f>
        <v>#REF!</v>
      </c>
      <c r="N251" s="5" t="e">
        <f>SUMIF(#REF!,$A251,#REF!)</f>
        <v>#REF!</v>
      </c>
      <c r="O251" s="5" t="e">
        <f>SUMIF(#REF!,$A251,#REF!)+SUMIF(#REF!,$A251,#REF!)</f>
        <v>#REF!</v>
      </c>
      <c r="P251" s="5">
        <f>IFERROR(VLOOKUP($A251,#REF!,2,FALSE),0)</f>
        <v>0</v>
      </c>
      <c r="Q251" s="42" t="e">
        <f t="shared" si="3"/>
        <v>#REF!</v>
      </c>
    </row>
    <row r="252" spans="1:17">
      <c r="A252" s="56" t="s">
        <v>494</v>
      </c>
      <c r="B252" s="7" t="s">
        <v>65</v>
      </c>
      <c r="C252" s="7" t="s">
        <v>366</v>
      </c>
      <c r="D252" s="7" t="s">
        <v>493</v>
      </c>
      <c r="E252" s="7" t="s">
        <v>444</v>
      </c>
      <c r="F252" s="7" t="s">
        <v>444</v>
      </c>
      <c r="G252" s="7" t="s">
        <v>444</v>
      </c>
      <c r="H252" s="7" t="s">
        <v>444</v>
      </c>
      <c r="I252" s="7" t="s">
        <v>1865</v>
      </c>
      <c r="K252" s="5">
        <f>SUMIF(BC!$E$6:$E$347,$A252,BC!$K$6:$K$347)</f>
        <v>0</v>
      </c>
      <c r="L252" s="5" t="e">
        <f>SUMIF(#REF!,$A252,#REF!)+SUMIF(#REF!,$A252,#REF!)</f>
        <v>#REF!</v>
      </c>
      <c r="M252" s="5" t="e">
        <f>SUMIF(#REF!,Casilleros!$A252,#REF!)+SUMIF(#REF!,Casilleros!$A252,#REF!)+SUMIF(#REF!,$A252,#REF!)</f>
        <v>#REF!</v>
      </c>
      <c r="N252" s="5" t="e">
        <f>SUMIF(#REF!,$A252,#REF!)</f>
        <v>#REF!</v>
      </c>
      <c r="O252" s="5" t="e">
        <f>SUMIF(#REF!,$A252,#REF!)+SUMIF(#REF!,$A252,#REF!)</f>
        <v>#REF!</v>
      </c>
      <c r="P252" s="5">
        <f>IFERROR(VLOOKUP($A252,#REF!,2,FALSE),0)</f>
        <v>0</v>
      </c>
      <c r="Q252" s="42" t="e">
        <f t="shared" si="3"/>
        <v>#REF!</v>
      </c>
    </row>
    <row r="253" spans="1:17">
      <c r="A253" s="56" t="s">
        <v>496</v>
      </c>
      <c r="B253" s="7" t="s">
        <v>65</v>
      </c>
      <c r="C253" s="7" t="s">
        <v>366</v>
      </c>
      <c r="D253" s="7" t="s">
        <v>495</v>
      </c>
      <c r="E253" s="7" t="s">
        <v>444</v>
      </c>
      <c r="F253" s="7" t="s">
        <v>444</v>
      </c>
      <c r="G253" s="7" t="s">
        <v>444</v>
      </c>
      <c r="H253" s="7" t="s">
        <v>444</v>
      </c>
      <c r="I253" s="7" t="s">
        <v>1866</v>
      </c>
      <c r="K253" s="5">
        <f>SUMIF(BC!$E$6:$E$347,$A253,BC!$K$6:$K$347)</f>
        <v>0</v>
      </c>
      <c r="L253" s="5" t="e">
        <f>SUMIF(#REF!,$A253,#REF!)+SUMIF(#REF!,$A253,#REF!)</f>
        <v>#REF!</v>
      </c>
      <c r="M253" s="5" t="e">
        <f>SUMIF(#REF!,Casilleros!$A253,#REF!)+SUMIF(#REF!,Casilleros!$A253,#REF!)+SUMIF(#REF!,$A253,#REF!)</f>
        <v>#REF!</v>
      </c>
      <c r="N253" s="5" t="e">
        <f>SUMIF(#REF!,$A253,#REF!)</f>
        <v>#REF!</v>
      </c>
      <c r="O253" s="5" t="e">
        <f>SUMIF(#REF!,$A253,#REF!)+SUMIF(#REF!,$A253,#REF!)</f>
        <v>#REF!</v>
      </c>
      <c r="P253" s="5">
        <f>IFERROR(VLOOKUP($A253,#REF!,2,FALSE),0)</f>
        <v>0</v>
      </c>
      <c r="Q253" s="42" t="e">
        <f t="shared" si="3"/>
        <v>#REF!</v>
      </c>
    </row>
    <row r="254" spans="1:17">
      <c r="A254" s="56" t="s">
        <v>498</v>
      </c>
      <c r="B254" s="7" t="s">
        <v>65</v>
      </c>
      <c r="C254" s="7" t="s">
        <v>366</v>
      </c>
      <c r="D254" s="7" t="s">
        <v>497</v>
      </c>
      <c r="E254" s="7" t="s">
        <v>444</v>
      </c>
      <c r="F254" s="7" t="s">
        <v>444</v>
      </c>
      <c r="G254" s="7" t="s">
        <v>444</v>
      </c>
      <c r="H254" s="7" t="s">
        <v>444</v>
      </c>
      <c r="I254" s="7" t="s">
        <v>1867</v>
      </c>
      <c r="K254" s="5">
        <f>SUMIF(BC!$E$6:$E$347,$A254,BC!$K$6:$K$347)</f>
        <v>0</v>
      </c>
      <c r="L254" s="5" t="e">
        <f>SUMIF(#REF!,$A254,#REF!)+SUMIF(#REF!,$A254,#REF!)</f>
        <v>#REF!</v>
      </c>
      <c r="M254" s="5" t="e">
        <f>SUMIF(#REF!,Casilleros!$A254,#REF!)+SUMIF(#REF!,Casilleros!$A254,#REF!)+SUMIF(#REF!,$A254,#REF!)</f>
        <v>#REF!</v>
      </c>
      <c r="N254" s="5" t="e">
        <f>SUMIF(#REF!,$A254,#REF!)</f>
        <v>#REF!</v>
      </c>
      <c r="O254" s="5" t="e">
        <f>SUMIF(#REF!,$A254,#REF!)+SUMIF(#REF!,$A254,#REF!)</f>
        <v>#REF!</v>
      </c>
      <c r="P254" s="5">
        <f>IFERROR(VLOOKUP($A254,#REF!,2,FALSE),0)</f>
        <v>0</v>
      </c>
      <c r="Q254" s="42" t="e">
        <f t="shared" si="3"/>
        <v>#REF!</v>
      </c>
    </row>
    <row r="255" spans="1:17">
      <c r="A255" s="56" t="s">
        <v>500</v>
      </c>
      <c r="B255" s="7" t="s">
        <v>65</v>
      </c>
      <c r="C255" s="7" t="s">
        <v>499</v>
      </c>
      <c r="D255" s="7" t="s">
        <v>444</v>
      </c>
      <c r="E255" s="7" t="s">
        <v>444</v>
      </c>
      <c r="F255" s="7" t="s">
        <v>444</v>
      </c>
      <c r="G255" s="7" t="s">
        <v>444</v>
      </c>
      <c r="H255" s="7" t="s">
        <v>444</v>
      </c>
      <c r="I255" s="7" t="s">
        <v>1868</v>
      </c>
      <c r="K255" s="5">
        <f>SUMIF(BC!$E$6:$E$347,$A255,BC!$K$6:$K$347)</f>
        <v>0</v>
      </c>
      <c r="L255" s="5" t="e">
        <f>SUMIF(#REF!,$A255,#REF!)+SUMIF(#REF!,$A255,#REF!)</f>
        <v>#REF!</v>
      </c>
      <c r="M255" s="5" t="e">
        <f>SUMIF(#REF!,Casilleros!$A255,#REF!)+SUMIF(#REF!,Casilleros!$A255,#REF!)+SUMIF(#REF!,$A255,#REF!)</f>
        <v>#REF!</v>
      </c>
      <c r="N255" s="5" t="e">
        <f>SUMIF(#REF!,$A255,#REF!)</f>
        <v>#REF!</v>
      </c>
      <c r="O255" s="5" t="e">
        <f>SUMIF(#REF!,$A255,#REF!)+SUMIF(#REF!,$A255,#REF!)</f>
        <v>#REF!</v>
      </c>
      <c r="P255" s="5">
        <f>IFERROR(VLOOKUP($A255,#REF!,2,FALSE),0)</f>
        <v>0</v>
      </c>
      <c r="Q255" s="42" t="e">
        <f t="shared" si="3"/>
        <v>#REF!</v>
      </c>
    </row>
    <row r="256" spans="1:17" ht="15">
      <c r="A256" s="56" t="s">
        <v>503</v>
      </c>
      <c r="B256" s="7" t="s">
        <v>65</v>
      </c>
      <c r="C256" s="7" t="s">
        <v>501</v>
      </c>
      <c r="D256" s="7" t="s">
        <v>502</v>
      </c>
      <c r="E256" s="7" t="s">
        <v>444</v>
      </c>
      <c r="F256" s="7" t="s">
        <v>444</v>
      </c>
      <c r="G256" s="7" t="s">
        <v>444</v>
      </c>
      <c r="H256" s="7" t="s">
        <v>444</v>
      </c>
      <c r="I256" s="7" t="s">
        <v>1869</v>
      </c>
      <c r="J256" s="60" t="s">
        <v>2237</v>
      </c>
      <c r="K256" s="5" t="e">
        <f>SUMIF(BC!$E$6:$E$347,$A256,BC!$K$6:$K$347)</f>
        <v>#REF!</v>
      </c>
      <c r="L256" s="5" t="e">
        <f>SUMIF(#REF!,$A256,#REF!)+SUMIF(#REF!,$A256,#REF!)</f>
        <v>#REF!</v>
      </c>
      <c r="M256" s="5" t="e">
        <f>SUMIF(#REF!,Casilleros!$A256,#REF!)+SUMIF(#REF!,Casilleros!$A256,#REF!)+SUMIF(#REF!,$A256,#REF!)</f>
        <v>#REF!</v>
      </c>
      <c r="N256" s="5" t="e">
        <f>SUMIF(#REF!,$A256,#REF!)</f>
        <v>#REF!</v>
      </c>
      <c r="O256" s="5" t="e">
        <f>SUMIF(#REF!,$A256,#REF!)+SUMIF(#REF!,$A256,#REF!)</f>
        <v>#REF!</v>
      </c>
      <c r="P256" s="5">
        <f>IFERROR(VLOOKUP($A256,#REF!,2,FALSE),0)</f>
        <v>0</v>
      </c>
      <c r="Q256" s="42" t="e">
        <f t="shared" si="3"/>
        <v>#REF!</v>
      </c>
    </row>
    <row r="257" spans="1:17" ht="15">
      <c r="A257" s="56" t="s">
        <v>505</v>
      </c>
      <c r="B257" s="7" t="s">
        <v>65</v>
      </c>
      <c r="C257" s="7" t="s">
        <v>501</v>
      </c>
      <c r="D257" s="7" t="s">
        <v>504</v>
      </c>
      <c r="E257" s="7" t="s">
        <v>444</v>
      </c>
      <c r="F257" s="7" t="s">
        <v>444</v>
      </c>
      <c r="G257" s="7" t="s">
        <v>444</v>
      </c>
      <c r="H257" s="7" t="s">
        <v>444</v>
      </c>
      <c r="I257" s="7" t="s">
        <v>1870</v>
      </c>
      <c r="J257" s="60" t="s">
        <v>2238</v>
      </c>
      <c r="K257" s="5">
        <f>SUMIF(BC!$E$6:$E$347,$A257,BC!$K$6:$K$347)</f>
        <v>0</v>
      </c>
      <c r="L257" s="5" t="e">
        <f>SUMIF(#REF!,$A257,#REF!)+SUMIF(#REF!,$A257,#REF!)</f>
        <v>#REF!</v>
      </c>
      <c r="M257" s="5" t="e">
        <f>SUMIF(#REF!,Casilleros!$A257,#REF!)+SUMIF(#REF!,Casilleros!$A257,#REF!)+SUMIF(#REF!,$A257,#REF!)</f>
        <v>#REF!</v>
      </c>
      <c r="N257" s="5" t="e">
        <f>SUMIF(#REF!,$A257,#REF!)</f>
        <v>#REF!</v>
      </c>
      <c r="O257" s="5" t="e">
        <f>SUMIF(#REF!,$A257,#REF!)+SUMIF(#REF!,$A257,#REF!)</f>
        <v>#REF!</v>
      </c>
      <c r="P257" s="5">
        <f>IFERROR(VLOOKUP($A257,#REF!,2,FALSE),0)</f>
        <v>0</v>
      </c>
      <c r="Q257" s="42" t="e">
        <f t="shared" si="3"/>
        <v>#REF!</v>
      </c>
    </row>
    <row r="258" spans="1:17" ht="15">
      <c r="A258" s="56" t="s">
        <v>507</v>
      </c>
      <c r="B258" s="7" t="s">
        <v>65</v>
      </c>
      <c r="C258" s="7" t="s">
        <v>501</v>
      </c>
      <c r="D258" s="7" t="s">
        <v>506</v>
      </c>
      <c r="E258" s="7" t="s">
        <v>444</v>
      </c>
      <c r="F258" s="7" t="s">
        <v>444</v>
      </c>
      <c r="G258" s="7" t="s">
        <v>444</v>
      </c>
      <c r="H258" s="7" t="s">
        <v>444</v>
      </c>
      <c r="I258" s="7" t="s">
        <v>1871</v>
      </c>
      <c r="J258" s="60" t="s">
        <v>2239</v>
      </c>
      <c r="K258" s="5">
        <f>SUMIF(BC!$E$6:$E$347,$A258,BC!$K$6:$K$347)</f>
        <v>0</v>
      </c>
      <c r="L258" s="5" t="e">
        <f>SUMIF(#REF!,$A258,#REF!)+SUMIF(#REF!,$A258,#REF!)</f>
        <v>#REF!</v>
      </c>
      <c r="M258" s="5" t="e">
        <f>SUMIF(#REF!,Casilleros!$A258,#REF!)+SUMIF(#REF!,Casilleros!$A258,#REF!)+SUMIF(#REF!,$A258,#REF!)</f>
        <v>#REF!</v>
      </c>
      <c r="N258" s="5" t="e">
        <f>SUMIF(#REF!,$A258,#REF!)</f>
        <v>#REF!</v>
      </c>
      <c r="O258" s="5" t="e">
        <f>SUMIF(#REF!,$A258,#REF!)+SUMIF(#REF!,$A258,#REF!)</f>
        <v>#REF!</v>
      </c>
      <c r="P258" s="5">
        <f>IFERROR(VLOOKUP($A258,#REF!,2,FALSE),0)</f>
        <v>0</v>
      </c>
      <c r="Q258" s="42" t="e">
        <f t="shared" si="3"/>
        <v>#REF!</v>
      </c>
    </row>
    <row r="259" spans="1:17">
      <c r="A259" s="56" t="s">
        <v>510</v>
      </c>
      <c r="B259" s="7" t="s">
        <v>65</v>
      </c>
      <c r="C259" s="7" t="s">
        <v>501</v>
      </c>
      <c r="D259" s="7" t="s">
        <v>508</v>
      </c>
      <c r="E259" s="7" t="s">
        <v>509</v>
      </c>
      <c r="F259" s="7" t="s">
        <v>444</v>
      </c>
      <c r="G259" s="7" t="s">
        <v>444</v>
      </c>
      <c r="H259" s="7" t="s">
        <v>444</v>
      </c>
      <c r="I259" s="7" t="s">
        <v>1872</v>
      </c>
      <c r="J259" s="1" t="s">
        <v>2240</v>
      </c>
      <c r="K259" s="5" t="e">
        <f>SUMIF(BC!$E$6:$E$347,$A259,BC!$K$6:$K$347)</f>
        <v>#REF!</v>
      </c>
      <c r="L259" s="5" t="e">
        <f>SUMIF(#REF!,$A259,#REF!)+SUMIF(#REF!,$A259,#REF!)</f>
        <v>#REF!</v>
      </c>
      <c r="M259" s="5" t="e">
        <f>SUMIF(#REF!,Casilleros!$A259,#REF!)+SUMIF(#REF!,Casilleros!$A259,#REF!)+SUMIF(#REF!,$A259,#REF!)</f>
        <v>#REF!</v>
      </c>
      <c r="N259" s="5" t="e">
        <f>SUMIF(#REF!,$A259,#REF!)</f>
        <v>#REF!</v>
      </c>
      <c r="O259" s="5" t="e">
        <f>SUMIF(#REF!,$A259,#REF!)+SUMIF(#REF!,$A259,#REF!)</f>
        <v>#REF!</v>
      </c>
      <c r="P259" s="5">
        <f>IFERROR(VLOOKUP($A259,#REF!,2,FALSE),0)</f>
        <v>0</v>
      </c>
      <c r="Q259" s="42" t="e">
        <f t="shared" si="3"/>
        <v>#REF!</v>
      </c>
    </row>
    <row r="260" spans="1:17">
      <c r="A260" s="56" t="s">
        <v>512</v>
      </c>
      <c r="B260" s="7" t="s">
        <v>65</v>
      </c>
      <c r="C260" s="7" t="s">
        <v>501</v>
      </c>
      <c r="D260" s="7" t="s">
        <v>508</v>
      </c>
      <c r="E260" s="7" t="s">
        <v>511</v>
      </c>
      <c r="F260" s="7" t="s">
        <v>444</v>
      </c>
      <c r="G260" s="7" t="s">
        <v>444</v>
      </c>
      <c r="H260" s="7" t="s">
        <v>444</v>
      </c>
      <c r="I260" s="7" t="s">
        <v>1873</v>
      </c>
      <c r="J260" s="1" t="s">
        <v>2240</v>
      </c>
      <c r="K260" s="5" t="e">
        <f>SUMIF(BC!$E$6:$E$347,$A260,BC!$K$6:$K$347)</f>
        <v>#REF!</v>
      </c>
      <c r="L260" s="5" t="e">
        <f>SUMIF(#REF!,$A260,#REF!)+SUMIF(#REF!,$A260,#REF!)</f>
        <v>#REF!</v>
      </c>
      <c r="M260" s="5" t="e">
        <f>SUMIF(#REF!,Casilleros!$A260,#REF!)+SUMIF(#REF!,Casilleros!$A260,#REF!)+SUMIF(#REF!,$A260,#REF!)</f>
        <v>#REF!</v>
      </c>
      <c r="N260" s="5" t="e">
        <f>SUMIF(#REF!,$A260,#REF!)</f>
        <v>#REF!</v>
      </c>
      <c r="O260" s="5" t="e">
        <f>SUMIF(#REF!,$A260,#REF!)+SUMIF(#REF!,$A260,#REF!)</f>
        <v>#REF!</v>
      </c>
      <c r="P260" s="5">
        <f>IFERROR(VLOOKUP($A260,#REF!,2,FALSE),0)</f>
        <v>0</v>
      </c>
      <c r="Q260" s="42" t="e">
        <f t="shared" si="3"/>
        <v>#REF!</v>
      </c>
    </row>
    <row r="261" spans="1:17">
      <c r="A261" s="56" t="s">
        <v>513</v>
      </c>
      <c r="B261" s="7" t="s">
        <v>65</v>
      </c>
      <c r="C261" s="7" t="s">
        <v>501</v>
      </c>
      <c r="D261" s="7" t="s">
        <v>508</v>
      </c>
      <c r="E261" s="7" t="s">
        <v>425</v>
      </c>
      <c r="F261" s="7" t="s">
        <v>444</v>
      </c>
      <c r="G261" s="7" t="s">
        <v>444</v>
      </c>
      <c r="H261" s="7" t="s">
        <v>444</v>
      </c>
      <c r="I261" s="7" t="s">
        <v>1874</v>
      </c>
      <c r="J261" s="1" t="s">
        <v>2240</v>
      </c>
      <c r="K261" s="5">
        <f>SUMIF(BC!$E$6:$E$347,$A261,BC!$K$6:$K$347)</f>
        <v>0</v>
      </c>
      <c r="L261" s="5" t="e">
        <f>SUMIF(#REF!,$A261,#REF!)+SUMIF(#REF!,$A261,#REF!)</f>
        <v>#REF!</v>
      </c>
      <c r="M261" s="5" t="e">
        <f>SUMIF(#REF!,Casilleros!$A261,#REF!)+SUMIF(#REF!,Casilleros!$A261,#REF!)+SUMIF(#REF!,$A261,#REF!)</f>
        <v>#REF!</v>
      </c>
      <c r="N261" s="5" t="e">
        <f>SUMIF(#REF!,$A261,#REF!)</f>
        <v>#REF!</v>
      </c>
      <c r="O261" s="5" t="e">
        <f>SUMIF(#REF!,$A261,#REF!)+SUMIF(#REF!,$A261,#REF!)</f>
        <v>#REF!</v>
      </c>
      <c r="P261" s="5">
        <f>IFERROR(VLOOKUP($A261,#REF!,2,FALSE),0)</f>
        <v>0</v>
      </c>
      <c r="Q261" s="42" t="e">
        <f t="shared" si="3"/>
        <v>#REF!</v>
      </c>
    </row>
    <row r="262" spans="1:17">
      <c r="A262" s="56" t="s">
        <v>516</v>
      </c>
      <c r="B262" s="7" t="s">
        <v>65</v>
      </c>
      <c r="C262" s="7" t="s">
        <v>501</v>
      </c>
      <c r="D262" s="7" t="s">
        <v>514</v>
      </c>
      <c r="E262" s="7" t="s">
        <v>515</v>
      </c>
      <c r="F262" s="7" t="s">
        <v>444</v>
      </c>
      <c r="G262" s="7" t="s">
        <v>444</v>
      </c>
      <c r="H262" s="7" t="s">
        <v>444</v>
      </c>
      <c r="I262" s="7" t="s">
        <v>1875</v>
      </c>
      <c r="J262" s="1" t="s">
        <v>2241</v>
      </c>
      <c r="K262" s="5" t="e">
        <f>SUMIF(BC!$E$6:$E$347,$A262,BC!$K$6:$K$347)</f>
        <v>#REF!</v>
      </c>
      <c r="L262" s="5" t="e">
        <f>SUMIF(#REF!,$A262,#REF!)+SUMIF(#REF!,$A262,#REF!)</f>
        <v>#REF!</v>
      </c>
      <c r="M262" s="5" t="e">
        <f>SUMIF(#REF!,Casilleros!$A262,#REF!)+SUMIF(#REF!,Casilleros!$A262,#REF!)+SUMIF(#REF!,$A262,#REF!)</f>
        <v>#REF!</v>
      </c>
      <c r="N262" s="5" t="e">
        <f>SUMIF(#REF!,$A262,#REF!)</f>
        <v>#REF!</v>
      </c>
      <c r="O262" s="5" t="e">
        <f>SUMIF(#REF!,$A262,#REF!)+SUMIF(#REF!,$A262,#REF!)</f>
        <v>#REF!</v>
      </c>
      <c r="P262" s="5">
        <f>IFERROR(VLOOKUP($A262,#REF!,2,FALSE),0)</f>
        <v>0</v>
      </c>
      <c r="Q262" s="42" t="e">
        <f t="shared" ref="Q262:Q325" si="4">SUM(K262:P262)</f>
        <v>#REF!</v>
      </c>
    </row>
    <row r="263" spans="1:17">
      <c r="A263" s="56" t="s">
        <v>518</v>
      </c>
      <c r="B263" s="7" t="s">
        <v>65</v>
      </c>
      <c r="C263" s="7" t="s">
        <v>501</v>
      </c>
      <c r="D263" s="7" t="s">
        <v>514</v>
      </c>
      <c r="E263" s="7" t="s">
        <v>517</v>
      </c>
      <c r="F263" s="7" t="s">
        <v>444</v>
      </c>
      <c r="G263" s="7" t="s">
        <v>444</v>
      </c>
      <c r="H263" s="7" t="s">
        <v>444</v>
      </c>
      <c r="I263" s="7" t="s">
        <v>1876</v>
      </c>
      <c r="J263" s="1" t="s">
        <v>2241</v>
      </c>
      <c r="K263" s="5">
        <f>SUMIF(BC!$E$6:$E$347,$A263,BC!$K$6:$K$347)</f>
        <v>0</v>
      </c>
      <c r="L263" s="5" t="e">
        <f>SUMIF(#REF!,$A263,#REF!)+SUMIF(#REF!,$A263,#REF!)</f>
        <v>#REF!</v>
      </c>
      <c r="M263" s="5" t="e">
        <f>SUMIF(#REF!,Casilleros!$A263,#REF!)+SUMIF(#REF!,Casilleros!$A263,#REF!)+SUMIF(#REF!,$A263,#REF!)</f>
        <v>#REF!</v>
      </c>
      <c r="N263" s="5" t="e">
        <f>SUMIF(#REF!,$A263,#REF!)</f>
        <v>#REF!</v>
      </c>
      <c r="O263" s="5" t="e">
        <f>SUMIF(#REF!,$A263,#REF!)+SUMIF(#REF!,$A263,#REF!)</f>
        <v>#REF!</v>
      </c>
      <c r="P263" s="5">
        <f>IFERROR(VLOOKUP($A263,#REF!,2,FALSE),0)</f>
        <v>0</v>
      </c>
      <c r="Q263" s="42" t="e">
        <f t="shared" si="4"/>
        <v>#REF!</v>
      </c>
    </row>
    <row r="264" spans="1:17">
      <c r="A264" s="56" t="s">
        <v>520</v>
      </c>
      <c r="B264" s="7" t="s">
        <v>65</v>
      </c>
      <c r="C264" s="7" t="s">
        <v>501</v>
      </c>
      <c r="D264" s="7" t="s">
        <v>514</v>
      </c>
      <c r="E264" s="7" t="s">
        <v>519</v>
      </c>
      <c r="F264" s="7" t="s">
        <v>444</v>
      </c>
      <c r="G264" s="7" t="s">
        <v>444</v>
      </c>
      <c r="H264" s="7" t="s">
        <v>444</v>
      </c>
      <c r="I264" s="7" t="s">
        <v>1877</v>
      </c>
      <c r="J264" s="1" t="s">
        <v>2241</v>
      </c>
      <c r="K264" s="5">
        <f>SUMIF(BC!$E$6:$E$347,$A264,BC!$K$6:$K$347)</f>
        <v>0</v>
      </c>
      <c r="L264" s="5" t="e">
        <f>SUMIF(#REF!,$A264,#REF!)+SUMIF(#REF!,$A264,#REF!)</f>
        <v>#REF!</v>
      </c>
      <c r="M264" s="5" t="e">
        <f>SUMIF(#REF!,Casilleros!$A264,#REF!)+SUMIF(#REF!,Casilleros!$A264,#REF!)+SUMIF(#REF!,$A264,#REF!)</f>
        <v>#REF!</v>
      </c>
      <c r="N264" s="5" t="e">
        <f>SUMIF(#REF!,$A264,#REF!)</f>
        <v>#REF!</v>
      </c>
      <c r="O264" s="5" t="e">
        <f>SUMIF(#REF!,$A264,#REF!)+SUMIF(#REF!,$A264,#REF!)</f>
        <v>#REF!</v>
      </c>
      <c r="P264" s="5">
        <f>IFERROR(VLOOKUP($A264,#REF!,2,FALSE),0)</f>
        <v>0</v>
      </c>
      <c r="Q264" s="42" t="e">
        <f t="shared" si="4"/>
        <v>#REF!</v>
      </c>
    </row>
    <row r="265" spans="1:17">
      <c r="A265" s="56" t="s">
        <v>522</v>
      </c>
      <c r="B265" s="7" t="s">
        <v>65</v>
      </c>
      <c r="C265" s="7" t="s">
        <v>501</v>
      </c>
      <c r="D265" s="7" t="s">
        <v>514</v>
      </c>
      <c r="E265" s="7" t="s">
        <v>521</v>
      </c>
      <c r="F265" s="7" t="s">
        <v>444</v>
      </c>
      <c r="G265" s="7" t="s">
        <v>444</v>
      </c>
      <c r="H265" s="7" t="s">
        <v>444</v>
      </c>
      <c r="I265" s="7" t="s">
        <v>1878</v>
      </c>
      <c r="J265" s="1" t="s">
        <v>2241</v>
      </c>
      <c r="K265" s="5">
        <f>SUMIF(BC!$E$6:$E$347,$A265,BC!$K$6:$K$347)</f>
        <v>0</v>
      </c>
      <c r="L265" s="5" t="e">
        <f>SUMIF(#REF!,$A265,#REF!)+SUMIF(#REF!,$A265,#REF!)</f>
        <v>#REF!</v>
      </c>
      <c r="M265" s="5" t="e">
        <f>SUMIF(#REF!,Casilleros!$A265,#REF!)+SUMIF(#REF!,Casilleros!$A265,#REF!)+SUMIF(#REF!,$A265,#REF!)</f>
        <v>#REF!</v>
      </c>
      <c r="N265" s="5" t="e">
        <f>SUMIF(#REF!,$A265,#REF!)</f>
        <v>#REF!</v>
      </c>
      <c r="O265" s="5" t="e">
        <f>SUMIF(#REF!,$A265,#REF!)+SUMIF(#REF!,$A265,#REF!)</f>
        <v>#REF!</v>
      </c>
      <c r="P265" s="5">
        <f>IFERROR(VLOOKUP($A265,#REF!,2,FALSE),0)</f>
        <v>0</v>
      </c>
      <c r="Q265" s="42" t="e">
        <f t="shared" si="4"/>
        <v>#REF!</v>
      </c>
    </row>
    <row r="266" spans="1:17">
      <c r="A266" s="56" t="s">
        <v>524</v>
      </c>
      <c r="B266" s="7" t="s">
        <v>65</v>
      </c>
      <c r="C266" s="7" t="s">
        <v>501</v>
      </c>
      <c r="D266" s="7" t="s">
        <v>514</v>
      </c>
      <c r="E266" s="7" t="s">
        <v>523</v>
      </c>
      <c r="F266" s="7" t="s">
        <v>444</v>
      </c>
      <c r="G266" s="7" t="s">
        <v>444</v>
      </c>
      <c r="H266" s="7" t="s">
        <v>444</v>
      </c>
      <c r="I266" s="7" t="s">
        <v>1879</v>
      </c>
      <c r="J266" s="1" t="s">
        <v>2241</v>
      </c>
      <c r="K266" s="5" t="e">
        <f>SUMIF(BC!$E$6:$E$347,$A266,BC!$K$6:$K$347)</f>
        <v>#REF!</v>
      </c>
      <c r="L266" s="5" t="e">
        <f>SUMIF(#REF!,$A266,#REF!)+SUMIF(#REF!,$A266,#REF!)</f>
        <v>#REF!</v>
      </c>
      <c r="M266" s="5" t="e">
        <f>SUMIF(#REF!,Casilleros!$A266,#REF!)+SUMIF(#REF!,Casilleros!$A266,#REF!)+SUMIF(#REF!,$A266,#REF!)</f>
        <v>#REF!</v>
      </c>
      <c r="N266" s="5" t="e">
        <f>SUMIF(#REF!,$A266,#REF!)</f>
        <v>#REF!</v>
      </c>
      <c r="O266" s="5" t="e">
        <f>SUMIF(#REF!,$A266,#REF!)+SUMIF(#REF!,$A266,#REF!)</f>
        <v>#REF!</v>
      </c>
      <c r="P266" s="5">
        <f>IFERROR(VLOOKUP($A266,#REF!,2,FALSE),0)</f>
        <v>0</v>
      </c>
      <c r="Q266" s="42" t="e">
        <f t="shared" si="4"/>
        <v>#REF!</v>
      </c>
    </row>
    <row r="267" spans="1:17">
      <c r="A267" s="56" t="s">
        <v>526</v>
      </c>
      <c r="B267" s="7" t="s">
        <v>65</v>
      </c>
      <c r="C267" s="7" t="s">
        <v>501</v>
      </c>
      <c r="D267" s="7" t="s">
        <v>514</v>
      </c>
      <c r="E267" s="7" t="s">
        <v>525</v>
      </c>
      <c r="F267" s="7" t="s">
        <v>444</v>
      </c>
      <c r="G267" s="7" t="s">
        <v>444</v>
      </c>
      <c r="H267" s="7" t="s">
        <v>444</v>
      </c>
      <c r="I267" s="7" t="s">
        <v>1880</v>
      </c>
      <c r="J267" s="1" t="s">
        <v>2241</v>
      </c>
      <c r="K267" s="5">
        <f>SUMIF(BC!$E$6:$E$347,$A267,BC!$K$6:$K$347)</f>
        <v>0</v>
      </c>
      <c r="L267" s="5" t="e">
        <f>SUMIF(#REF!,$A267,#REF!)+SUMIF(#REF!,$A267,#REF!)</f>
        <v>#REF!</v>
      </c>
      <c r="M267" s="5" t="e">
        <f>SUMIF(#REF!,Casilleros!$A267,#REF!)+SUMIF(#REF!,Casilleros!$A267,#REF!)+SUMIF(#REF!,$A267,#REF!)</f>
        <v>#REF!</v>
      </c>
      <c r="N267" s="5" t="e">
        <f>SUMIF(#REF!,$A267,#REF!)</f>
        <v>#REF!</v>
      </c>
      <c r="O267" s="5" t="e">
        <f>SUMIF(#REF!,$A267,#REF!)+SUMIF(#REF!,$A267,#REF!)</f>
        <v>#REF!</v>
      </c>
      <c r="P267" s="5">
        <f>IFERROR(VLOOKUP($A267,#REF!,2,FALSE),0)</f>
        <v>0</v>
      </c>
      <c r="Q267" s="42" t="e">
        <f t="shared" si="4"/>
        <v>#REF!</v>
      </c>
    </row>
    <row r="268" spans="1:17">
      <c r="A268" s="56" t="s">
        <v>528</v>
      </c>
      <c r="B268" s="7" t="s">
        <v>65</v>
      </c>
      <c r="C268" s="7" t="s">
        <v>501</v>
      </c>
      <c r="D268" s="7" t="s">
        <v>514</v>
      </c>
      <c r="E268" s="7" t="s">
        <v>527</v>
      </c>
      <c r="F268" s="7" t="s">
        <v>444</v>
      </c>
      <c r="G268" s="7" t="s">
        <v>444</v>
      </c>
      <c r="H268" s="7" t="s">
        <v>444</v>
      </c>
      <c r="I268" s="7" t="s">
        <v>1881</v>
      </c>
      <c r="J268" s="1" t="s">
        <v>2241</v>
      </c>
      <c r="K268" s="5">
        <f>SUMIF(BC!$E$6:$E$347,$A268,BC!$K$6:$K$347)</f>
        <v>0</v>
      </c>
      <c r="L268" s="5" t="e">
        <f>SUMIF(#REF!,$A268,#REF!)+SUMIF(#REF!,$A268,#REF!)</f>
        <v>#REF!</v>
      </c>
      <c r="M268" s="5" t="e">
        <f>SUMIF(#REF!,Casilleros!$A268,#REF!)+SUMIF(#REF!,Casilleros!$A268,#REF!)+SUMIF(#REF!,$A268,#REF!)</f>
        <v>#REF!</v>
      </c>
      <c r="N268" s="5" t="e">
        <f>SUMIF(#REF!,$A268,#REF!)</f>
        <v>#REF!</v>
      </c>
      <c r="O268" s="5" t="e">
        <f>SUMIF(#REF!,$A268,#REF!)+SUMIF(#REF!,$A268,#REF!)</f>
        <v>#REF!</v>
      </c>
      <c r="P268" s="5">
        <f>IFERROR(VLOOKUP($A268,#REF!,2,FALSE),0)</f>
        <v>0</v>
      </c>
      <c r="Q268" s="42" t="e">
        <f t="shared" si="4"/>
        <v>#REF!</v>
      </c>
    </row>
    <row r="269" spans="1:17">
      <c r="A269" s="56" t="s">
        <v>530</v>
      </c>
      <c r="B269" s="7" t="s">
        <v>65</v>
      </c>
      <c r="C269" s="7" t="s">
        <v>501</v>
      </c>
      <c r="D269" s="7" t="s">
        <v>514</v>
      </c>
      <c r="E269" s="7" t="s">
        <v>529</v>
      </c>
      <c r="F269" s="7" t="s">
        <v>444</v>
      </c>
      <c r="G269" s="7" t="s">
        <v>444</v>
      </c>
      <c r="H269" s="7" t="s">
        <v>444</v>
      </c>
      <c r="I269" s="7" t="s">
        <v>1882</v>
      </c>
      <c r="J269" s="1" t="s">
        <v>2241</v>
      </c>
      <c r="K269" s="5" t="e">
        <f>SUMIF(BC!$E$6:$E$347,$A269,BC!$K$6:$K$347)</f>
        <v>#REF!</v>
      </c>
      <c r="L269" s="5" t="e">
        <f>SUMIF(#REF!,$A269,#REF!)+SUMIF(#REF!,$A269,#REF!)</f>
        <v>#REF!</v>
      </c>
      <c r="M269" s="5" t="e">
        <f>SUMIF(#REF!,Casilleros!$A269,#REF!)+SUMIF(#REF!,Casilleros!$A269,#REF!)+SUMIF(#REF!,$A269,#REF!)</f>
        <v>#REF!</v>
      </c>
      <c r="N269" s="5" t="e">
        <f>SUMIF(#REF!,$A269,#REF!)</f>
        <v>#REF!</v>
      </c>
      <c r="O269" s="5" t="e">
        <f>SUMIF(#REF!,$A269,#REF!)+SUMIF(#REF!,$A269,#REF!)</f>
        <v>#REF!</v>
      </c>
      <c r="P269" s="5">
        <f>IFERROR(VLOOKUP($A269,#REF!,2,FALSE),0)</f>
        <v>0</v>
      </c>
      <c r="Q269" s="42" t="e">
        <f t="shared" si="4"/>
        <v>#REF!</v>
      </c>
    </row>
    <row r="270" spans="1:17">
      <c r="A270" s="56" t="s">
        <v>532</v>
      </c>
      <c r="B270" s="7" t="s">
        <v>65</v>
      </c>
      <c r="C270" s="7" t="s">
        <v>501</v>
      </c>
      <c r="D270" s="7" t="s">
        <v>514</v>
      </c>
      <c r="E270" s="7" t="s">
        <v>531</v>
      </c>
      <c r="F270" s="7" t="s">
        <v>444</v>
      </c>
      <c r="G270" s="7" t="s">
        <v>444</v>
      </c>
      <c r="H270" s="7" t="s">
        <v>444</v>
      </c>
      <c r="I270" s="7" t="s">
        <v>1883</v>
      </c>
      <c r="J270" s="1" t="s">
        <v>2241</v>
      </c>
      <c r="K270" s="5" t="e">
        <f>SUMIF(BC!$E$6:$E$347,$A270,BC!$K$6:$K$347)</f>
        <v>#REF!</v>
      </c>
      <c r="L270" s="5" t="e">
        <f>SUMIF(#REF!,$A270,#REF!)+SUMIF(#REF!,$A270,#REF!)</f>
        <v>#REF!</v>
      </c>
      <c r="M270" s="5" t="e">
        <f>SUMIF(#REF!,Casilleros!$A270,#REF!)+SUMIF(#REF!,Casilleros!$A270,#REF!)+SUMIF(#REF!,$A270,#REF!)</f>
        <v>#REF!</v>
      </c>
      <c r="N270" s="5" t="e">
        <f>SUMIF(#REF!,$A270,#REF!)</f>
        <v>#REF!</v>
      </c>
      <c r="O270" s="5" t="e">
        <f>SUMIF(#REF!,$A270,#REF!)+SUMIF(#REF!,$A270,#REF!)</f>
        <v>#REF!</v>
      </c>
      <c r="P270" s="5">
        <f>IFERROR(VLOOKUP($A270,#REF!,2,FALSE),0)</f>
        <v>0</v>
      </c>
      <c r="Q270" s="42" t="e">
        <f t="shared" si="4"/>
        <v>#REF!</v>
      </c>
    </row>
    <row r="271" spans="1:17">
      <c r="A271" s="56" t="s">
        <v>534</v>
      </c>
      <c r="B271" s="7" t="s">
        <v>65</v>
      </c>
      <c r="C271" s="7" t="s">
        <v>501</v>
      </c>
      <c r="D271" s="7" t="s">
        <v>514</v>
      </c>
      <c r="E271" s="7" t="s">
        <v>533</v>
      </c>
      <c r="F271" s="7" t="s">
        <v>444</v>
      </c>
      <c r="G271" s="7" t="s">
        <v>444</v>
      </c>
      <c r="H271" s="7" t="s">
        <v>444</v>
      </c>
      <c r="I271" s="7" t="s">
        <v>1884</v>
      </c>
      <c r="J271" s="1" t="s">
        <v>2241</v>
      </c>
      <c r="K271" s="5">
        <f>SUMIF(BC!$E$6:$E$347,$A271,BC!$K$6:$K$347)</f>
        <v>0</v>
      </c>
      <c r="L271" s="5" t="e">
        <f>SUMIF(#REF!,$A271,#REF!)+SUMIF(#REF!,$A271,#REF!)</f>
        <v>#REF!</v>
      </c>
      <c r="M271" s="5" t="e">
        <f>SUMIF(#REF!,Casilleros!$A271,#REF!)+SUMIF(#REF!,Casilleros!$A271,#REF!)+SUMIF(#REF!,$A271,#REF!)</f>
        <v>#REF!</v>
      </c>
      <c r="N271" s="5" t="e">
        <f>SUMIF(#REF!,$A271,#REF!)</f>
        <v>#REF!</v>
      </c>
      <c r="O271" s="5" t="e">
        <f>SUMIF(#REF!,$A271,#REF!)+SUMIF(#REF!,$A271,#REF!)</f>
        <v>#REF!</v>
      </c>
      <c r="P271" s="5">
        <f>IFERROR(VLOOKUP($A271,#REF!,2,FALSE),0)</f>
        <v>0</v>
      </c>
      <c r="Q271" s="42" t="e">
        <f t="shared" si="4"/>
        <v>#REF!</v>
      </c>
    </row>
    <row r="272" spans="1:17">
      <c r="A272" s="56" t="s">
        <v>536</v>
      </c>
      <c r="B272" s="7" t="s">
        <v>65</v>
      </c>
      <c r="C272" s="7" t="s">
        <v>501</v>
      </c>
      <c r="D272" s="7" t="s">
        <v>514</v>
      </c>
      <c r="E272" s="7" t="s">
        <v>535</v>
      </c>
      <c r="F272" s="7" t="s">
        <v>444</v>
      </c>
      <c r="G272" s="7" t="s">
        <v>444</v>
      </c>
      <c r="H272" s="7" t="s">
        <v>444</v>
      </c>
      <c r="I272" s="7" t="s">
        <v>1885</v>
      </c>
      <c r="J272" s="1" t="s">
        <v>2241</v>
      </c>
      <c r="K272" s="5">
        <f>SUMIF(BC!$E$6:$E$347,$A272,BC!$K$6:$K$347)</f>
        <v>0</v>
      </c>
      <c r="L272" s="5" t="e">
        <f>SUMIF(#REF!,$A272,#REF!)+SUMIF(#REF!,$A272,#REF!)</f>
        <v>#REF!</v>
      </c>
      <c r="M272" s="5" t="e">
        <f>SUMIF(#REF!,Casilleros!$A272,#REF!)+SUMIF(#REF!,Casilleros!$A272,#REF!)+SUMIF(#REF!,$A272,#REF!)</f>
        <v>#REF!</v>
      </c>
      <c r="N272" s="5" t="e">
        <f>SUMIF(#REF!,$A272,#REF!)</f>
        <v>#REF!</v>
      </c>
      <c r="O272" s="5" t="e">
        <f>SUMIF(#REF!,$A272,#REF!)+SUMIF(#REF!,$A272,#REF!)</f>
        <v>#REF!</v>
      </c>
      <c r="P272" s="5">
        <f>IFERROR(VLOOKUP($A272,#REF!,2,FALSE),0)</f>
        <v>0</v>
      </c>
      <c r="Q272" s="42" t="e">
        <f t="shared" si="4"/>
        <v>#REF!</v>
      </c>
    </row>
    <row r="273" spans="1:17" ht="15">
      <c r="A273" s="56" t="s">
        <v>540</v>
      </c>
      <c r="B273" s="7" t="s">
        <v>65</v>
      </c>
      <c r="C273" s="7" t="s">
        <v>501</v>
      </c>
      <c r="D273" s="7" t="s">
        <v>537</v>
      </c>
      <c r="E273" s="7" t="s">
        <v>538</v>
      </c>
      <c r="F273" s="7" t="s">
        <v>539</v>
      </c>
      <c r="G273" s="7" t="s">
        <v>444</v>
      </c>
      <c r="H273" s="7" t="s">
        <v>444</v>
      </c>
      <c r="I273" s="7" t="s">
        <v>1886</v>
      </c>
      <c r="J273" s="60" t="s">
        <v>2242</v>
      </c>
      <c r="K273" s="5" t="e">
        <f>SUMIF(BC!$E$6:$E$347,$A273,BC!$K$6:$K$347)</f>
        <v>#REF!</v>
      </c>
      <c r="L273" s="5" t="e">
        <f>SUMIF(#REF!,$A273,#REF!)+SUMIF(#REF!,$A273,#REF!)</f>
        <v>#REF!</v>
      </c>
      <c r="M273" s="5" t="e">
        <f>SUMIF(#REF!,Casilleros!$A273,#REF!)+SUMIF(#REF!,Casilleros!$A273,#REF!)+SUMIF(#REF!,$A273,#REF!)</f>
        <v>#REF!</v>
      </c>
      <c r="N273" s="5" t="e">
        <f>SUMIF(#REF!,$A273,#REF!)</f>
        <v>#REF!</v>
      </c>
      <c r="O273" s="5" t="e">
        <f>SUMIF(#REF!,$A273,#REF!)+SUMIF(#REF!,$A273,#REF!)</f>
        <v>#REF!</v>
      </c>
      <c r="P273" s="5">
        <f>IFERROR(VLOOKUP($A273,#REF!,2,FALSE),0)</f>
        <v>0</v>
      </c>
      <c r="Q273" s="42" t="e">
        <f t="shared" si="4"/>
        <v>#REF!</v>
      </c>
    </row>
    <row r="274" spans="1:17" ht="15">
      <c r="A274" s="56" t="s">
        <v>542</v>
      </c>
      <c r="B274" s="7" t="s">
        <v>65</v>
      </c>
      <c r="C274" s="7" t="s">
        <v>501</v>
      </c>
      <c r="D274" s="7" t="s">
        <v>537</v>
      </c>
      <c r="E274" s="7" t="s">
        <v>538</v>
      </c>
      <c r="F274" s="7" t="s">
        <v>541</v>
      </c>
      <c r="G274" s="7" t="s">
        <v>444</v>
      </c>
      <c r="H274" s="7" t="s">
        <v>444</v>
      </c>
      <c r="I274" s="7" t="s">
        <v>1887</v>
      </c>
      <c r="J274" s="60" t="s">
        <v>2242</v>
      </c>
      <c r="K274" s="5">
        <f>SUMIF(BC!$E$6:$E$347,$A274,BC!$K$6:$K$347)</f>
        <v>0</v>
      </c>
      <c r="L274" s="5" t="e">
        <f>SUMIF(#REF!,$A274,#REF!)+SUMIF(#REF!,$A274,#REF!)</f>
        <v>#REF!</v>
      </c>
      <c r="M274" s="5" t="e">
        <f>SUMIF(#REF!,Casilleros!$A274,#REF!)+SUMIF(#REF!,Casilleros!$A274,#REF!)+SUMIF(#REF!,$A274,#REF!)</f>
        <v>#REF!</v>
      </c>
      <c r="N274" s="5" t="e">
        <f>SUMIF(#REF!,$A274,#REF!)</f>
        <v>#REF!</v>
      </c>
      <c r="O274" s="5" t="e">
        <f>SUMIF(#REF!,$A274,#REF!)+SUMIF(#REF!,$A274,#REF!)</f>
        <v>#REF!</v>
      </c>
      <c r="P274" s="5">
        <f>IFERROR(VLOOKUP($A274,#REF!,2,FALSE),0)</f>
        <v>0</v>
      </c>
      <c r="Q274" s="42" t="e">
        <f t="shared" si="4"/>
        <v>#REF!</v>
      </c>
    </row>
    <row r="275" spans="1:17" ht="15">
      <c r="A275" s="56" t="s">
        <v>543</v>
      </c>
      <c r="B275" s="7" t="s">
        <v>65</v>
      </c>
      <c r="C275" s="7" t="s">
        <v>501</v>
      </c>
      <c r="D275" s="7" t="s">
        <v>537</v>
      </c>
      <c r="E275" s="7" t="s">
        <v>538</v>
      </c>
      <c r="F275" s="7" t="s">
        <v>122</v>
      </c>
      <c r="G275" s="7" t="s">
        <v>444</v>
      </c>
      <c r="H275" s="7" t="s">
        <v>444</v>
      </c>
      <c r="I275" s="7" t="s">
        <v>1888</v>
      </c>
      <c r="J275" s="60" t="s">
        <v>2242</v>
      </c>
      <c r="K275" s="5">
        <f>SUMIF(BC!$E$6:$E$347,$A275,BC!$K$6:$K$347)</f>
        <v>0</v>
      </c>
      <c r="L275" s="5" t="e">
        <f>SUMIF(#REF!,$A275,#REF!)+SUMIF(#REF!,$A275,#REF!)</f>
        <v>#REF!</v>
      </c>
      <c r="M275" s="5" t="e">
        <f>SUMIF(#REF!,Casilleros!$A275,#REF!)+SUMIF(#REF!,Casilleros!$A275,#REF!)+SUMIF(#REF!,$A275,#REF!)</f>
        <v>#REF!</v>
      </c>
      <c r="N275" s="5" t="e">
        <f>SUMIF(#REF!,$A275,#REF!)</f>
        <v>#REF!</v>
      </c>
      <c r="O275" s="5" t="e">
        <f>SUMIF(#REF!,$A275,#REF!)+SUMIF(#REF!,$A275,#REF!)</f>
        <v>#REF!</v>
      </c>
      <c r="P275" s="5">
        <f>IFERROR(VLOOKUP($A275,#REF!,2,FALSE),0)</f>
        <v>0</v>
      </c>
      <c r="Q275" s="42" t="e">
        <f t="shared" si="4"/>
        <v>#REF!</v>
      </c>
    </row>
    <row r="276" spans="1:17" ht="15">
      <c r="A276" s="56" t="s">
        <v>545</v>
      </c>
      <c r="B276" s="7" t="s">
        <v>65</v>
      </c>
      <c r="C276" s="7" t="s">
        <v>501</v>
      </c>
      <c r="D276" s="7" t="s">
        <v>537</v>
      </c>
      <c r="E276" s="7" t="s">
        <v>544</v>
      </c>
      <c r="F276" s="7" t="s">
        <v>444</v>
      </c>
      <c r="G276" s="7" t="s">
        <v>444</v>
      </c>
      <c r="H276" s="7" t="s">
        <v>444</v>
      </c>
      <c r="I276" s="7" t="s">
        <v>1889</v>
      </c>
      <c r="J276" s="60" t="s">
        <v>2242</v>
      </c>
      <c r="K276" s="5">
        <f>SUMIF(BC!$E$6:$E$347,$A276,BC!$K$6:$K$347)</f>
        <v>0</v>
      </c>
      <c r="L276" s="5" t="e">
        <f>SUMIF(#REF!,$A276,#REF!)+SUMIF(#REF!,$A276,#REF!)</f>
        <v>#REF!</v>
      </c>
      <c r="M276" s="5" t="e">
        <f>SUMIF(#REF!,Casilleros!$A276,#REF!)+SUMIF(#REF!,Casilleros!$A276,#REF!)+SUMIF(#REF!,$A276,#REF!)</f>
        <v>#REF!</v>
      </c>
      <c r="N276" s="5" t="e">
        <f>SUMIF(#REF!,$A276,#REF!)</f>
        <v>#REF!</v>
      </c>
      <c r="O276" s="5" t="e">
        <f>SUMIF(#REF!,$A276,#REF!)+SUMIF(#REF!,$A276,#REF!)</f>
        <v>#REF!</v>
      </c>
      <c r="P276" s="5">
        <f>IFERROR(VLOOKUP($A276,#REF!,2,FALSE),0)</f>
        <v>0</v>
      </c>
      <c r="Q276" s="42" t="e">
        <f t="shared" si="4"/>
        <v>#REF!</v>
      </c>
    </row>
    <row r="277" spans="1:17" ht="15">
      <c r="A277" s="56" t="s">
        <v>547</v>
      </c>
      <c r="B277" s="7" t="s">
        <v>65</v>
      </c>
      <c r="C277" s="7" t="s">
        <v>501</v>
      </c>
      <c r="D277" s="7" t="s">
        <v>537</v>
      </c>
      <c r="E277" s="7" t="s">
        <v>546</v>
      </c>
      <c r="F277" s="7" t="s">
        <v>444</v>
      </c>
      <c r="G277" s="7" t="s">
        <v>444</v>
      </c>
      <c r="H277" s="7" t="s">
        <v>444</v>
      </c>
      <c r="I277" s="7" t="s">
        <v>1890</v>
      </c>
      <c r="J277" s="60" t="s">
        <v>2242</v>
      </c>
      <c r="K277" s="5">
        <f>SUMIF(BC!$E$6:$E$347,$A277,BC!$K$6:$K$347)</f>
        <v>0</v>
      </c>
      <c r="L277" s="5" t="e">
        <f>SUMIF(#REF!,$A277,#REF!)+SUMIF(#REF!,$A277,#REF!)</f>
        <v>#REF!</v>
      </c>
      <c r="M277" s="5" t="e">
        <f>SUMIF(#REF!,Casilleros!$A277,#REF!)+SUMIF(#REF!,Casilleros!$A277,#REF!)+SUMIF(#REF!,$A277,#REF!)</f>
        <v>#REF!</v>
      </c>
      <c r="N277" s="5" t="e">
        <f>SUMIF(#REF!,$A277,#REF!)</f>
        <v>#REF!</v>
      </c>
      <c r="O277" s="5" t="e">
        <f>SUMIF(#REF!,$A277,#REF!)+SUMIF(#REF!,$A277,#REF!)</f>
        <v>#REF!</v>
      </c>
      <c r="P277" s="5">
        <f>IFERROR(VLOOKUP($A277,#REF!,2,FALSE),0)</f>
        <v>0</v>
      </c>
      <c r="Q277" s="42" t="e">
        <f t="shared" si="4"/>
        <v>#REF!</v>
      </c>
    </row>
    <row r="278" spans="1:17" ht="15">
      <c r="A278" s="56" t="s">
        <v>549</v>
      </c>
      <c r="B278" s="7" t="s">
        <v>65</v>
      </c>
      <c r="C278" s="7" t="s">
        <v>501</v>
      </c>
      <c r="D278" s="7" t="s">
        <v>537</v>
      </c>
      <c r="E278" s="7" t="s">
        <v>548</v>
      </c>
      <c r="F278" s="7" t="s">
        <v>444</v>
      </c>
      <c r="G278" s="7" t="s">
        <v>444</v>
      </c>
      <c r="H278" s="7" t="s">
        <v>444</v>
      </c>
      <c r="I278" s="7" t="s">
        <v>1891</v>
      </c>
      <c r="J278" s="60" t="s">
        <v>2242</v>
      </c>
      <c r="K278" s="5">
        <f>SUMIF(BC!$E$6:$E$347,$A278,BC!$K$6:$K$347)</f>
        <v>0</v>
      </c>
      <c r="L278" s="5" t="e">
        <f>SUMIF(#REF!,$A278,#REF!)+SUMIF(#REF!,$A278,#REF!)</f>
        <v>#REF!</v>
      </c>
      <c r="M278" s="5" t="e">
        <f>SUMIF(#REF!,Casilleros!$A278,#REF!)+SUMIF(#REF!,Casilleros!$A278,#REF!)+SUMIF(#REF!,$A278,#REF!)</f>
        <v>#REF!</v>
      </c>
      <c r="N278" s="5" t="e">
        <f>SUMIF(#REF!,$A278,#REF!)</f>
        <v>#REF!</v>
      </c>
      <c r="O278" s="5" t="e">
        <f>SUMIF(#REF!,$A278,#REF!)+SUMIF(#REF!,$A278,#REF!)</f>
        <v>#REF!</v>
      </c>
      <c r="P278" s="5">
        <f>IFERROR(VLOOKUP($A278,#REF!,2,FALSE),0)</f>
        <v>0</v>
      </c>
      <c r="Q278" s="42" t="e">
        <f t="shared" si="4"/>
        <v>#REF!</v>
      </c>
    </row>
    <row r="279" spans="1:17" ht="15">
      <c r="A279" s="56" t="s">
        <v>551</v>
      </c>
      <c r="B279" s="7" t="s">
        <v>65</v>
      </c>
      <c r="C279" s="7" t="s">
        <v>501</v>
      </c>
      <c r="D279" s="7" t="s">
        <v>537</v>
      </c>
      <c r="E279" s="7" t="s">
        <v>550</v>
      </c>
      <c r="F279" s="7" t="s">
        <v>444</v>
      </c>
      <c r="G279" s="7" t="s">
        <v>444</v>
      </c>
      <c r="H279" s="7" t="s">
        <v>444</v>
      </c>
      <c r="I279" s="7" t="s">
        <v>1892</v>
      </c>
      <c r="J279" s="60" t="s">
        <v>2242</v>
      </c>
      <c r="K279" s="5">
        <f>SUMIF(BC!$E$6:$E$347,$A279,BC!$K$6:$K$347)</f>
        <v>0</v>
      </c>
      <c r="L279" s="5" t="e">
        <f>SUMIF(#REF!,$A279,#REF!)+SUMIF(#REF!,$A279,#REF!)</f>
        <v>#REF!</v>
      </c>
      <c r="M279" s="5" t="e">
        <f>SUMIF(#REF!,Casilleros!$A279,#REF!)+SUMIF(#REF!,Casilleros!$A279,#REF!)+SUMIF(#REF!,$A279,#REF!)</f>
        <v>#REF!</v>
      </c>
      <c r="N279" s="5" t="e">
        <f>SUMIF(#REF!,$A279,#REF!)</f>
        <v>#REF!</v>
      </c>
      <c r="O279" s="5" t="e">
        <f>SUMIF(#REF!,$A279,#REF!)+SUMIF(#REF!,$A279,#REF!)</f>
        <v>#REF!</v>
      </c>
      <c r="P279" s="5">
        <f>IFERROR(VLOOKUP($A279,#REF!,2,FALSE),0)</f>
        <v>0</v>
      </c>
      <c r="Q279" s="42" t="e">
        <f t="shared" si="4"/>
        <v>#REF!</v>
      </c>
    </row>
    <row r="280" spans="1:17" ht="15">
      <c r="A280" s="56" t="s">
        <v>552</v>
      </c>
      <c r="B280" s="7" t="s">
        <v>65</v>
      </c>
      <c r="C280" s="7" t="s">
        <v>501</v>
      </c>
      <c r="D280" s="7" t="s">
        <v>537</v>
      </c>
      <c r="E280" s="7" t="s">
        <v>122</v>
      </c>
      <c r="F280" s="7" t="s">
        <v>444</v>
      </c>
      <c r="G280" s="7" t="s">
        <v>444</v>
      </c>
      <c r="H280" s="7" t="s">
        <v>444</v>
      </c>
      <c r="I280" s="7" t="s">
        <v>1893</v>
      </c>
      <c r="J280" s="60" t="s">
        <v>2242</v>
      </c>
      <c r="K280" s="5">
        <f>SUMIF(BC!$E$6:$E$347,$A280,BC!$K$6:$K$347)</f>
        <v>0</v>
      </c>
      <c r="L280" s="5" t="e">
        <f>SUMIF(#REF!,$A280,#REF!)+SUMIF(#REF!,$A280,#REF!)</f>
        <v>#REF!</v>
      </c>
      <c r="M280" s="5" t="e">
        <f>SUMIF(#REF!,Casilleros!$A280,#REF!)+SUMIF(#REF!,Casilleros!$A280,#REF!)+SUMIF(#REF!,$A280,#REF!)</f>
        <v>#REF!</v>
      </c>
      <c r="N280" s="5" t="e">
        <f>SUMIF(#REF!,$A280,#REF!)</f>
        <v>#REF!</v>
      </c>
      <c r="O280" s="5" t="e">
        <f>SUMIF(#REF!,$A280,#REF!)+SUMIF(#REF!,$A280,#REF!)</f>
        <v>#REF!</v>
      </c>
      <c r="P280" s="5">
        <f>IFERROR(VLOOKUP($A280,#REF!,2,FALSE),0)</f>
        <v>0</v>
      </c>
      <c r="Q280" s="42" t="e">
        <f t="shared" si="4"/>
        <v>#REF!</v>
      </c>
    </row>
    <row r="281" spans="1:17">
      <c r="A281" s="56" t="s">
        <v>554</v>
      </c>
      <c r="B281" s="7" t="s">
        <v>65</v>
      </c>
      <c r="C281" s="7" t="s">
        <v>501</v>
      </c>
      <c r="D281" s="7" t="s">
        <v>553</v>
      </c>
      <c r="E281" s="7" t="s">
        <v>444</v>
      </c>
      <c r="F281" s="7" t="s">
        <v>444</v>
      </c>
      <c r="G281" s="7" t="s">
        <v>444</v>
      </c>
      <c r="H281" s="7" t="s">
        <v>444</v>
      </c>
      <c r="I281" s="7" t="s">
        <v>1894</v>
      </c>
      <c r="K281" s="5">
        <f>SUMIF(BC!$E$6:$E$347,$A281,BC!$K$6:$K$347)</f>
        <v>0</v>
      </c>
      <c r="L281" s="5" t="e">
        <f>SUMIF(#REF!,$A281,#REF!)+SUMIF(#REF!,$A281,#REF!)</f>
        <v>#REF!</v>
      </c>
      <c r="M281" s="5" t="e">
        <f>SUMIF(#REF!,Casilleros!$A281,#REF!)+SUMIF(#REF!,Casilleros!$A281,#REF!)+SUMIF(#REF!,$A281,#REF!)</f>
        <v>#REF!</v>
      </c>
      <c r="N281" s="5" t="e">
        <f>SUMIF(#REF!,$A281,#REF!)</f>
        <v>#REF!</v>
      </c>
      <c r="O281" s="5" t="e">
        <f>SUMIF(#REF!,$A281,#REF!)+SUMIF(#REF!,$A281,#REF!)</f>
        <v>#REF!</v>
      </c>
      <c r="P281" s="5">
        <f>IFERROR(VLOOKUP($A281,#REF!,2,FALSE),0)</f>
        <v>0</v>
      </c>
      <c r="Q281" s="42" t="e">
        <f t="shared" si="4"/>
        <v>#REF!</v>
      </c>
    </row>
    <row r="282" spans="1:17">
      <c r="A282" s="56" t="s">
        <v>556</v>
      </c>
      <c r="B282" s="7" t="s">
        <v>65</v>
      </c>
      <c r="C282" s="7" t="s">
        <v>501</v>
      </c>
      <c r="D282" s="7" t="s">
        <v>555</v>
      </c>
      <c r="E282" s="7" t="s">
        <v>444</v>
      </c>
      <c r="F282" s="7" t="s">
        <v>444</v>
      </c>
      <c r="G282" s="7" t="s">
        <v>444</v>
      </c>
      <c r="H282" s="7" t="s">
        <v>444</v>
      </c>
      <c r="I282" s="7" t="s">
        <v>1895</v>
      </c>
      <c r="K282" s="5">
        <f>SUMIF(BC!$E$6:$E$347,$A282,BC!$K$6:$K$347)</f>
        <v>0</v>
      </c>
      <c r="L282" s="5" t="e">
        <f>SUMIF(#REF!,$A282,#REF!)+SUMIF(#REF!,$A282,#REF!)</f>
        <v>#REF!</v>
      </c>
      <c r="M282" s="5" t="e">
        <f>SUMIF(#REF!,Casilleros!$A282,#REF!)+SUMIF(#REF!,Casilleros!$A282,#REF!)+SUMIF(#REF!,$A282,#REF!)</f>
        <v>#REF!</v>
      </c>
      <c r="N282" s="5" t="e">
        <f>SUMIF(#REF!,$A282,#REF!)</f>
        <v>#REF!</v>
      </c>
      <c r="O282" s="5" t="e">
        <f>SUMIF(#REF!,$A282,#REF!)+SUMIF(#REF!,$A282,#REF!)</f>
        <v>#REF!</v>
      </c>
      <c r="P282" s="5">
        <f>IFERROR(VLOOKUP($A282,#REF!,2,FALSE),0)</f>
        <v>0</v>
      </c>
      <c r="Q282" s="42" t="e">
        <f t="shared" si="4"/>
        <v>#REF!</v>
      </c>
    </row>
    <row r="283" spans="1:17">
      <c r="A283" s="56" t="s">
        <v>558</v>
      </c>
      <c r="B283" s="7" t="s">
        <v>65</v>
      </c>
      <c r="C283" s="7" t="s">
        <v>557</v>
      </c>
      <c r="D283" s="7" t="s">
        <v>444</v>
      </c>
      <c r="E283" s="7" t="s">
        <v>444</v>
      </c>
      <c r="F283" s="7" t="s">
        <v>444</v>
      </c>
      <c r="G283" s="7" t="s">
        <v>444</v>
      </c>
      <c r="H283" s="7" t="s">
        <v>444</v>
      </c>
      <c r="I283" s="7" t="s">
        <v>557</v>
      </c>
      <c r="K283" s="5">
        <f>SUMIF(BC!$E$6:$E$347,$A283,BC!$K$6:$K$347)</f>
        <v>0</v>
      </c>
      <c r="L283" s="5" t="e">
        <f>SUMIF(#REF!,$A283,#REF!)+SUMIF(#REF!,$A283,#REF!)</f>
        <v>#REF!</v>
      </c>
      <c r="M283" s="5" t="e">
        <f>SUMIF(#REF!,Casilleros!$A283,#REF!)+SUMIF(#REF!,Casilleros!$A283,#REF!)+SUMIF(#REF!,$A283,#REF!)</f>
        <v>#REF!</v>
      </c>
      <c r="N283" s="5" t="e">
        <f>SUMIF(#REF!,$A283,#REF!)</f>
        <v>#REF!</v>
      </c>
      <c r="O283" s="5" t="e">
        <f>SUMIF(#REF!,$A283,#REF!)+SUMIF(#REF!,$A283,#REF!)</f>
        <v>#REF!</v>
      </c>
      <c r="P283" s="5">
        <f>IFERROR(VLOOKUP($A283,#REF!,2,FALSE),0)</f>
        <v>0</v>
      </c>
      <c r="Q283" s="42" t="e">
        <f t="shared" si="4"/>
        <v>#REF!</v>
      </c>
    </row>
    <row r="284" spans="1:17">
      <c r="A284" s="56" t="s">
        <v>560</v>
      </c>
      <c r="B284" s="7" t="s">
        <v>65</v>
      </c>
      <c r="C284" s="7" t="s">
        <v>559</v>
      </c>
      <c r="D284" s="7" t="s">
        <v>444</v>
      </c>
      <c r="E284" s="7" t="s">
        <v>444</v>
      </c>
      <c r="F284" s="7" t="s">
        <v>444</v>
      </c>
      <c r="G284" s="7" t="s">
        <v>444</v>
      </c>
      <c r="H284" s="7" t="s">
        <v>444</v>
      </c>
      <c r="I284" s="7" t="s">
        <v>559</v>
      </c>
      <c r="K284" s="5">
        <f>SUMIF(BC!$E$6:$E$347,$A284,BC!$K$6:$K$347)</f>
        <v>0</v>
      </c>
      <c r="L284" s="5" t="e">
        <f>SUMIF(#REF!,$A284,#REF!)+SUMIF(#REF!,$A284,#REF!)</f>
        <v>#REF!</v>
      </c>
      <c r="M284" s="5" t="e">
        <f>SUMIF(#REF!,Casilleros!$A284,#REF!)+SUMIF(#REF!,Casilleros!$A284,#REF!)+SUMIF(#REF!,$A284,#REF!)</f>
        <v>#REF!</v>
      </c>
      <c r="N284" s="5" t="e">
        <f>SUMIF(#REF!,$A284,#REF!)</f>
        <v>#REF!</v>
      </c>
      <c r="O284" s="5" t="e">
        <f>SUMIF(#REF!,$A284,#REF!)+SUMIF(#REF!,$A284,#REF!)</f>
        <v>#REF!</v>
      </c>
      <c r="P284" s="5">
        <f>IFERROR(VLOOKUP($A284,#REF!,2,FALSE),0)</f>
        <v>0</v>
      </c>
      <c r="Q284" s="42" t="e">
        <f t="shared" si="4"/>
        <v>#REF!</v>
      </c>
    </row>
    <row r="285" spans="1:17">
      <c r="A285" s="56" t="s">
        <v>568</v>
      </c>
      <c r="B285" s="7" t="s">
        <v>561</v>
      </c>
      <c r="C285" s="7" t="s">
        <v>562</v>
      </c>
      <c r="D285" s="7" t="s">
        <v>563</v>
      </c>
      <c r="E285" s="7" t="s">
        <v>564</v>
      </c>
      <c r="F285" s="7" t="s">
        <v>567</v>
      </c>
      <c r="G285" s="7" t="s">
        <v>444</v>
      </c>
      <c r="H285" s="7" t="s">
        <v>444</v>
      </c>
      <c r="I285" s="7" t="s">
        <v>1896</v>
      </c>
      <c r="J285" s="1" t="s">
        <v>2243</v>
      </c>
      <c r="K285" s="5">
        <f>SUMIF(BC!$E$6:$E$347,$A285,BC!$K$6:$K$347)</f>
        <v>0</v>
      </c>
      <c r="L285" s="5" t="e">
        <f>SUMIF(#REF!,$A285,#REF!)+SUMIF(#REF!,$A285,#REF!)</f>
        <v>#REF!</v>
      </c>
      <c r="M285" s="5" t="e">
        <f>SUMIF(#REF!,Casilleros!$A285,#REF!)+SUMIF(#REF!,Casilleros!$A285,#REF!)+SUMIF(#REF!,$A285,#REF!)</f>
        <v>#REF!</v>
      </c>
      <c r="N285" s="5" t="e">
        <f>SUMIF(#REF!,$A285,#REF!)</f>
        <v>#REF!</v>
      </c>
      <c r="O285" s="5" t="e">
        <f>SUMIF(#REF!,$A285,#REF!)+SUMIF(#REF!,$A285,#REF!)</f>
        <v>#REF!</v>
      </c>
      <c r="P285" s="5">
        <f>IFERROR(VLOOKUP($A285,#REF!,2,FALSE),0)</f>
        <v>0</v>
      </c>
      <c r="Q285" s="42" t="e">
        <f t="shared" si="4"/>
        <v>#REF!</v>
      </c>
    </row>
    <row r="286" spans="1:17">
      <c r="A286" s="56" t="s">
        <v>571</v>
      </c>
      <c r="B286" s="7" t="s">
        <v>561</v>
      </c>
      <c r="C286" s="7" t="s">
        <v>562</v>
      </c>
      <c r="D286" s="7" t="s">
        <v>563</v>
      </c>
      <c r="E286" s="7" t="s">
        <v>564</v>
      </c>
      <c r="F286" s="7" t="s">
        <v>570</v>
      </c>
      <c r="G286" s="7" t="s">
        <v>444</v>
      </c>
      <c r="H286" s="7" t="s">
        <v>444</v>
      </c>
      <c r="I286" s="7" t="s">
        <v>1897</v>
      </c>
      <c r="J286" s="1" t="s">
        <v>2243</v>
      </c>
      <c r="K286" s="5">
        <f>SUMIF(BC!$E$6:$E$347,$A286,BC!$K$6:$K$347)</f>
        <v>0</v>
      </c>
      <c r="L286" s="5" t="e">
        <f>SUMIF(#REF!,$A286,#REF!)+SUMIF(#REF!,$A286,#REF!)</f>
        <v>#REF!</v>
      </c>
      <c r="M286" s="5" t="e">
        <f>SUMIF(#REF!,Casilleros!$A286,#REF!)+SUMIF(#REF!,Casilleros!$A286,#REF!)+SUMIF(#REF!,$A286,#REF!)</f>
        <v>#REF!</v>
      </c>
      <c r="N286" s="5" t="e">
        <f>SUMIF(#REF!,$A286,#REF!)</f>
        <v>#REF!</v>
      </c>
      <c r="O286" s="5" t="e">
        <f>SUMIF(#REF!,$A286,#REF!)+SUMIF(#REF!,$A286,#REF!)</f>
        <v>#REF!</v>
      </c>
      <c r="P286" s="5">
        <f>IFERROR(VLOOKUP($A286,#REF!,2,FALSE),0)</f>
        <v>0</v>
      </c>
      <c r="Q286" s="42" t="e">
        <f t="shared" si="4"/>
        <v>#REF!</v>
      </c>
    </row>
    <row r="287" spans="1:17">
      <c r="A287" s="56" t="s">
        <v>574</v>
      </c>
      <c r="B287" s="7" t="s">
        <v>561</v>
      </c>
      <c r="C287" s="7" t="s">
        <v>562</v>
      </c>
      <c r="D287" s="7" t="s">
        <v>563</v>
      </c>
      <c r="E287" s="7" t="s">
        <v>573</v>
      </c>
      <c r="F287" s="7" t="s">
        <v>567</v>
      </c>
      <c r="G287" s="7" t="s">
        <v>444</v>
      </c>
      <c r="H287" s="7" t="s">
        <v>444</v>
      </c>
      <c r="I287" s="7" t="s">
        <v>1898</v>
      </c>
      <c r="J287" s="1" t="s">
        <v>2243</v>
      </c>
      <c r="K287" s="5" t="e">
        <f>SUMIF(BC!$E$6:$E$347,$A287,BC!$K$6:$K$347)</f>
        <v>#REF!</v>
      </c>
      <c r="L287" s="5" t="e">
        <f>SUMIF(#REF!,$A287,#REF!)+SUMIF(#REF!,$A287,#REF!)</f>
        <v>#REF!</v>
      </c>
      <c r="M287" s="5" t="e">
        <f>SUMIF(#REF!,Casilleros!$A287,#REF!)+SUMIF(#REF!,Casilleros!$A287,#REF!)+SUMIF(#REF!,$A287,#REF!)</f>
        <v>#REF!</v>
      </c>
      <c r="N287" s="5" t="e">
        <f>SUMIF(#REF!,$A287,#REF!)</f>
        <v>#REF!</v>
      </c>
      <c r="O287" s="5" t="e">
        <f>SUMIF(#REF!,$A287,#REF!)+SUMIF(#REF!,$A287,#REF!)</f>
        <v>#REF!</v>
      </c>
      <c r="P287" s="5">
        <f>IFERROR(VLOOKUP($A287,#REF!,2,FALSE),0)</f>
        <v>0</v>
      </c>
      <c r="Q287" s="42" t="e">
        <f t="shared" si="4"/>
        <v>#REF!</v>
      </c>
    </row>
    <row r="288" spans="1:17">
      <c r="A288" s="56" t="s">
        <v>576</v>
      </c>
      <c r="B288" s="7" t="s">
        <v>561</v>
      </c>
      <c r="C288" s="7" t="s">
        <v>562</v>
      </c>
      <c r="D288" s="7" t="s">
        <v>563</v>
      </c>
      <c r="E288" s="7" t="s">
        <v>573</v>
      </c>
      <c r="F288" s="7" t="s">
        <v>570</v>
      </c>
      <c r="G288" s="7" t="s">
        <v>444</v>
      </c>
      <c r="H288" s="7" t="s">
        <v>444</v>
      </c>
      <c r="I288" s="7" t="s">
        <v>1899</v>
      </c>
      <c r="J288" s="1" t="s">
        <v>2243</v>
      </c>
      <c r="K288" s="5" t="e">
        <f>SUMIF(BC!$E$6:$E$347,$A288,BC!$K$6:$K$347)</f>
        <v>#REF!</v>
      </c>
      <c r="L288" s="5" t="e">
        <f>SUMIF(#REF!,$A288,#REF!)+SUMIF(#REF!,$A288,#REF!)</f>
        <v>#REF!</v>
      </c>
      <c r="M288" s="5" t="e">
        <f>SUMIF(#REF!,Casilleros!$A288,#REF!)+SUMIF(#REF!,Casilleros!$A288,#REF!)+SUMIF(#REF!,$A288,#REF!)</f>
        <v>#REF!</v>
      </c>
      <c r="N288" s="5" t="e">
        <f>SUMIF(#REF!,$A288,#REF!)</f>
        <v>#REF!</v>
      </c>
      <c r="O288" s="5" t="e">
        <f>SUMIF(#REF!,$A288,#REF!)+SUMIF(#REF!,$A288,#REF!)</f>
        <v>#REF!</v>
      </c>
      <c r="P288" s="5">
        <f>IFERROR(VLOOKUP($A288,#REF!,2,FALSE),0)</f>
        <v>0</v>
      </c>
      <c r="Q288" s="42" t="e">
        <f t="shared" si="4"/>
        <v>#REF!</v>
      </c>
    </row>
    <row r="289" spans="1:17">
      <c r="A289" s="56" t="s">
        <v>580</v>
      </c>
      <c r="B289" s="7" t="s">
        <v>561</v>
      </c>
      <c r="C289" s="7" t="s">
        <v>562</v>
      </c>
      <c r="D289" s="7" t="s">
        <v>563</v>
      </c>
      <c r="E289" s="7" t="s">
        <v>578</v>
      </c>
      <c r="F289" s="7" t="s">
        <v>579</v>
      </c>
      <c r="G289" s="7" t="s">
        <v>444</v>
      </c>
      <c r="H289" s="7" t="s">
        <v>444</v>
      </c>
      <c r="I289" s="7" t="s">
        <v>1900</v>
      </c>
      <c r="J289" s="1" t="s">
        <v>2243</v>
      </c>
      <c r="K289" s="5">
        <f>SUMIF(BC!$E$6:$E$347,$A289,BC!$K$6:$K$347)</f>
        <v>0</v>
      </c>
      <c r="L289" s="5" t="e">
        <f>SUMIF(#REF!,$A289,#REF!)+SUMIF(#REF!,$A289,#REF!)</f>
        <v>#REF!</v>
      </c>
      <c r="M289" s="5" t="e">
        <f>SUMIF(#REF!,Casilleros!$A289,#REF!)+SUMIF(#REF!,Casilleros!$A289,#REF!)+SUMIF(#REF!,$A289,#REF!)</f>
        <v>#REF!</v>
      </c>
      <c r="N289" s="5" t="e">
        <f>SUMIF(#REF!,$A289,#REF!)</f>
        <v>#REF!</v>
      </c>
      <c r="O289" s="5" t="e">
        <f>SUMIF(#REF!,$A289,#REF!)+SUMIF(#REF!,$A289,#REF!)</f>
        <v>#REF!</v>
      </c>
      <c r="P289" s="5">
        <f>IFERROR(VLOOKUP($A289,#REF!,2,FALSE),0)</f>
        <v>0</v>
      </c>
      <c r="Q289" s="42" t="e">
        <f t="shared" si="4"/>
        <v>#REF!</v>
      </c>
    </row>
    <row r="290" spans="1:17">
      <c r="A290" s="56" t="s">
        <v>583</v>
      </c>
      <c r="B290" s="7" t="s">
        <v>561</v>
      </c>
      <c r="C290" s="7" t="s">
        <v>562</v>
      </c>
      <c r="D290" s="7" t="s">
        <v>563</v>
      </c>
      <c r="E290" s="7" t="s">
        <v>578</v>
      </c>
      <c r="F290" s="7" t="s">
        <v>582</v>
      </c>
      <c r="G290" s="7" t="s">
        <v>444</v>
      </c>
      <c r="H290" s="7" t="s">
        <v>444</v>
      </c>
      <c r="I290" s="7" t="s">
        <v>1901</v>
      </c>
      <c r="J290" s="1" t="s">
        <v>2243</v>
      </c>
      <c r="K290" s="5">
        <f>SUMIF(BC!$E$6:$E$347,$A290,BC!$K$6:$K$347)</f>
        <v>0</v>
      </c>
      <c r="L290" s="5" t="e">
        <f>SUMIF(#REF!,$A290,#REF!)+SUMIF(#REF!,$A290,#REF!)</f>
        <v>#REF!</v>
      </c>
      <c r="M290" s="5" t="e">
        <f>SUMIF(#REF!,Casilleros!$A290,#REF!)+SUMIF(#REF!,Casilleros!$A290,#REF!)+SUMIF(#REF!,$A290,#REF!)</f>
        <v>#REF!</v>
      </c>
      <c r="N290" s="5" t="e">
        <f>SUMIF(#REF!,$A290,#REF!)</f>
        <v>#REF!</v>
      </c>
      <c r="O290" s="5" t="e">
        <f>SUMIF(#REF!,$A290,#REF!)+SUMIF(#REF!,$A290,#REF!)</f>
        <v>#REF!</v>
      </c>
      <c r="P290" s="5">
        <f>IFERROR(VLOOKUP($A290,#REF!,2,FALSE),0)</f>
        <v>0</v>
      </c>
      <c r="Q290" s="42" t="e">
        <f t="shared" si="4"/>
        <v>#REF!</v>
      </c>
    </row>
    <row r="291" spans="1:17">
      <c r="A291" s="56" t="s">
        <v>586</v>
      </c>
      <c r="B291" s="7" t="s">
        <v>561</v>
      </c>
      <c r="C291" s="7" t="s">
        <v>562</v>
      </c>
      <c r="D291" s="7" t="s">
        <v>563</v>
      </c>
      <c r="E291" s="7" t="s">
        <v>585</v>
      </c>
      <c r="F291" s="7" t="s">
        <v>444</v>
      </c>
      <c r="G291" s="7" t="s">
        <v>444</v>
      </c>
      <c r="H291" s="7" t="s">
        <v>444</v>
      </c>
      <c r="I291" s="7" t="s">
        <v>585</v>
      </c>
      <c r="J291" s="1" t="s">
        <v>2243</v>
      </c>
      <c r="K291" s="5">
        <f>SUMIF(BC!$E$6:$E$347,$A291,BC!$K$6:$K$347)</f>
        <v>0</v>
      </c>
      <c r="L291" s="5" t="e">
        <f>SUMIF(#REF!,$A291,#REF!)+SUMIF(#REF!,$A291,#REF!)</f>
        <v>#REF!</v>
      </c>
      <c r="M291" s="5" t="e">
        <f>SUMIF(#REF!,Casilleros!$A291,#REF!)+SUMIF(#REF!,Casilleros!$A291,#REF!)+SUMIF(#REF!,$A291,#REF!)</f>
        <v>#REF!</v>
      </c>
      <c r="N291" s="5" t="e">
        <f>SUMIF(#REF!,$A291,#REF!)</f>
        <v>#REF!</v>
      </c>
      <c r="O291" s="5" t="e">
        <f>SUMIF(#REF!,$A291,#REF!)+SUMIF(#REF!,$A291,#REF!)</f>
        <v>#REF!</v>
      </c>
      <c r="P291" s="5">
        <f>IFERROR(VLOOKUP($A291,#REF!,2,FALSE),0)</f>
        <v>0</v>
      </c>
      <c r="Q291" s="42" t="e">
        <f t="shared" si="4"/>
        <v>#REF!</v>
      </c>
    </row>
    <row r="292" spans="1:17">
      <c r="A292" s="56" t="s">
        <v>589</v>
      </c>
      <c r="B292" s="7" t="s">
        <v>561</v>
      </c>
      <c r="C292" s="7" t="s">
        <v>562</v>
      </c>
      <c r="D292" s="7" t="s">
        <v>563</v>
      </c>
      <c r="E292" s="7" t="s">
        <v>588</v>
      </c>
      <c r="F292" s="7" t="s">
        <v>444</v>
      </c>
      <c r="G292" s="7" t="s">
        <v>444</v>
      </c>
      <c r="H292" s="7" t="s">
        <v>444</v>
      </c>
      <c r="I292" s="7" t="s">
        <v>588</v>
      </c>
      <c r="J292" s="1" t="s">
        <v>2243</v>
      </c>
      <c r="K292" s="5">
        <f>SUMIF(BC!$E$6:$E$347,$A292,BC!$K$6:$K$347)</f>
        <v>0</v>
      </c>
      <c r="L292" s="5" t="e">
        <f>SUMIF(#REF!,$A292,#REF!)+SUMIF(#REF!,$A292,#REF!)</f>
        <v>#REF!</v>
      </c>
      <c r="M292" s="5" t="e">
        <f>SUMIF(#REF!,Casilleros!$A292,#REF!)+SUMIF(#REF!,Casilleros!$A292,#REF!)+SUMIF(#REF!,$A292,#REF!)</f>
        <v>#REF!</v>
      </c>
      <c r="N292" s="5" t="e">
        <f>SUMIF(#REF!,$A292,#REF!)</f>
        <v>#REF!</v>
      </c>
      <c r="O292" s="5" t="e">
        <f>SUMIF(#REF!,$A292,#REF!)+SUMIF(#REF!,$A292,#REF!)</f>
        <v>#REF!</v>
      </c>
      <c r="P292" s="5">
        <f>IFERROR(VLOOKUP($A292,#REF!,2,FALSE),0)</f>
        <v>0</v>
      </c>
      <c r="Q292" s="42" t="e">
        <f t="shared" si="4"/>
        <v>#REF!</v>
      </c>
    </row>
    <row r="293" spans="1:17">
      <c r="A293" s="56" t="s">
        <v>592</v>
      </c>
      <c r="B293" s="7" t="s">
        <v>561</v>
      </c>
      <c r="C293" s="7" t="s">
        <v>562</v>
      </c>
      <c r="D293" s="7" t="s">
        <v>563</v>
      </c>
      <c r="E293" s="7" t="s">
        <v>591</v>
      </c>
      <c r="F293" s="7" t="s">
        <v>444</v>
      </c>
      <c r="G293" s="7" t="s">
        <v>444</v>
      </c>
      <c r="H293" s="7" t="s">
        <v>444</v>
      </c>
      <c r="I293" s="7" t="s">
        <v>591</v>
      </c>
      <c r="J293" s="1" t="s">
        <v>2243</v>
      </c>
      <c r="K293" s="5">
        <f>SUMIF(BC!$E$6:$E$347,$A293,BC!$K$6:$K$347)</f>
        <v>0</v>
      </c>
      <c r="L293" s="5" t="e">
        <f>SUMIF(#REF!,$A293,#REF!)+SUMIF(#REF!,$A293,#REF!)</f>
        <v>#REF!</v>
      </c>
      <c r="M293" s="5" t="e">
        <f>SUMIF(#REF!,Casilleros!$A293,#REF!)+SUMIF(#REF!,Casilleros!$A293,#REF!)+SUMIF(#REF!,$A293,#REF!)</f>
        <v>#REF!</v>
      </c>
      <c r="N293" s="5" t="e">
        <f>SUMIF(#REF!,$A293,#REF!)</f>
        <v>#REF!</v>
      </c>
      <c r="O293" s="5" t="e">
        <f>SUMIF(#REF!,$A293,#REF!)+SUMIF(#REF!,$A293,#REF!)</f>
        <v>#REF!</v>
      </c>
      <c r="P293" s="5">
        <f>IFERROR(VLOOKUP($A293,#REF!,2,FALSE),0)</f>
        <v>0</v>
      </c>
      <c r="Q293" s="42" t="e">
        <f t="shared" si="4"/>
        <v>#REF!</v>
      </c>
    </row>
    <row r="294" spans="1:17">
      <c r="A294" s="56" t="s">
        <v>595</v>
      </c>
      <c r="B294" s="7" t="s">
        <v>561</v>
      </c>
      <c r="C294" s="7" t="s">
        <v>562</v>
      </c>
      <c r="D294" s="7" t="s">
        <v>594</v>
      </c>
      <c r="E294" s="7" t="s">
        <v>444</v>
      </c>
      <c r="F294" s="7" t="s">
        <v>444</v>
      </c>
      <c r="G294" s="7" t="s">
        <v>444</v>
      </c>
      <c r="H294" s="7" t="s">
        <v>444</v>
      </c>
      <c r="I294" s="7" t="s">
        <v>594</v>
      </c>
      <c r="K294" s="5">
        <f>SUMIF(BC!$E$6:$E$347,$A294,BC!$K$6:$K$347)</f>
        <v>0</v>
      </c>
      <c r="L294" s="5" t="e">
        <f>SUMIF(#REF!,$A294,#REF!)+SUMIF(#REF!,$A294,#REF!)</f>
        <v>#REF!</v>
      </c>
      <c r="M294" s="5" t="e">
        <f>SUMIF(#REF!,Casilleros!$A294,#REF!)+SUMIF(#REF!,Casilleros!$A294,#REF!)+SUMIF(#REF!,$A294,#REF!)</f>
        <v>#REF!</v>
      </c>
      <c r="N294" s="5" t="e">
        <f>SUMIF(#REF!,$A294,#REF!)</f>
        <v>#REF!</v>
      </c>
      <c r="O294" s="5" t="e">
        <f>SUMIF(#REF!,$A294,#REF!)+SUMIF(#REF!,$A294,#REF!)</f>
        <v>#REF!</v>
      </c>
      <c r="P294" s="5">
        <f>IFERROR(VLOOKUP($A294,#REF!,2,FALSE),0)</f>
        <v>0</v>
      </c>
      <c r="Q294" s="42" t="e">
        <f t="shared" si="4"/>
        <v>#REF!</v>
      </c>
    </row>
    <row r="295" spans="1:17">
      <c r="A295" s="56" t="s">
        <v>597</v>
      </c>
      <c r="B295" s="7" t="s">
        <v>561</v>
      </c>
      <c r="C295" s="7" t="s">
        <v>562</v>
      </c>
      <c r="D295" s="7" t="s">
        <v>10</v>
      </c>
      <c r="E295" s="7" t="s">
        <v>596</v>
      </c>
      <c r="F295" s="7" t="s">
        <v>108</v>
      </c>
      <c r="G295" s="7" t="s">
        <v>444</v>
      </c>
      <c r="H295" s="7" t="s">
        <v>444</v>
      </c>
      <c r="I295" s="7" t="s">
        <v>1492</v>
      </c>
      <c r="J295" s="1" t="s">
        <v>2244</v>
      </c>
      <c r="K295" s="5">
        <f>SUMIF(BC!$E$6:$E$347,$A295,BC!$K$6:$K$347)</f>
        <v>0</v>
      </c>
      <c r="L295" s="5" t="e">
        <f>SUMIF(#REF!,$A295,#REF!)+SUMIF(#REF!,$A295,#REF!)</f>
        <v>#REF!</v>
      </c>
      <c r="M295" s="5" t="e">
        <f>SUMIF(#REF!,Casilleros!$A295,#REF!)+SUMIF(#REF!,Casilleros!$A295,#REF!)+SUMIF(#REF!,$A295,#REF!)</f>
        <v>#REF!</v>
      </c>
      <c r="N295" s="5" t="e">
        <f>SUMIF(#REF!,$A295,#REF!)</f>
        <v>#REF!</v>
      </c>
      <c r="O295" s="5" t="e">
        <f>SUMIF(#REF!,$A295,#REF!)+SUMIF(#REF!,$A295,#REF!)</f>
        <v>#REF!</v>
      </c>
      <c r="P295" s="5">
        <f>IFERROR(VLOOKUP($A295,#REF!,2,FALSE),0)</f>
        <v>0</v>
      </c>
      <c r="Q295" s="42" t="e">
        <f t="shared" si="4"/>
        <v>#REF!</v>
      </c>
    </row>
    <row r="296" spans="1:17">
      <c r="A296" s="56" t="s">
        <v>599</v>
      </c>
      <c r="B296" s="7" t="s">
        <v>561</v>
      </c>
      <c r="C296" s="7" t="s">
        <v>562</v>
      </c>
      <c r="D296" s="7" t="s">
        <v>10</v>
      </c>
      <c r="E296" s="7" t="s">
        <v>596</v>
      </c>
      <c r="F296" s="7" t="s">
        <v>313</v>
      </c>
      <c r="G296" s="7" t="s">
        <v>444</v>
      </c>
      <c r="H296" s="7" t="s">
        <v>444</v>
      </c>
      <c r="I296" s="7" t="s">
        <v>1493</v>
      </c>
      <c r="J296" s="1" t="s">
        <v>2244</v>
      </c>
      <c r="K296" s="5">
        <f>SUMIF(BC!$E$6:$E$347,$A296,BC!$K$6:$K$347)</f>
        <v>0</v>
      </c>
      <c r="L296" s="5" t="e">
        <f>SUMIF(#REF!,$A296,#REF!)+SUMIF(#REF!,$A296,#REF!)</f>
        <v>#REF!</v>
      </c>
      <c r="M296" s="5" t="e">
        <f>SUMIF(#REF!,Casilleros!$A296,#REF!)+SUMIF(#REF!,Casilleros!$A296,#REF!)+SUMIF(#REF!,$A296,#REF!)</f>
        <v>#REF!</v>
      </c>
      <c r="N296" s="5" t="e">
        <f>SUMIF(#REF!,$A296,#REF!)</f>
        <v>#REF!</v>
      </c>
      <c r="O296" s="5" t="e">
        <f>SUMIF(#REF!,$A296,#REF!)+SUMIF(#REF!,$A296,#REF!)</f>
        <v>#REF!</v>
      </c>
      <c r="P296" s="5">
        <f>IFERROR(VLOOKUP($A296,#REF!,2,FALSE),0)</f>
        <v>0</v>
      </c>
      <c r="Q296" s="42" t="e">
        <f t="shared" si="4"/>
        <v>#REF!</v>
      </c>
    </row>
    <row r="297" spans="1:17">
      <c r="A297" s="56" t="s">
        <v>603</v>
      </c>
      <c r="B297" s="7" t="s">
        <v>561</v>
      </c>
      <c r="C297" s="7" t="s">
        <v>562</v>
      </c>
      <c r="D297" s="7" t="s">
        <v>10</v>
      </c>
      <c r="E297" s="7" t="s">
        <v>601</v>
      </c>
      <c r="F297" s="7" t="s">
        <v>602</v>
      </c>
      <c r="G297" s="7" t="s">
        <v>444</v>
      </c>
      <c r="H297" s="7" t="s">
        <v>444</v>
      </c>
      <c r="I297" s="7" t="s">
        <v>1494</v>
      </c>
      <c r="J297" s="1" t="s">
        <v>2244</v>
      </c>
      <c r="K297" s="5">
        <f>SUMIF(BC!$E$6:$E$347,$A297,BC!$K$6:$K$347)</f>
        <v>0</v>
      </c>
      <c r="L297" s="5" t="e">
        <f>SUMIF(#REF!,$A297,#REF!)+SUMIF(#REF!,$A297,#REF!)</f>
        <v>#REF!</v>
      </c>
      <c r="M297" s="5" t="e">
        <f>SUMIF(#REF!,Casilleros!$A297,#REF!)+SUMIF(#REF!,Casilleros!$A297,#REF!)+SUMIF(#REF!,$A297,#REF!)</f>
        <v>#REF!</v>
      </c>
      <c r="N297" s="5" t="e">
        <f>SUMIF(#REF!,$A297,#REF!)</f>
        <v>#REF!</v>
      </c>
      <c r="O297" s="5" t="e">
        <f>SUMIF(#REF!,$A297,#REF!)+SUMIF(#REF!,$A297,#REF!)</f>
        <v>#REF!</v>
      </c>
      <c r="P297" s="5">
        <f>IFERROR(VLOOKUP($A297,#REF!,2,FALSE),0)</f>
        <v>0</v>
      </c>
      <c r="Q297" s="42" t="e">
        <f t="shared" si="4"/>
        <v>#REF!</v>
      </c>
    </row>
    <row r="298" spans="1:17">
      <c r="A298" s="56" t="s">
        <v>606</v>
      </c>
      <c r="B298" s="7" t="s">
        <v>561</v>
      </c>
      <c r="C298" s="7" t="s">
        <v>562</v>
      </c>
      <c r="D298" s="7" t="s">
        <v>10</v>
      </c>
      <c r="E298" s="7" t="s">
        <v>601</v>
      </c>
      <c r="F298" s="7" t="s">
        <v>605</v>
      </c>
      <c r="G298" s="7" t="s">
        <v>444</v>
      </c>
      <c r="H298" s="7" t="s">
        <v>444</v>
      </c>
      <c r="I298" s="7" t="s">
        <v>1495</v>
      </c>
      <c r="J298" s="1" t="s">
        <v>2244</v>
      </c>
      <c r="K298" s="5">
        <f>SUMIF(BC!$E$6:$E$347,$A298,BC!$K$6:$K$347)</f>
        <v>0</v>
      </c>
      <c r="L298" s="5" t="e">
        <f>SUMIF(#REF!,$A298,#REF!)+SUMIF(#REF!,$A298,#REF!)</f>
        <v>#REF!</v>
      </c>
      <c r="M298" s="5" t="e">
        <f>SUMIF(#REF!,Casilleros!$A298,#REF!)+SUMIF(#REF!,Casilleros!$A298,#REF!)+SUMIF(#REF!,$A298,#REF!)</f>
        <v>#REF!</v>
      </c>
      <c r="N298" s="5" t="e">
        <f>SUMIF(#REF!,$A298,#REF!)</f>
        <v>#REF!</v>
      </c>
      <c r="O298" s="5" t="e">
        <f>SUMIF(#REF!,$A298,#REF!)+SUMIF(#REF!,$A298,#REF!)</f>
        <v>#REF!</v>
      </c>
      <c r="P298" s="5">
        <f>IFERROR(VLOOKUP($A298,#REF!,2,FALSE),0)</f>
        <v>0</v>
      </c>
      <c r="Q298" s="42" t="e">
        <f t="shared" si="4"/>
        <v>#REF!</v>
      </c>
    </row>
    <row r="299" spans="1:17">
      <c r="A299" s="56" t="s">
        <v>609</v>
      </c>
      <c r="B299" s="7" t="s">
        <v>561</v>
      </c>
      <c r="C299" s="7" t="s">
        <v>562</v>
      </c>
      <c r="D299" s="7" t="s">
        <v>10</v>
      </c>
      <c r="E299" s="7" t="s">
        <v>608</v>
      </c>
      <c r="F299" s="7" t="s">
        <v>444</v>
      </c>
      <c r="G299" s="7" t="s">
        <v>444</v>
      </c>
      <c r="H299" s="7" t="s">
        <v>444</v>
      </c>
      <c r="I299" s="7" t="s">
        <v>608</v>
      </c>
      <c r="J299" s="1" t="s">
        <v>2244</v>
      </c>
      <c r="K299" s="5">
        <f>SUMIF(BC!$E$6:$E$347,$A299,BC!$K$6:$K$347)</f>
        <v>0</v>
      </c>
      <c r="L299" s="5" t="e">
        <f>SUMIF(#REF!,$A299,#REF!)+SUMIF(#REF!,$A299,#REF!)</f>
        <v>#REF!</v>
      </c>
      <c r="M299" s="5" t="e">
        <f>SUMIF(#REF!,Casilleros!$A299,#REF!)+SUMIF(#REF!,Casilleros!$A299,#REF!)+SUMIF(#REF!,$A299,#REF!)</f>
        <v>#REF!</v>
      </c>
      <c r="N299" s="5" t="e">
        <f>SUMIF(#REF!,$A299,#REF!)</f>
        <v>#REF!</v>
      </c>
      <c r="O299" s="5" t="e">
        <f>SUMIF(#REF!,$A299,#REF!)+SUMIF(#REF!,$A299,#REF!)</f>
        <v>#REF!</v>
      </c>
      <c r="P299" s="5">
        <f>IFERROR(VLOOKUP($A299,#REF!,2,FALSE),0)</f>
        <v>0</v>
      </c>
      <c r="Q299" s="42" t="e">
        <f t="shared" si="4"/>
        <v>#REF!</v>
      </c>
    </row>
    <row r="300" spans="1:17">
      <c r="A300" s="56" t="s">
        <v>612</v>
      </c>
      <c r="B300" s="7" t="s">
        <v>561</v>
      </c>
      <c r="C300" s="7" t="s">
        <v>562</v>
      </c>
      <c r="D300" s="7" t="s">
        <v>10</v>
      </c>
      <c r="E300" s="7" t="s">
        <v>611</v>
      </c>
      <c r="F300" s="7" t="s">
        <v>444</v>
      </c>
      <c r="G300" s="7" t="s">
        <v>444</v>
      </c>
      <c r="H300" s="7" t="s">
        <v>444</v>
      </c>
      <c r="I300" s="7" t="s">
        <v>611</v>
      </c>
      <c r="J300" s="1" t="s">
        <v>2244</v>
      </c>
      <c r="K300" s="5">
        <f>SUMIF(BC!$E$6:$E$347,$A300,BC!$K$6:$K$347)</f>
        <v>0</v>
      </c>
      <c r="L300" s="5" t="e">
        <f>SUMIF(#REF!,$A300,#REF!)+SUMIF(#REF!,$A300,#REF!)</f>
        <v>#REF!</v>
      </c>
      <c r="M300" s="5" t="e">
        <f>SUMIF(#REF!,Casilleros!$A300,#REF!)+SUMIF(#REF!,Casilleros!$A300,#REF!)+SUMIF(#REF!,$A300,#REF!)</f>
        <v>#REF!</v>
      </c>
      <c r="N300" s="5" t="e">
        <f>SUMIF(#REF!,$A300,#REF!)</f>
        <v>#REF!</v>
      </c>
      <c r="O300" s="5" t="e">
        <f>SUMIF(#REF!,$A300,#REF!)+SUMIF(#REF!,$A300,#REF!)</f>
        <v>#REF!</v>
      </c>
      <c r="P300" s="5">
        <f>IFERROR(VLOOKUP($A300,#REF!,2,FALSE),0)</f>
        <v>0</v>
      </c>
      <c r="Q300" s="42" t="e">
        <f t="shared" si="4"/>
        <v>#REF!</v>
      </c>
    </row>
    <row r="301" spans="1:17">
      <c r="A301" s="56" t="s">
        <v>615</v>
      </c>
      <c r="B301" s="7" t="s">
        <v>561</v>
      </c>
      <c r="C301" s="7" t="s">
        <v>562</v>
      </c>
      <c r="D301" s="7" t="s">
        <v>10</v>
      </c>
      <c r="E301" s="7" t="s">
        <v>614</v>
      </c>
      <c r="F301" s="7" t="s">
        <v>444</v>
      </c>
      <c r="G301" s="7" t="s">
        <v>444</v>
      </c>
      <c r="H301" s="7" t="s">
        <v>444</v>
      </c>
      <c r="I301" s="7" t="s">
        <v>614</v>
      </c>
      <c r="J301" s="1" t="s">
        <v>2244</v>
      </c>
      <c r="K301" s="5">
        <f>SUMIF(BC!$E$6:$E$347,$A301,BC!$K$6:$K$347)</f>
        <v>0</v>
      </c>
      <c r="L301" s="5" t="e">
        <f>SUMIF(#REF!,$A301,#REF!)+SUMIF(#REF!,$A301,#REF!)</f>
        <v>#REF!</v>
      </c>
      <c r="M301" s="5" t="e">
        <f>SUMIF(#REF!,Casilleros!$A301,#REF!)+SUMIF(#REF!,Casilleros!$A301,#REF!)+SUMIF(#REF!,$A301,#REF!)</f>
        <v>#REF!</v>
      </c>
      <c r="N301" s="5" t="e">
        <f>SUMIF(#REF!,$A301,#REF!)</f>
        <v>#REF!</v>
      </c>
      <c r="O301" s="5" t="e">
        <f>SUMIF(#REF!,$A301,#REF!)+SUMIF(#REF!,$A301,#REF!)</f>
        <v>#REF!</v>
      </c>
      <c r="P301" s="5">
        <f>IFERROR(VLOOKUP($A301,#REF!,2,FALSE),0)</f>
        <v>0</v>
      </c>
      <c r="Q301" s="42" t="e">
        <f t="shared" si="4"/>
        <v>#REF!</v>
      </c>
    </row>
    <row r="302" spans="1:17">
      <c r="A302" s="56" t="s">
        <v>618</v>
      </c>
      <c r="B302" s="7" t="s">
        <v>561</v>
      </c>
      <c r="C302" s="7" t="s">
        <v>562</v>
      </c>
      <c r="D302" s="7" t="s">
        <v>10</v>
      </c>
      <c r="E302" s="7" t="s">
        <v>617</v>
      </c>
      <c r="F302" s="7" t="s">
        <v>444</v>
      </c>
      <c r="G302" s="7" t="s">
        <v>444</v>
      </c>
      <c r="H302" s="7" t="s">
        <v>444</v>
      </c>
      <c r="I302" s="7" t="s">
        <v>617</v>
      </c>
      <c r="J302" s="1" t="s">
        <v>2244</v>
      </c>
      <c r="K302" s="5">
        <f>SUMIF(BC!$E$6:$E$347,$A302,BC!$K$6:$K$347)</f>
        <v>0</v>
      </c>
      <c r="L302" s="5" t="e">
        <f>SUMIF(#REF!,$A302,#REF!)+SUMIF(#REF!,$A302,#REF!)</f>
        <v>#REF!</v>
      </c>
      <c r="M302" s="5" t="e">
        <f>SUMIF(#REF!,Casilleros!$A302,#REF!)+SUMIF(#REF!,Casilleros!$A302,#REF!)+SUMIF(#REF!,$A302,#REF!)</f>
        <v>#REF!</v>
      </c>
      <c r="N302" s="5" t="e">
        <f>SUMIF(#REF!,$A302,#REF!)</f>
        <v>#REF!</v>
      </c>
      <c r="O302" s="5" t="e">
        <f>SUMIF(#REF!,$A302,#REF!)+SUMIF(#REF!,$A302,#REF!)</f>
        <v>#REF!</v>
      </c>
      <c r="P302" s="5">
        <f>IFERROR(VLOOKUP($A302,#REF!,2,FALSE),0)</f>
        <v>0</v>
      </c>
      <c r="Q302" s="42" t="e">
        <f t="shared" si="4"/>
        <v>#REF!</v>
      </c>
    </row>
    <row r="303" spans="1:17">
      <c r="A303" s="56" t="s">
        <v>621</v>
      </c>
      <c r="B303" s="7" t="s">
        <v>561</v>
      </c>
      <c r="C303" s="7" t="s">
        <v>562</v>
      </c>
      <c r="D303" s="7" t="s">
        <v>10</v>
      </c>
      <c r="E303" s="7" t="s">
        <v>620</v>
      </c>
      <c r="F303" s="7" t="s">
        <v>444</v>
      </c>
      <c r="G303" s="7" t="s">
        <v>444</v>
      </c>
      <c r="H303" s="7" t="s">
        <v>444</v>
      </c>
      <c r="I303" s="7" t="s">
        <v>620</v>
      </c>
      <c r="J303" s="1" t="s">
        <v>2244</v>
      </c>
      <c r="K303" s="5">
        <f>SUMIF(BC!$E$6:$E$347,$A303,BC!$K$6:$K$347)</f>
        <v>0</v>
      </c>
      <c r="L303" s="5" t="e">
        <f>SUMIF(#REF!,$A303,#REF!)+SUMIF(#REF!,$A303,#REF!)</f>
        <v>#REF!</v>
      </c>
      <c r="M303" s="5" t="e">
        <f>SUMIF(#REF!,Casilleros!$A303,#REF!)+SUMIF(#REF!,Casilleros!$A303,#REF!)+SUMIF(#REF!,$A303,#REF!)</f>
        <v>#REF!</v>
      </c>
      <c r="N303" s="5" t="e">
        <f>SUMIF(#REF!,$A303,#REF!)</f>
        <v>#REF!</v>
      </c>
      <c r="O303" s="5" t="e">
        <f>SUMIF(#REF!,$A303,#REF!)+SUMIF(#REF!,$A303,#REF!)</f>
        <v>#REF!</v>
      </c>
      <c r="P303" s="5">
        <f>IFERROR(VLOOKUP($A303,#REF!,2,FALSE),0)</f>
        <v>0</v>
      </c>
      <c r="Q303" s="42" t="e">
        <f t="shared" si="4"/>
        <v>#REF!</v>
      </c>
    </row>
    <row r="304" spans="1:17">
      <c r="A304" s="56" t="s">
        <v>624</v>
      </c>
      <c r="B304" s="7" t="s">
        <v>561</v>
      </c>
      <c r="C304" s="7" t="s">
        <v>562</v>
      </c>
      <c r="D304" s="7" t="s">
        <v>10</v>
      </c>
      <c r="E304" s="7" t="s">
        <v>623</v>
      </c>
      <c r="F304" s="7" t="s">
        <v>444</v>
      </c>
      <c r="G304" s="7" t="s">
        <v>444</v>
      </c>
      <c r="H304" s="7" t="s">
        <v>444</v>
      </c>
      <c r="I304" s="7" t="s">
        <v>623</v>
      </c>
      <c r="J304" s="1" t="s">
        <v>2244</v>
      </c>
      <c r="K304" s="5">
        <f>SUMIF(BC!$E$6:$E$347,$A304,BC!$K$6:$K$347)</f>
        <v>0</v>
      </c>
      <c r="L304" s="5" t="e">
        <f>SUMIF(#REF!,$A304,#REF!)+SUMIF(#REF!,$A304,#REF!)</f>
        <v>#REF!</v>
      </c>
      <c r="M304" s="5" t="e">
        <f>SUMIF(#REF!,Casilleros!$A304,#REF!)+SUMIF(#REF!,Casilleros!$A304,#REF!)+SUMIF(#REF!,$A304,#REF!)</f>
        <v>#REF!</v>
      </c>
      <c r="N304" s="5" t="e">
        <f>SUMIF(#REF!,$A304,#REF!)</f>
        <v>#REF!</v>
      </c>
      <c r="O304" s="5" t="e">
        <f>SUMIF(#REF!,$A304,#REF!)+SUMIF(#REF!,$A304,#REF!)</f>
        <v>#REF!</v>
      </c>
      <c r="P304" s="5">
        <f>IFERROR(VLOOKUP($A304,#REF!,2,FALSE),0)</f>
        <v>0</v>
      </c>
      <c r="Q304" s="42" t="e">
        <f t="shared" si="4"/>
        <v>#REF!</v>
      </c>
    </row>
    <row r="305" spans="1:17">
      <c r="A305" s="56" t="s">
        <v>627</v>
      </c>
      <c r="B305" s="7" t="s">
        <v>561</v>
      </c>
      <c r="C305" s="7" t="s">
        <v>562</v>
      </c>
      <c r="D305" s="7" t="s">
        <v>10</v>
      </c>
      <c r="E305" s="7" t="s">
        <v>626</v>
      </c>
      <c r="F305" s="7" t="s">
        <v>444</v>
      </c>
      <c r="G305" s="7" t="s">
        <v>444</v>
      </c>
      <c r="H305" s="7" t="s">
        <v>444</v>
      </c>
      <c r="I305" s="7" t="s">
        <v>626</v>
      </c>
      <c r="J305" s="1" t="s">
        <v>2244</v>
      </c>
      <c r="K305" s="5">
        <f>SUMIF(BC!$E$6:$E$347,$A305,BC!$K$6:$K$347)</f>
        <v>0</v>
      </c>
      <c r="L305" s="5" t="e">
        <f>SUMIF(#REF!,$A305,#REF!)+SUMIF(#REF!,$A305,#REF!)</f>
        <v>#REF!</v>
      </c>
      <c r="M305" s="5" t="e">
        <f>SUMIF(#REF!,Casilleros!$A305,#REF!)+SUMIF(#REF!,Casilleros!$A305,#REF!)+SUMIF(#REF!,$A305,#REF!)</f>
        <v>#REF!</v>
      </c>
      <c r="N305" s="5" t="e">
        <f>SUMIF(#REF!,$A305,#REF!)</f>
        <v>#REF!</v>
      </c>
      <c r="O305" s="5" t="e">
        <f>SUMIF(#REF!,$A305,#REF!)+SUMIF(#REF!,$A305,#REF!)</f>
        <v>#REF!</v>
      </c>
      <c r="P305" s="5">
        <f>IFERROR(VLOOKUP($A305,#REF!,2,FALSE),0)</f>
        <v>0</v>
      </c>
      <c r="Q305" s="42" t="e">
        <f t="shared" si="4"/>
        <v>#REF!</v>
      </c>
    </row>
    <row r="306" spans="1:17">
      <c r="A306" s="56" t="s">
        <v>631</v>
      </c>
      <c r="B306" s="7" t="s">
        <v>561</v>
      </c>
      <c r="C306" s="7" t="s">
        <v>562</v>
      </c>
      <c r="D306" s="7" t="s">
        <v>10</v>
      </c>
      <c r="E306" s="7" t="s">
        <v>629</v>
      </c>
      <c r="F306" s="7" t="s">
        <v>630</v>
      </c>
      <c r="G306" s="7" t="s">
        <v>444</v>
      </c>
      <c r="H306" s="7" t="s">
        <v>444</v>
      </c>
      <c r="I306" s="7" t="s">
        <v>1496</v>
      </c>
      <c r="J306" s="1" t="s">
        <v>2244</v>
      </c>
      <c r="K306" s="5">
        <f>SUMIF(BC!$E$6:$E$347,$A306,BC!$K$6:$K$347)</f>
        <v>0</v>
      </c>
      <c r="L306" s="5" t="e">
        <f>SUMIF(#REF!,$A306,#REF!)+SUMIF(#REF!,$A306,#REF!)</f>
        <v>#REF!</v>
      </c>
      <c r="M306" s="5" t="e">
        <f>SUMIF(#REF!,Casilleros!$A306,#REF!)+SUMIF(#REF!,Casilleros!$A306,#REF!)+SUMIF(#REF!,$A306,#REF!)</f>
        <v>#REF!</v>
      </c>
      <c r="N306" s="5" t="e">
        <f>SUMIF(#REF!,$A306,#REF!)</f>
        <v>#REF!</v>
      </c>
      <c r="O306" s="5" t="e">
        <f>SUMIF(#REF!,$A306,#REF!)+SUMIF(#REF!,$A306,#REF!)</f>
        <v>#REF!</v>
      </c>
      <c r="P306" s="5">
        <f>IFERROR(VLOOKUP($A306,#REF!,2,FALSE),0)</f>
        <v>0</v>
      </c>
      <c r="Q306" s="42" t="e">
        <f t="shared" si="4"/>
        <v>#REF!</v>
      </c>
    </row>
    <row r="307" spans="1:17">
      <c r="A307" s="56" t="s">
        <v>634</v>
      </c>
      <c r="B307" s="7" t="s">
        <v>561</v>
      </c>
      <c r="C307" s="7" t="s">
        <v>562</v>
      </c>
      <c r="D307" s="7" t="s">
        <v>10</v>
      </c>
      <c r="E307" s="7" t="s">
        <v>629</v>
      </c>
      <c r="F307" s="7" t="s">
        <v>633</v>
      </c>
      <c r="G307" s="7" t="s">
        <v>444</v>
      </c>
      <c r="H307" s="7" t="s">
        <v>444</v>
      </c>
      <c r="I307" s="7" t="s">
        <v>1497</v>
      </c>
      <c r="J307" s="1" t="s">
        <v>2244</v>
      </c>
      <c r="K307" s="5">
        <f>SUMIF(BC!$E$6:$E$347,$A307,BC!$K$6:$K$347)</f>
        <v>0</v>
      </c>
      <c r="L307" s="5" t="e">
        <f>SUMIF(#REF!,$A307,#REF!)+SUMIF(#REF!,$A307,#REF!)</f>
        <v>#REF!</v>
      </c>
      <c r="M307" s="5" t="e">
        <f>SUMIF(#REF!,Casilleros!$A307,#REF!)+SUMIF(#REF!,Casilleros!$A307,#REF!)+SUMIF(#REF!,$A307,#REF!)</f>
        <v>#REF!</v>
      </c>
      <c r="N307" s="5" t="e">
        <f>SUMIF(#REF!,$A307,#REF!)</f>
        <v>#REF!</v>
      </c>
      <c r="O307" s="5" t="e">
        <f>SUMIF(#REF!,$A307,#REF!)+SUMIF(#REF!,$A307,#REF!)</f>
        <v>#REF!</v>
      </c>
      <c r="P307" s="5">
        <f>IFERROR(VLOOKUP($A307,#REF!,2,FALSE),0)</f>
        <v>0</v>
      </c>
      <c r="Q307" s="42" t="e">
        <f t="shared" si="4"/>
        <v>#REF!</v>
      </c>
    </row>
    <row r="308" spans="1:17">
      <c r="A308" s="56" t="s">
        <v>637</v>
      </c>
      <c r="B308" s="7" t="s">
        <v>561</v>
      </c>
      <c r="C308" s="7" t="s">
        <v>562</v>
      </c>
      <c r="D308" s="7" t="s">
        <v>10</v>
      </c>
      <c r="E308" s="7" t="s">
        <v>629</v>
      </c>
      <c r="F308" s="7" t="s">
        <v>636</v>
      </c>
      <c r="G308" s="7" t="s">
        <v>444</v>
      </c>
      <c r="H308" s="7" t="s">
        <v>444</v>
      </c>
      <c r="I308" s="7" t="s">
        <v>1498</v>
      </c>
      <c r="J308" s="1" t="s">
        <v>2244</v>
      </c>
      <c r="K308" s="5">
        <f>SUMIF(BC!$E$6:$E$347,$A308,BC!$K$6:$K$347)</f>
        <v>0</v>
      </c>
      <c r="L308" s="5" t="e">
        <f>SUMIF(#REF!,$A308,#REF!)+SUMIF(#REF!,$A308,#REF!)</f>
        <v>#REF!</v>
      </c>
      <c r="M308" s="5" t="e">
        <f>SUMIF(#REF!,Casilleros!$A308,#REF!)+SUMIF(#REF!,Casilleros!$A308,#REF!)+SUMIF(#REF!,$A308,#REF!)</f>
        <v>#REF!</v>
      </c>
      <c r="N308" s="5" t="e">
        <f>SUMIF(#REF!,$A308,#REF!)</f>
        <v>#REF!</v>
      </c>
      <c r="O308" s="5" t="e">
        <f>SUMIF(#REF!,$A308,#REF!)+SUMIF(#REF!,$A308,#REF!)</f>
        <v>#REF!</v>
      </c>
      <c r="P308" s="5">
        <f>IFERROR(VLOOKUP($A308,#REF!,2,FALSE),0)</f>
        <v>0</v>
      </c>
      <c r="Q308" s="42" t="e">
        <f t="shared" si="4"/>
        <v>#REF!</v>
      </c>
    </row>
    <row r="309" spans="1:17">
      <c r="A309" s="56" t="s">
        <v>640</v>
      </c>
      <c r="B309" s="7" t="s">
        <v>561</v>
      </c>
      <c r="C309" s="7" t="s">
        <v>562</v>
      </c>
      <c r="D309" s="7" t="s">
        <v>10</v>
      </c>
      <c r="E309" s="7" t="s">
        <v>629</v>
      </c>
      <c r="F309" s="7" t="s">
        <v>639</v>
      </c>
      <c r="G309" s="7" t="s">
        <v>444</v>
      </c>
      <c r="H309" s="7" t="s">
        <v>444</v>
      </c>
      <c r="I309" s="7" t="s">
        <v>1499</v>
      </c>
      <c r="J309" s="1" t="s">
        <v>2244</v>
      </c>
      <c r="K309" s="5">
        <f>SUMIF(BC!$E$6:$E$347,$A309,BC!$K$6:$K$347)</f>
        <v>0</v>
      </c>
      <c r="L309" s="5" t="e">
        <f>SUMIF(#REF!,$A309,#REF!)+SUMIF(#REF!,$A309,#REF!)</f>
        <v>#REF!</v>
      </c>
      <c r="M309" s="5" t="e">
        <f>SUMIF(#REF!,Casilleros!$A309,#REF!)+SUMIF(#REF!,Casilleros!$A309,#REF!)+SUMIF(#REF!,$A309,#REF!)</f>
        <v>#REF!</v>
      </c>
      <c r="N309" s="5" t="e">
        <f>SUMIF(#REF!,$A309,#REF!)</f>
        <v>#REF!</v>
      </c>
      <c r="O309" s="5" t="e">
        <f>SUMIF(#REF!,$A309,#REF!)+SUMIF(#REF!,$A309,#REF!)</f>
        <v>#REF!</v>
      </c>
      <c r="P309" s="5">
        <f>IFERROR(VLOOKUP($A309,#REF!,2,FALSE),0)</f>
        <v>0</v>
      </c>
      <c r="Q309" s="42" t="e">
        <f t="shared" si="4"/>
        <v>#REF!</v>
      </c>
    </row>
    <row r="310" spans="1:17">
      <c r="A310" s="56" t="s">
        <v>643</v>
      </c>
      <c r="B310" s="7" t="s">
        <v>561</v>
      </c>
      <c r="C310" s="7" t="s">
        <v>562</v>
      </c>
      <c r="D310" s="7" t="s">
        <v>10</v>
      </c>
      <c r="E310" s="7" t="s">
        <v>629</v>
      </c>
      <c r="F310" s="7" t="s">
        <v>642</v>
      </c>
      <c r="G310" s="7" t="s">
        <v>444</v>
      </c>
      <c r="H310" s="7" t="s">
        <v>444</v>
      </c>
      <c r="I310" s="7" t="s">
        <v>1500</v>
      </c>
      <c r="J310" s="1" t="s">
        <v>2244</v>
      </c>
      <c r="K310" s="5">
        <f>SUMIF(BC!$E$6:$E$347,$A310,BC!$K$6:$K$347)</f>
        <v>0</v>
      </c>
      <c r="L310" s="5" t="e">
        <f>SUMIF(#REF!,$A310,#REF!)+SUMIF(#REF!,$A310,#REF!)</f>
        <v>#REF!</v>
      </c>
      <c r="M310" s="5" t="e">
        <f>SUMIF(#REF!,Casilleros!$A310,#REF!)+SUMIF(#REF!,Casilleros!$A310,#REF!)+SUMIF(#REF!,$A310,#REF!)</f>
        <v>#REF!</v>
      </c>
      <c r="N310" s="5" t="e">
        <f>SUMIF(#REF!,$A310,#REF!)</f>
        <v>#REF!</v>
      </c>
      <c r="O310" s="5" t="e">
        <f>SUMIF(#REF!,$A310,#REF!)+SUMIF(#REF!,$A310,#REF!)</f>
        <v>#REF!</v>
      </c>
      <c r="P310" s="5">
        <f>IFERROR(VLOOKUP($A310,#REF!,2,FALSE),0)</f>
        <v>0</v>
      </c>
      <c r="Q310" s="42" t="e">
        <f t="shared" si="4"/>
        <v>#REF!</v>
      </c>
    </row>
    <row r="311" spans="1:17">
      <c r="A311" s="56" t="s">
        <v>646</v>
      </c>
      <c r="B311" s="7" t="s">
        <v>561</v>
      </c>
      <c r="C311" s="7" t="s">
        <v>562</v>
      </c>
      <c r="D311" s="7" t="s">
        <v>10</v>
      </c>
      <c r="E311" s="7" t="s">
        <v>629</v>
      </c>
      <c r="F311" s="7" t="s">
        <v>645</v>
      </c>
      <c r="G311" s="7" t="s">
        <v>444</v>
      </c>
      <c r="H311" s="7" t="s">
        <v>444</v>
      </c>
      <c r="I311" s="7" t="s">
        <v>1501</v>
      </c>
      <c r="J311" s="1" t="s">
        <v>2244</v>
      </c>
      <c r="K311" s="5">
        <f>SUMIF(BC!$E$6:$E$347,$A311,BC!$K$6:$K$347)</f>
        <v>0</v>
      </c>
      <c r="L311" s="5" t="e">
        <f>SUMIF(#REF!,$A311,#REF!)+SUMIF(#REF!,$A311,#REF!)</f>
        <v>#REF!</v>
      </c>
      <c r="M311" s="5" t="e">
        <f>SUMIF(#REF!,Casilleros!$A311,#REF!)+SUMIF(#REF!,Casilleros!$A311,#REF!)+SUMIF(#REF!,$A311,#REF!)</f>
        <v>#REF!</v>
      </c>
      <c r="N311" s="5" t="e">
        <f>SUMIF(#REF!,$A311,#REF!)</f>
        <v>#REF!</v>
      </c>
      <c r="O311" s="5" t="e">
        <f>SUMIF(#REF!,$A311,#REF!)+SUMIF(#REF!,$A311,#REF!)</f>
        <v>#REF!</v>
      </c>
      <c r="P311" s="5">
        <f>IFERROR(VLOOKUP($A311,#REF!,2,FALSE),0)</f>
        <v>0</v>
      </c>
      <c r="Q311" s="42" t="e">
        <f t="shared" si="4"/>
        <v>#REF!</v>
      </c>
    </row>
    <row r="312" spans="1:17">
      <c r="A312" s="56" t="s">
        <v>649</v>
      </c>
      <c r="B312" s="7" t="s">
        <v>561</v>
      </c>
      <c r="C312" s="7" t="s">
        <v>562</v>
      </c>
      <c r="D312" s="7" t="s">
        <v>10</v>
      </c>
      <c r="E312" s="7" t="s">
        <v>629</v>
      </c>
      <c r="F312" s="7" t="s">
        <v>648</v>
      </c>
      <c r="G312" s="7" t="s">
        <v>444</v>
      </c>
      <c r="H312" s="7" t="s">
        <v>444</v>
      </c>
      <c r="I312" s="7" t="s">
        <v>1502</v>
      </c>
      <c r="J312" s="1" t="s">
        <v>2244</v>
      </c>
      <c r="K312" s="5">
        <f>SUMIF(BC!$E$6:$E$347,$A312,BC!$K$6:$K$347)</f>
        <v>0</v>
      </c>
      <c r="L312" s="5" t="e">
        <f>SUMIF(#REF!,$A312,#REF!)+SUMIF(#REF!,$A312,#REF!)</f>
        <v>#REF!</v>
      </c>
      <c r="M312" s="5" t="e">
        <f>SUMIF(#REF!,Casilleros!$A312,#REF!)+SUMIF(#REF!,Casilleros!$A312,#REF!)+SUMIF(#REF!,$A312,#REF!)</f>
        <v>#REF!</v>
      </c>
      <c r="N312" s="5" t="e">
        <f>SUMIF(#REF!,$A312,#REF!)</f>
        <v>#REF!</v>
      </c>
      <c r="O312" s="5" t="e">
        <f>SUMIF(#REF!,$A312,#REF!)+SUMIF(#REF!,$A312,#REF!)</f>
        <v>#REF!</v>
      </c>
      <c r="P312" s="5">
        <f>IFERROR(VLOOKUP($A312,#REF!,2,FALSE),0)</f>
        <v>0</v>
      </c>
      <c r="Q312" s="42" t="e">
        <f t="shared" si="4"/>
        <v>#REF!</v>
      </c>
    </row>
    <row r="313" spans="1:17">
      <c r="A313" s="56" t="s">
        <v>652</v>
      </c>
      <c r="B313" s="7" t="s">
        <v>561</v>
      </c>
      <c r="C313" s="7" t="s">
        <v>562</v>
      </c>
      <c r="D313" s="7" t="s">
        <v>10</v>
      </c>
      <c r="E313" s="7" t="s">
        <v>629</v>
      </c>
      <c r="F313" s="7" t="s">
        <v>651</v>
      </c>
      <c r="G313" s="7" t="s">
        <v>444</v>
      </c>
      <c r="H313" s="7" t="s">
        <v>444</v>
      </c>
      <c r="I313" s="7" t="s">
        <v>1503</v>
      </c>
      <c r="J313" s="1" t="s">
        <v>2244</v>
      </c>
      <c r="K313" s="5">
        <f>SUMIF(BC!$E$6:$E$347,$A313,BC!$K$6:$K$347)</f>
        <v>0</v>
      </c>
      <c r="L313" s="5" t="e">
        <f>SUMIF(#REF!,$A313,#REF!)+SUMIF(#REF!,$A313,#REF!)</f>
        <v>#REF!</v>
      </c>
      <c r="M313" s="5" t="e">
        <f>SUMIF(#REF!,Casilleros!$A313,#REF!)+SUMIF(#REF!,Casilleros!$A313,#REF!)+SUMIF(#REF!,$A313,#REF!)</f>
        <v>#REF!</v>
      </c>
      <c r="N313" s="5" t="e">
        <f>SUMIF(#REF!,$A313,#REF!)</f>
        <v>#REF!</v>
      </c>
      <c r="O313" s="5" t="e">
        <f>SUMIF(#REF!,$A313,#REF!)+SUMIF(#REF!,$A313,#REF!)</f>
        <v>#REF!</v>
      </c>
      <c r="P313" s="5">
        <f>IFERROR(VLOOKUP($A313,#REF!,2,FALSE),0)</f>
        <v>0</v>
      </c>
      <c r="Q313" s="42" t="e">
        <f t="shared" si="4"/>
        <v>#REF!</v>
      </c>
    </row>
    <row r="314" spans="1:17">
      <c r="A314" s="56" t="s">
        <v>655</v>
      </c>
      <c r="B314" s="7" t="s">
        <v>561</v>
      </c>
      <c r="C314" s="7" t="s">
        <v>562</v>
      </c>
      <c r="D314" s="7" t="s">
        <v>10</v>
      </c>
      <c r="E314" s="7" t="s">
        <v>629</v>
      </c>
      <c r="F314" s="7" t="s">
        <v>654</v>
      </c>
      <c r="G314" s="7" t="s">
        <v>444</v>
      </c>
      <c r="H314" s="7" t="s">
        <v>444</v>
      </c>
      <c r="I314" s="7" t="s">
        <v>1504</v>
      </c>
      <c r="J314" s="1" t="s">
        <v>2244</v>
      </c>
      <c r="K314" s="5">
        <f>SUMIF(BC!$E$6:$E$347,$A314,BC!$K$6:$K$347)</f>
        <v>0</v>
      </c>
      <c r="L314" s="5" t="e">
        <f>SUMIF(#REF!,$A314,#REF!)+SUMIF(#REF!,$A314,#REF!)</f>
        <v>#REF!</v>
      </c>
      <c r="M314" s="5" t="e">
        <f>SUMIF(#REF!,Casilleros!$A314,#REF!)+SUMIF(#REF!,Casilleros!$A314,#REF!)+SUMIF(#REF!,$A314,#REF!)</f>
        <v>#REF!</v>
      </c>
      <c r="N314" s="5" t="e">
        <f>SUMIF(#REF!,$A314,#REF!)</f>
        <v>#REF!</v>
      </c>
      <c r="O314" s="5" t="e">
        <f>SUMIF(#REF!,$A314,#REF!)+SUMIF(#REF!,$A314,#REF!)</f>
        <v>#REF!</v>
      </c>
      <c r="P314" s="5">
        <f>IFERROR(VLOOKUP($A314,#REF!,2,FALSE),0)</f>
        <v>0</v>
      </c>
      <c r="Q314" s="42" t="e">
        <f t="shared" si="4"/>
        <v>#REF!</v>
      </c>
    </row>
    <row r="315" spans="1:17">
      <c r="A315" s="56" t="s">
        <v>657</v>
      </c>
      <c r="B315" s="7" t="s">
        <v>561</v>
      </c>
      <c r="C315" s="7" t="s">
        <v>562</v>
      </c>
      <c r="D315" s="7" t="s">
        <v>10</v>
      </c>
      <c r="E315" s="7" t="s">
        <v>629</v>
      </c>
      <c r="F315" s="7" t="s">
        <v>425</v>
      </c>
      <c r="G315" s="7" t="s">
        <v>444</v>
      </c>
      <c r="H315" s="7" t="s">
        <v>444</v>
      </c>
      <c r="I315" s="7" t="s">
        <v>1505</v>
      </c>
      <c r="J315" s="1" t="s">
        <v>2244</v>
      </c>
      <c r="K315" s="5">
        <f>SUMIF(BC!$E$6:$E$347,$A315,BC!$K$6:$K$347)</f>
        <v>0</v>
      </c>
      <c r="L315" s="5" t="e">
        <f>SUMIF(#REF!,$A315,#REF!)+SUMIF(#REF!,$A315,#REF!)</f>
        <v>#REF!</v>
      </c>
      <c r="M315" s="5" t="e">
        <f>SUMIF(#REF!,Casilleros!$A315,#REF!)+SUMIF(#REF!,Casilleros!$A315,#REF!)+SUMIF(#REF!,$A315,#REF!)</f>
        <v>#REF!</v>
      </c>
      <c r="N315" s="5" t="e">
        <f>SUMIF(#REF!,$A315,#REF!)</f>
        <v>#REF!</v>
      </c>
      <c r="O315" s="5" t="e">
        <f>SUMIF(#REF!,$A315,#REF!)+SUMIF(#REF!,$A315,#REF!)</f>
        <v>#REF!</v>
      </c>
      <c r="P315" s="5">
        <f>IFERROR(VLOOKUP($A315,#REF!,2,FALSE),0)</f>
        <v>0</v>
      </c>
      <c r="Q315" s="42" t="e">
        <f t="shared" si="4"/>
        <v>#REF!</v>
      </c>
    </row>
    <row r="316" spans="1:17">
      <c r="A316" s="56" t="s">
        <v>660</v>
      </c>
      <c r="B316" s="7" t="s">
        <v>561</v>
      </c>
      <c r="C316" s="7" t="s">
        <v>562</v>
      </c>
      <c r="D316" s="7" t="s">
        <v>10</v>
      </c>
      <c r="E316" s="7" t="s">
        <v>659</v>
      </c>
      <c r="F316" s="7" t="s">
        <v>411</v>
      </c>
      <c r="G316" s="7" t="s">
        <v>444</v>
      </c>
      <c r="H316" s="7" t="s">
        <v>444</v>
      </c>
      <c r="I316" s="7" t="s">
        <v>1506</v>
      </c>
      <c r="J316" s="1" t="s">
        <v>2244</v>
      </c>
      <c r="K316" s="5">
        <f>SUMIF(BC!$E$6:$E$347,$A316,BC!$K$6:$K$347)</f>
        <v>0</v>
      </c>
      <c r="L316" s="5" t="e">
        <f>SUMIF(#REF!,$A316,#REF!)+SUMIF(#REF!,$A316,#REF!)</f>
        <v>#REF!</v>
      </c>
      <c r="M316" s="5" t="e">
        <f>SUMIF(#REF!,Casilleros!$A316,#REF!)+SUMIF(#REF!,Casilleros!$A316,#REF!)+SUMIF(#REF!,$A316,#REF!)</f>
        <v>#REF!</v>
      </c>
      <c r="N316" s="5" t="e">
        <f>SUMIF(#REF!,$A316,#REF!)</f>
        <v>#REF!</v>
      </c>
      <c r="O316" s="5" t="e">
        <f>SUMIF(#REF!,$A316,#REF!)+SUMIF(#REF!,$A316,#REF!)</f>
        <v>#REF!</v>
      </c>
      <c r="P316" s="5">
        <f>IFERROR(VLOOKUP($A316,#REF!,2,FALSE),0)</f>
        <v>0</v>
      </c>
      <c r="Q316" s="42" t="e">
        <f t="shared" si="4"/>
        <v>#REF!</v>
      </c>
    </row>
    <row r="317" spans="1:17">
      <c r="A317" s="56" t="s">
        <v>663</v>
      </c>
      <c r="B317" s="7" t="s">
        <v>561</v>
      </c>
      <c r="C317" s="7" t="s">
        <v>562</v>
      </c>
      <c r="D317" s="7" t="s">
        <v>10</v>
      </c>
      <c r="E317" s="7" t="s">
        <v>659</v>
      </c>
      <c r="F317" s="7" t="s">
        <v>662</v>
      </c>
      <c r="G317" s="7" t="s">
        <v>444</v>
      </c>
      <c r="H317" s="7" t="s">
        <v>444</v>
      </c>
      <c r="I317" s="7" t="s">
        <v>1507</v>
      </c>
      <c r="J317" s="1" t="s">
        <v>2244</v>
      </c>
      <c r="K317" s="5">
        <f>SUMIF(BC!$E$6:$E$347,$A317,BC!$K$6:$K$347)</f>
        <v>0</v>
      </c>
      <c r="L317" s="5" t="e">
        <f>SUMIF(#REF!,$A317,#REF!)+SUMIF(#REF!,$A317,#REF!)</f>
        <v>#REF!</v>
      </c>
      <c r="M317" s="5" t="e">
        <f>SUMIF(#REF!,Casilleros!$A317,#REF!)+SUMIF(#REF!,Casilleros!$A317,#REF!)+SUMIF(#REF!,$A317,#REF!)</f>
        <v>#REF!</v>
      </c>
      <c r="N317" s="5" t="e">
        <f>SUMIF(#REF!,$A317,#REF!)</f>
        <v>#REF!</v>
      </c>
      <c r="O317" s="5" t="e">
        <f>SUMIF(#REF!,$A317,#REF!)+SUMIF(#REF!,$A317,#REF!)</f>
        <v>#REF!</v>
      </c>
      <c r="P317" s="5">
        <f>IFERROR(VLOOKUP($A317,#REF!,2,FALSE),0)</f>
        <v>0</v>
      </c>
      <c r="Q317" s="42" t="e">
        <f t="shared" si="4"/>
        <v>#REF!</v>
      </c>
    </row>
    <row r="318" spans="1:17">
      <c r="A318" s="56" t="s">
        <v>665</v>
      </c>
      <c r="B318" s="7" t="s">
        <v>561</v>
      </c>
      <c r="C318" s="7" t="s">
        <v>562</v>
      </c>
      <c r="D318" s="7" t="s">
        <v>10</v>
      </c>
      <c r="E318" s="7" t="s">
        <v>659</v>
      </c>
      <c r="F318" s="7" t="s">
        <v>415</v>
      </c>
      <c r="G318" s="7" t="s">
        <v>444</v>
      </c>
      <c r="H318" s="7" t="s">
        <v>444</v>
      </c>
      <c r="I318" s="7" t="s">
        <v>1508</v>
      </c>
      <c r="J318" s="1" t="s">
        <v>2244</v>
      </c>
      <c r="K318" s="5">
        <f>SUMIF(BC!$E$6:$E$347,$A318,BC!$K$6:$K$347)</f>
        <v>0</v>
      </c>
      <c r="L318" s="5" t="e">
        <f>SUMIF(#REF!,$A318,#REF!)+SUMIF(#REF!,$A318,#REF!)</f>
        <v>#REF!</v>
      </c>
      <c r="M318" s="5" t="e">
        <f>SUMIF(#REF!,Casilleros!$A318,#REF!)+SUMIF(#REF!,Casilleros!$A318,#REF!)+SUMIF(#REF!,$A318,#REF!)</f>
        <v>#REF!</v>
      </c>
      <c r="N318" s="5" t="e">
        <f>SUMIF(#REF!,$A318,#REF!)</f>
        <v>#REF!</v>
      </c>
      <c r="O318" s="5" t="e">
        <f>SUMIF(#REF!,$A318,#REF!)+SUMIF(#REF!,$A318,#REF!)</f>
        <v>#REF!</v>
      </c>
      <c r="P318" s="5">
        <f>IFERROR(VLOOKUP($A318,#REF!,2,FALSE),0)</f>
        <v>0</v>
      </c>
      <c r="Q318" s="42" t="e">
        <f t="shared" si="4"/>
        <v>#REF!</v>
      </c>
    </row>
    <row r="319" spans="1:17">
      <c r="A319" s="56" t="s">
        <v>667</v>
      </c>
      <c r="B319" s="7" t="s">
        <v>561</v>
      </c>
      <c r="C319" s="7" t="s">
        <v>562</v>
      </c>
      <c r="D319" s="7" t="s">
        <v>10</v>
      </c>
      <c r="E319" s="7" t="s">
        <v>659</v>
      </c>
      <c r="F319" s="7" t="s">
        <v>417</v>
      </c>
      <c r="G319" s="7" t="s">
        <v>444</v>
      </c>
      <c r="H319" s="7" t="s">
        <v>444</v>
      </c>
      <c r="I319" s="7" t="s">
        <v>1509</v>
      </c>
      <c r="J319" s="1" t="s">
        <v>2244</v>
      </c>
      <c r="K319" s="5">
        <f>SUMIF(BC!$E$6:$E$347,$A319,BC!$K$6:$K$347)</f>
        <v>0</v>
      </c>
      <c r="L319" s="5" t="e">
        <f>SUMIF(#REF!,$A319,#REF!)+SUMIF(#REF!,$A319,#REF!)</f>
        <v>#REF!</v>
      </c>
      <c r="M319" s="5" t="e">
        <f>SUMIF(#REF!,Casilleros!$A319,#REF!)+SUMIF(#REF!,Casilleros!$A319,#REF!)+SUMIF(#REF!,$A319,#REF!)</f>
        <v>#REF!</v>
      </c>
      <c r="N319" s="5" t="e">
        <f>SUMIF(#REF!,$A319,#REF!)</f>
        <v>#REF!</v>
      </c>
      <c r="O319" s="5" t="e">
        <f>SUMIF(#REF!,$A319,#REF!)+SUMIF(#REF!,$A319,#REF!)</f>
        <v>#REF!</v>
      </c>
      <c r="P319" s="5">
        <f>IFERROR(VLOOKUP($A319,#REF!,2,FALSE),0)</f>
        <v>0</v>
      </c>
      <c r="Q319" s="42" t="e">
        <f t="shared" si="4"/>
        <v>#REF!</v>
      </c>
    </row>
    <row r="320" spans="1:17">
      <c r="A320" s="56" t="s">
        <v>669</v>
      </c>
      <c r="B320" s="7" t="s">
        <v>561</v>
      </c>
      <c r="C320" s="7" t="s">
        <v>562</v>
      </c>
      <c r="D320" s="7" t="s">
        <v>10</v>
      </c>
      <c r="E320" s="7" t="s">
        <v>659</v>
      </c>
      <c r="F320" s="7" t="s">
        <v>419</v>
      </c>
      <c r="G320" s="7" t="s">
        <v>444</v>
      </c>
      <c r="H320" s="7" t="s">
        <v>444</v>
      </c>
      <c r="I320" s="7" t="s">
        <v>1510</v>
      </c>
      <c r="J320" s="1" t="s">
        <v>2244</v>
      </c>
      <c r="K320" s="5">
        <f>SUMIF(BC!$E$6:$E$347,$A320,BC!$K$6:$K$347)</f>
        <v>0</v>
      </c>
      <c r="L320" s="5" t="e">
        <f>SUMIF(#REF!,$A320,#REF!)+SUMIF(#REF!,$A320,#REF!)</f>
        <v>#REF!</v>
      </c>
      <c r="M320" s="5" t="e">
        <f>SUMIF(#REF!,Casilleros!$A320,#REF!)+SUMIF(#REF!,Casilleros!$A320,#REF!)+SUMIF(#REF!,$A320,#REF!)</f>
        <v>#REF!</v>
      </c>
      <c r="N320" s="5" t="e">
        <f>SUMIF(#REF!,$A320,#REF!)</f>
        <v>#REF!</v>
      </c>
      <c r="O320" s="5" t="e">
        <f>SUMIF(#REF!,$A320,#REF!)+SUMIF(#REF!,$A320,#REF!)</f>
        <v>#REF!</v>
      </c>
      <c r="P320" s="5">
        <f>IFERROR(VLOOKUP($A320,#REF!,2,FALSE),0)</f>
        <v>0</v>
      </c>
      <c r="Q320" s="42" t="e">
        <f t="shared" si="4"/>
        <v>#REF!</v>
      </c>
    </row>
    <row r="321" spans="1:17">
      <c r="A321" s="56" t="s">
        <v>671</v>
      </c>
      <c r="B321" s="7" t="s">
        <v>561</v>
      </c>
      <c r="C321" s="7" t="s">
        <v>562</v>
      </c>
      <c r="D321" s="7" t="s">
        <v>10</v>
      </c>
      <c r="E321" s="7" t="s">
        <v>659</v>
      </c>
      <c r="F321" s="7" t="s">
        <v>421</v>
      </c>
      <c r="G321" s="7" t="s">
        <v>444</v>
      </c>
      <c r="H321" s="7" t="s">
        <v>444</v>
      </c>
      <c r="I321" s="7" t="s">
        <v>1511</v>
      </c>
      <c r="J321" s="1" t="s">
        <v>2244</v>
      </c>
      <c r="K321" s="5">
        <f>SUMIF(BC!$E$6:$E$347,$A321,BC!$K$6:$K$347)</f>
        <v>0</v>
      </c>
      <c r="L321" s="5" t="e">
        <f>SUMIF(#REF!,$A321,#REF!)+SUMIF(#REF!,$A321,#REF!)</f>
        <v>#REF!</v>
      </c>
      <c r="M321" s="5" t="e">
        <f>SUMIF(#REF!,Casilleros!$A321,#REF!)+SUMIF(#REF!,Casilleros!$A321,#REF!)+SUMIF(#REF!,$A321,#REF!)</f>
        <v>#REF!</v>
      </c>
      <c r="N321" s="5" t="e">
        <f>SUMIF(#REF!,$A321,#REF!)</f>
        <v>#REF!</v>
      </c>
      <c r="O321" s="5" t="e">
        <f>SUMIF(#REF!,$A321,#REF!)+SUMIF(#REF!,$A321,#REF!)</f>
        <v>#REF!</v>
      </c>
      <c r="P321" s="5">
        <f>IFERROR(VLOOKUP($A321,#REF!,2,FALSE),0)</f>
        <v>0</v>
      </c>
      <c r="Q321" s="42" t="e">
        <f t="shared" si="4"/>
        <v>#REF!</v>
      </c>
    </row>
    <row r="322" spans="1:17">
      <c r="A322" s="56" t="s">
        <v>673</v>
      </c>
      <c r="B322" s="7" t="s">
        <v>561</v>
      </c>
      <c r="C322" s="7" t="s">
        <v>562</v>
      </c>
      <c r="D322" s="7" t="s">
        <v>10</v>
      </c>
      <c r="E322" s="7" t="s">
        <v>659</v>
      </c>
      <c r="F322" s="7" t="s">
        <v>423</v>
      </c>
      <c r="G322" s="7" t="s">
        <v>444</v>
      </c>
      <c r="H322" s="7" t="s">
        <v>444</v>
      </c>
      <c r="I322" s="7" t="s">
        <v>1512</v>
      </c>
      <c r="J322" s="1" t="s">
        <v>2244</v>
      </c>
      <c r="K322" s="5">
        <f>SUMIF(BC!$E$6:$E$347,$A322,BC!$K$6:$K$347)</f>
        <v>0</v>
      </c>
      <c r="L322" s="5" t="e">
        <f>SUMIF(#REF!,$A322,#REF!)+SUMIF(#REF!,$A322,#REF!)</f>
        <v>#REF!</v>
      </c>
      <c r="M322" s="5" t="e">
        <f>SUMIF(#REF!,Casilleros!$A322,#REF!)+SUMIF(#REF!,Casilleros!$A322,#REF!)+SUMIF(#REF!,$A322,#REF!)</f>
        <v>#REF!</v>
      </c>
      <c r="N322" s="5" t="e">
        <f>SUMIF(#REF!,$A322,#REF!)</f>
        <v>#REF!</v>
      </c>
      <c r="O322" s="5" t="e">
        <f>SUMIF(#REF!,$A322,#REF!)+SUMIF(#REF!,$A322,#REF!)</f>
        <v>#REF!</v>
      </c>
      <c r="P322" s="5">
        <f>IFERROR(VLOOKUP($A322,#REF!,2,FALSE),0)</f>
        <v>0</v>
      </c>
      <c r="Q322" s="42" t="e">
        <f t="shared" si="4"/>
        <v>#REF!</v>
      </c>
    </row>
    <row r="323" spans="1:17">
      <c r="A323" s="56" t="s">
        <v>675</v>
      </c>
      <c r="B323" s="7" t="s">
        <v>561</v>
      </c>
      <c r="C323" s="7" t="s">
        <v>562</v>
      </c>
      <c r="D323" s="7" t="s">
        <v>10</v>
      </c>
      <c r="E323" s="7" t="s">
        <v>659</v>
      </c>
      <c r="F323" s="7" t="s">
        <v>425</v>
      </c>
      <c r="G323" s="7" t="s">
        <v>444</v>
      </c>
      <c r="H323" s="7" t="s">
        <v>444</v>
      </c>
      <c r="I323" s="7" t="s">
        <v>1513</v>
      </c>
      <c r="J323" s="1" t="s">
        <v>2244</v>
      </c>
      <c r="K323" s="5">
        <f>SUMIF(BC!$E$6:$E$347,$A323,BC!$K$6:$K$347)</f>
        <v>0</v>
      </c>
      <c r="L323" s="5" t="e">
        <f>SUMIF(#REF!,$A323,#REF!)+SUMIF(#REF!,$A323,#REF!)</f>
        <v>#REF!</v>
      </c>
      <c r="M323" s="5" t="e">
        <f>SUMIF(#REF!,Casilleros!$A323,#REF!)+SUMIF(#REF!,Casilleros!$A323,#REF!)+SUMIF(#REF!,$A323,#REF!)</f>
        <v>#REF!</v>
      </c>
      <c r="N323" s="5" t="e">
        <f>SUMIF(#REF!,$A323,#REF!)</f>
        <v>#REF!</v>
      </c>
      <c r="O323" s="5" t="e">
        <f>SUMIF(#REF!,$A323,#REF!)+SUMIF(#REF!,$A323,#REF!)</f>
        <v>#REF!</v>
      </c>
      <c r="P323" s="5">
        <f>IFERROR(VLOOKUP($A323,#REF!,2,FALSE),0)</f>
        <v>0</v>
      </c>
      <c r="Q323" s="42" t="e">
        <f t="shared" si="4"/>
        <v>#REF!</v>
      </c>
    </row>
    <row r="324" spans="1:17">
      <c r="A324" s="56" t="s">
        <v>679</v>
      </c>
      <c r="B324" s="7" t="s">
        <v>561</v>
      </c>
      <c r="C324" s="7" t="s">
        <v>562</v>
      </c>
      <c r="D324" s="7" t="s">
        <v>10</v>
      </c>
      <c r="E324" s="7" t="s">
        <v>677</v>
      </c>
      <c r="F324" s="7" t="s">
        <v>678</v>
      </c>
      <c r="G324" s="7" t="s">
        <v>444</v>
      </c>
      <c r="H324" s="7" t="s">
        <v>444</v>
      </c>
      <c r="I324" s="7" t="s">
        <v>1514</v>
      </c>
      <c r="J324" s="1" t="s">
        <v>2244</v>
      </c>
      <c r="K324" s="5">
        <f>SUMIF(BC!$E$6:$E$347,$A324,BC!$K$6:$K$347)</f>
        <v>0</v>
      </c>
      <c r="L324" s="5" t="e">
        <f>SUMIF(#REF!,$A324,#REF!)+SUMIF(#REF!,$A324,#REF!)</f>
        <v>#REF!</v>
      </c>
      <c r="M324" s="5" t="e">
        <f>SUMIF(#REF!,Casilleros!$A324,#REF!)+SUMIF(#REF!,Casilleros!$A324,#REF!)+SUMIF(#REF!,$A324,#REF!)</f>
        <v>#REF!</v>
      </c>
      <c r="N324" s="5" t="e">
        <f>SUMIF(#REF!,$A324,#REF!)</f>
        <v>#REF!</v>
      </c>
      <c r="O324" s="5" t="e">
        <f>SUMIF(#REF!,$A324,#REF!)+SUMIF(#REF!,$A324,#REF!)</f>
        <v>#REF!</v>
      </c>
      <c r="P324" s="5">
        <f>IFERROR(VLOOKUP($A324,#REF!,2,FALSE),0)</f>
        <v>0</v>
      </c>
      <c r="Q324" s="42" t="e">
        <f t="shared" si="4"/>
        <v>#REF!</v>
      </c>
    </row>
    <row r="325" spans="1:17">
      <c r="A325" s="56" t="s">
        <v>681</v>
      </c>
      <c r="B325" s="7" t="s">
        <v>561</v>
      </c>
      <c r="C325" s="7" t="s">
        <v>562</v>
      </c>
      <c r="D325" s="7" t="s">
        <v>10</v>
      </c>
      <c r="E325" s="7" t="s">
        <v>677</v>
      </c>
      <c r="F325" s="7" t="s">
        <v>122</v>
      </c>
      <c r="G325" s="7" t="s">
        <v>444</v>
      </c>
      <c r="H325" s="7" t="s">
        <v>444</v>
      </c>
      <c r="I325" s="7" t="s">
        <v>1515</v>
      </c>
      <c r="J325" s="1" t="s">
        <v>2244</v>
      </c>
      <c r="K325" s="5">
        <f>SUMIF(BC!$E$6:$E$347,$A325,BC!$K$6:$K$347)</f>
        <v>0</v>
      </c>
      <c r="L325" s="5" t="e">
        <f>SUMIF(#REF!,$A325,#REF!)+SUMIF(#REF!,$A325,#REF!)</f>
        <v>#REF!</v>
      </c>
      <c r="M325" s="5" t="e">
        <f>SUMIF(#REF!,Casilleros!$A325,#REF!)+SUMIF(#REF!,Casilleros!$A325,#REF!)+SUMIF(#REF!,$A325,#REF!)</f>
        <v>#REF!</v>
      </c>
      <c r="N325" s="5" t="e">
        <f>SUMIF(#REF!,$A325,#REF!)</f>
        <v>#REF!</v>
      </c>
      <c r="O325" s="5" t="e">
        <f>SUMIF(#REF!,$A325,#REF!)+SUMIF(#REF!,$A325,#REF!)</f>
        <v>#REF!</v>
      </c>
      <c r="P325" s="5">
        <f>IFERROR(VLOOKUP($A325,#REF!,2,FALSE),0)</f>
        <v>0</v>
      </c>
      <c r="Q325" s="42" t="e">
        <f t="shared" si="4"/>
        <v>#REF!</v>
      </c>
    </row>
    <row r="326" spans="1:17">
      <c r="A326" s="56" t="s">
        <v>685</v>
      </c>
      <c r="B326" s="7" t="s">
        <v>561</v>
      </c>
      <c r="C326" s="7" t="s">
        <v>562</v>
      </c>
      <c r="D326" s="7" t="s">
        <v>10</v>
      </c>
      <c r="E326" s="7" t="s">
        <v>683</v>
      </c>
      <c r="F326" s="7" t="s">
        <v>684</v>
      </c>
      <c r="G326" s="7" t="s">
        <v>444</v>
      </c>
      <c r="H326" s="7" t="s">
        <v>444</v>
      </c>
      <c r="I326" s="7" t="s">
        <v>1516</v>
      </c>
      <c r="J326" s="1" t="s">
        <v>2244</v>
      </c>
      <c r="K326" s="5">
        <f>SUMIF(BC!$E$6:$E$347,$A326,BC!$K$6:$K$347)</f>
        <v>0</v>
      </c>
      <c r="L326" s="5" t="e">
        <f>SUMIF(#REF!,$A326,#REF!)+SUMIF(#REF!,$A326,#REF!)</f>
        <v>#REF!</v>
      </c>
      <c r="M326" s="5" t="e">
        <f>SUMIF(#REF!,Casilleros!$A326,#REF!)+SUMIF(#REF!,Casilleros!$A326,#REF!)+SUMIF(#REF!,$A326,#REF!)</f>
        <v>#REF!</v>
      </c>
      <c r="N326" s="5" t="e">
        <f>SUMIF(#REF!,$A326,#REF!)</f>
        <v>#REF!</v>
      </c>
      <c r="O326" s="5" t="e">
        <f>SUMIF(#REF!,$A326,#REF!)+SUMIF(#REF!,$A326,#REF!)</f>
        <v>#REF!</v>
      </c>
      <c r="P326" s="5">
        <f>IFERROR(VLOOKUP($A326,#REF!,2,FALSE),0)</f>
        <v>0</v>
      </c>
      <c r="Q326" s="42" t="e">
        <f t="shared" ref="Q326:Q389" si="5">SUM(K326:P326)</f>
        <v>#REF!</v>
      </c>
    </row>
    <row r="327" spans="1:17">
      <c r="A327" s="56" t="s">
        <v>688</v>
      </c>
      <c r="B327" s="7" t="s">
        <v>561</v>
      </c>
      <c r="C327" s="7" t="s">
        <v>562</v>
      </c>
      <c r="D327" s="7" t="s">
        <v>10</v>
      </c>
      <c r="E327" s="7" t="s">
        <v>683</v>
      </c>
      <c r="F327" s="7" t="s">
        <v>687</v>
      </c>
      <c r="G327" s="7" t="s">
        <v>444</v>
      </c>
      <c r="H327" s="7" t="s">
        <v>444</v>
      </c>
      <c r="I327" s="7" t="s">
        <v>1517</v>
      </c>
      <c r="J327" s="1" t="s">
        <v>2244</v>
      </c>
      <c r="K327" s="5">
        <f>SUMIF(BC!$E$6:$E$347,$A327,BC!$K$6:$K$347)</f>
        <v>0</v>
      </c>
      <c r="L327" s="5" t="e">
        <f>SUMIF(#REF!,$A327,#REF!)+SUMIF(#REF!,$A327,#REF!)</f>
        <v>#REF!</v>
      </c>
      <c r="M327" s="5" t="e">
        <f>SUMIF(#REF!,Casilleros!$A327,#REF!)+SUMIF(#REF!,Casilleros!$A327,#REF!)+SUMIF(#REF!,$A327,#REF!)</f>
        <v>#REF!</v>
      </c>
      <c r="N327" s="5" t="e">
        <f>SUMIF(#REF!,$A327,#REF!)</f>
        <v>#REF!</v>
      </c>
      <c r="O327" s="5" t="e">
        <f>SUMIF(#REF!,$A327,#REF!)+SUMIF(#REF!,$A327,#REF!)</f>
        <v>#REF!</v>
      </c>
      <c r="P327" s="5">
        <f>IFERROR(VLOOKUP($A327,#REF!,2,FALSE),0)</f>
        <v>0</v>
      </c>
      <c r="Q327" s="42" t="e">
        <f t="shared" si="5"/>
        <v>#REF!</v>
      </c>
    </row>
    <row r="328" spans="1:17">
      <c r="A328" s="56" t="s">
        <v>690</v>
      </c>
      <c r="B328" s="7" t="s">
        <v>561</v>
      </c>
      <c r="C328" s="7" t="s">
        <v>562</v>
      </c>
      <c r="D328" s="7" t="s">
        <v>10</v>
      </c>
      <c r="E328" s="7" t="s">
        <v>683</v>
      </c>
      <c r="F328" s="7" t="s">
        <v>26</v>
      </c>
      <c r="G328" s="7" t="s">
        <v>444</v>
      </c>
      <c r="H328" s="7" t="s">
        <v>444</v>
      </c>
      <c r="I328" s="7" t="s">
        <v>1518</v>
      </c>
      <c r="J328" s="1" t="s">
        <v>2244</v>
      </c>
      <c r="K328" s="5">
        <f>SUMIF(BC!$E$6:$E$347,$A328,BC!$K$6:$K$347)</f>
        <v>0</v>
      </c>
      <c r="L328" s="5" t="e">
        <f>SUMIF(#REF!,$A328,#REF!)+SUMIF(#REF!,$A328,#REF!)</f>
        <v>#REF!</v>
      </c>
      <c r="M328" s="5" t="e">
        <f>SUMIF(#REF!,Casilleros!$A328,#REF!)+SUMIF(#REF!,Casilleros!$A328,#REF!)+SUMIF(#REF!,$A328,#REF!)</f>
        <v>#REF!</v>
      </c>
      <c r="N328" s="5" t="e">
        <f>SUMIF(#REF!,$A328,#REF!)</f>
        <v>#REF!</v>
      </c>
      <c r="O328" s="5" t="e">
        <f>SUMIF(#REF!,$A328,#REF!)+SUMIF(#REF!,$A328,#REF!)</f>
        <v>#REF!</v>
      </c>
      <c r="P328" s="5">
        <f>IFERROR(VLOOKUP($A328,#REF!,2,FALSE),0)</f>
        <v>0</v>
      </c>
      <c r="Q328" s="42" t="e">
        <f t="shared" si="5"/>
        <v>#REF!</v>
      </c>
    </row>
    <row r="329" spans="1:17">
      <c r="A329" s="56" t="s">
        <v>694</v>
      </c>
      <c r="B329" s="7" t="s">
        <v>561</v>
      </c>
      <c r="C329" s="7" t="s">
        <v>562</v>
      </c>
      <c r="D329" s="7" t="s">
        <v>10</v>
      </c>
      <c r="E329" s="7" t="s">
        <v>692</v>
      </c>
      <c r="F329" s="7" t="s">
        <v>693</v>
      </c>
      <c r="G329" s="7" t="s">
        <v>444</v>
      </c>
      <c r="H329" s="7" t="s">
        <v>444</v>
      </c>
      <c r="I329" s="7" t="s">
        <v>1519</v>
      </c>
      <c r="J329" s="1" t="s">
        <v>2244</v>
      </c>
      <c r="K329" s="5">
        <f>SUMIF(BC!$E$6:$E$347,$A329,BC!$K$6:$K$347)</f>
        <v>0</v>
      </c>
      <c r="L329" s="5" t="e">
        <f>SUMIF(#REF!,$A329,#REF!)+SUMIF(#REF!,$A329,#REF!)</f>
        <v>#REF!</v>
      </c>
      <c r="M329" s="5" t="e">
        <f>SUMIF(#REF!,Casilleros!$A329,#REF!)+SUMIF(#REF!,Casilleros!$A329,#REF!)+SUMIF(#REF!,$A329,#REF!)</f>
        <v>#REF!</v>
      </c>
      <c r="N329" s="5" t="e">
        <f>SUMIF(#REF!,$A329,#REF!)</f>
        <v>#REF!</v>
      </c>
      <c r="O329" s="5" t="e">
        <f>SUMIF(#REF!,$A329,#REF!)+SUMIF(#REF!,$A329,#REF!)</f>
        <v>#REF!</v>
      </c>
      <c r="P329" s="5">
        <f>IFERROR(VLOOKUP($A329,#REF!,2,FALSE),0)</f>
        <v>0</v>
      </c>
      <c r="Q329" s="42" t="e">
        <f t="shared" si="5"/>
        <v>#REF!</v>
      </c>
    </row>
    <row r="330" spans="1:17">
      <c r="A330" s="56" t="s">
        <v>696</v>
      </c>
      <c r="B330" s="7" t="s">
        <v>561</v>
      </c>
      <c r="C330" s="7" t="s">
        <v>562</v>
      </c>
      <c r="D330" s="7" t="s">
        <v>10</v>
      </c>
      <c r="E330" s="7" t="s">
        <v>692</v>
      </c>
      <c r="F330" s="7" t="s">
        <v>122</v>
      </c>
      <c r="G330" s="7" t="s">
        <v>444</v>
      </c>
      <c r="H330" s="7" t="s">
        <v>444</v>
      </c>
      <c r="I330" s="7" t="s">
        <v>1520</v>
      </c>
      <c r="J330" s="1" t="s">
        <v>2244</v>
      </c>
      <c r="K330" s="5">
        <f>SUMIF(BC!$E$6:$E$347,$A330,BC!$K$6:$K$347)</f>
        <v>0</v>
      </c>
      <c r="L330" s="5" t="e">
        <f>SUMIF(#REF!,$A330,#REF!)+SUMIF(#REF!,$A330,#REF!)</f>
        <v>#REF!</v>
      </c>
      <c r="M330" s="5" t="e">
        <f>SUMIF(#REF!,Casilleros!$A330,#REF!)+SUMIF(#REF!,Casilleros!$A330,#REF!)+SUMIF(#REF!,$A330,#REF!)</f>
        <v>#REF!</v>
      </c>
      <c r="N330" s="5" t="e">
        <f>SUMIF(#REF!,$A330,#REF!)</f>
        <v>#REF!</v>
      </c>
      <c r="O330" s="5" t="e">
        <f>SUMIF(#REF!,$A330,#REF!)+SUMIF(#REF!,$A330,#REF!)</f>
        <v>#REF!</v>
      </c>
      <c r="P330" s="5">
        <f>IFERROR(VLOOKUP($A330,#REF!,2,FALSE),0)</f>
        <v>0</v>
      </c>
      <c r="Q330" s="42" t="e">
        <f t="shared" si="5"/>
        <v>#REF!</v>
      </c>
    </row>
    <row r="331" spans="1:17">
      <c r="A331" s="56" t="s">
        <v>699</v>
      </c>
      <c r="B331" s="7" t="s">
        <v>561</v>
      </c>
      <c r="C331" s="7" t="s">
        <v>562</v>
      </c>
      <c r="D331" s="7" t="s">
        <v>10</v>
      </c>
      <c r="E331" s="7" t="s">
        <v>698</v>
      </c>
      <c r="F331" s="7" t="s">
        <v>444</v>
      </c>
      <c r="G331" s="7" t="s">
        <v>444</v>
      </c>
      <c r="H331" s="7" t="s">
        <v>444</v>
      </c>
      <c r="I331" s="7" t="s">
        <v>698</v>
      </c>
      <c r="J331" s="1" t="s">
        <v>2244</v>
      </c>
      <c r="K331" s="5">
        <f>SUMIF(BC!$E$6:$E$347,$A331,BC!$K$6:$K$347)</f>
        <v>0</v>
      </c>
      <c r="L331" s="5" t="e">
        <f>SUMIF(#REF!,$A331,#REF!)+SUMIF(#REF!,$A331,#REF!)</f>
        <v>#REF!</v>
      </c>
      <c r="M331" s="5" t="e">
        <f>SUMIF(#REF!,Casilleros!$A331,#REF!)+SUMIF(#REF!,Casilleros!$A331,#REF!)+SUMIF(#REF!,$A331,#REF!)</f>
        <v>#REF!</v>
      </c>
      <c r="N331" s="5" t="e">
        <f>SUMIF(#REF!,$A331,#REF!)</f>
        <v>#REF!</v>
      </c>
      <c r="O331" s="5" t="e">
        <f>SUMIF(#REF!,$A331,#REF!)+SUMIF(#REF!,$A331,#REF!)</f>
        <v>#REF!</v>
      </c>
      <c r="P331" s="5">
        <f>IFERROR(VLOOKUP($A331,#REF!,2,FALSE),0)</f>
        <v>0</v>
      </c>
      <c r="Q331" s="42" t="e">
        <f t="shared" si="5"/>
        <v>#REF!</v>
      </c>
    </row>
    <row r="332" spans="1:17">
      <c r="A332" s="56" t="s">
        <v>701</v>
      </c>
      <c r="B332" s="7" t="s">
        <v>561</v>
      </c>
      <c r="C332" s="7" t="s">
        <v>562</v>
      </c>
      <c r="D332" s="7" t="s">
        <v>10</v>
      </c>
      <c r="E332" s="7" t="s">
        <v>122</v>
      </c>
      <c r="F332" s="7" t="s">
        <v>444</v>
      </c>
      <c r="G332" s="7" t="s">
        <v>444</v>
      </c>
      <c r="H332" s="7" t="s">
        <v>444</v>
      </c>
      <c r="I332" s="7" t="s">
        <v>122</v>
      </c>
      <c r="J332" s="1" t="s">
        <v>2244</v>
      </c>
      <c r="K332" s="5">
        <f>SUMIF(BC!$E$6:$E$347,$A332,BC!$K$6:$K$347)</f>
        <v>0</v>
      </c>
      <c r="L332" s="5" t="e">
        <f>SUMIF(#REF!,$A332,#REF!)+SUMIF(#REF!,$A332,#REF!)</f>
        <v>#REF!</v>
      </c>
      <c r="M332" s="5" t="e">
        <f>SUMIF(#REF!,Casilleros!$A332,#REF!)+SUMIF(#REF!,Casilleros!$A332,#REF!)+SUMIF(#REF!,$A332,#REF!)</f>
        <v>#REF!</v>
      </c>
      <c r="N332" s="5" t="e">
        <f>SUMIF(#REF!,$A332,#REF!)</f>
        <v>#REF!</v>
      </c>
      <c r="O332" s="5" t="e">
        <f>SUMIF(#REF!,$A332,#REF!)+SUMIF(#REF!,$A332,#REF!)</f>
        <v>#REF!</v>
      </c>
      <c r="P332" s="5">
        <f>IFERROR(VLOOKUP($A332,#REF!,2,FALSE),0)</f>
        <v>0</v>
      </c>
      <c r="Q332" s="42" t="e">
        <f t="shared" si="5"/>
        <v>#REF!</v>
      </c>
    </row>
    <row r="333" spans="1:17">
      <c r="A333" s="56" t="s">
        <v>706</v>
      </c>
      <c r="B333" s="7" t="s">
        <v>561</v>
      </c>
      <c r="C333" s="7" t="s">
        <v>562</v>
      </c>
      <c r="D333" s="7" t="s">
        <v>703</v>
      </c>
      <c r="E333" s="7" t="s">
        <v>704</v>
      </c>
      <c r="F333" s="7" t="s">
        <v>705</v>
      </c>
      <c r="G333" s="7" t="s">
        <v>72</v>
      </c>
      <c r="H333" s="7" t="s">
        <v>25</v>
      </c>
      <c r="I333" s="7" t="s">
        <v>1521</v>
      </c>
      <c r="J333" s="1" t="s">
        <v>2256</v>
      </c>
      <c r="K333" s="5">
        <f>SUMIF(BC!$E$6:$E$347,$A333,BC!$K$6:$K$347)</f>
        <v>0</v>
      </c>
      <c r="L333" s="5" t="e">
        <f>SUMIF(#REF!,$A333,#REF!)+SUMIF(#REF!,$A333,#REF!)</f>
        <v>#REF!</v>
      </c>
      <c r="M333" s="5" t="e">
        <f>SUMIF(#REF!,Casilleros!$A333,#REF!)+SUMIF(#REF!,Casilleros!$A333,#REF!)+SUMIF(#REF!,$A333,#REF!)</f>
        <v>#REF!</v>
      </c>
      <c r="N333" s="5" t="e">
        <f>SUMIF(#REF!,$A333,#REF!)</f>
        <v>#REF!</v>
      </c>
      <c r="O333" s="5" t="e">
        <f>SUMIF(#REF!,$A333,#REF!)+SUMIF(#REF!,$A333,#REF!)</f>
        <v>#REF!</v>
      </c>
      <c r="P333" s="5">
        <f>IFERROR(VLOOKUP($A333,#REF!,2,FALSE),0)</f>
        <v>0</v>
      </c>
      <c r="Q333" s="42" t="e">
        <f t="shared" si="5"/>
        <v>#REF!</v>
      </c>
    </row>
    <row r="334" spans="1:17">
      <c r="A334" s="56" t="s">
        <v>708</v>
      </c>
      <c r="B334" s="7" t="s">
        <v>561</v>
      </c>
      <c r="C334" s="7" t="s">
        <v>562</v>
      </c>
      <c r="D334" s="7" t="s">
        <v>703</v>
      </c>
      <c r="E334" s="7" t="s">
        <v>704</v>
      </c>
      <c r="F334" s="7" t="s">
        <v>705</v>
      </c>
      <c r="G334" s="7" t="s">
        <v>72</v>
      </c>
      <c r="H334" s="7" t="s">
        <v>26</v>
      </c>
      <c r="I334" s="7" t="s">
        <v>1522</v>
      </c>
      <c r="J334" s="1" t="s">
        <v>2256</v>
      </c>
      <c r="K334" s="5">
        <f>SUMIF(BC!$E$6:$E$347,$A334,BC!$K$6:$K$347)</f>
        <v>0</v>
      </c>
      <c r="L334" s="5" t="e">
        <f>SUMIF(#REF!,$A334,#REF!)+SUMIF(#REF!,$A334,#REF!)</f>
        <v>#REF!</v>
      </c>
      <c r="M334" s="5" t="e">
        <f>SUMIF(#REF!,Casilleros!$A334,#REF!)+SUMIF(#REF!,Casilleros!$A334,#REF!)+SUMIF(#REF!,$A334,#REF!)</f>
        <v>#REF!</v>
      </c>
      <c r="N334" s="5" t="e">
        <f>SUMIF(#REF!,$A334,#REF!)</f>
        <v>#REF!</v>
      </c>
      <c r="O334" s="5" t="e">
        <f>SUMIF(#REF!,$A334,#REF!)+SUMIF(#REF!,$A334,#REF!)</f>
        <v>#REF!</v>
      </c>
      <c r="P334" s="5">
        <f>IFERROR(VLOOKUP($A334,#REF!,2,FALSE),0)</f>
        <v>0</v>
      </c>
      <c r="Q334" s="42" t="e">
        <f t="shared" si="5"/>
        <v>#REF!</v>
      </c>
    </row>
    <row r="335" spans="1:17">
      <c r="A335" s="56" t="s">
        <v>710</v>
      </c>
      <c r="B335" s="7" t="s">
        <v>561</v>
      </c>
      <c r="C335" s="7" t="s">
        <v>562</v>
      </c>
      <c r="D335" s="7" t="s">
        <v>703</v>
      </c>
      <c r="E335" s="7" t="s">
        <v>704</v>
      </c>
      <c r="F335" s="7" t="s">
        <v>705</v>
      </c>
      <c r="G335" s="7" t="s">
        <v>78</v>
      </c>
      <c r="H335" s="7" t="s">
        <v>25</v>
      </c>
      <c r="I335" s="7" t="s">
        <v>1524</v>
      </c>
      <c r="J335" s="1" t="s">
        <v>2256</v>
      </c>
      <c r="K335" s="5">
        <f>SUMIF(BC!$E$6:$E$347,$A335,BC!$K$6:$K$347)</f>
        <v>0</v>
      </c>
      <c r="L335" s="5" t="e">
        <f>SUMIF(#REF!,$A335,#REF!)+SUMIF(#REF!,$A335,#REF!)</f>
        <v>#REF!</v>
      </c>
      <c r="M335" s="5" t="e">
        <f>SUMIF(#REF!,Casilleros!$A335,#REF!)+SUMIF(#REF!,Casilleros!$A335,#REF!)+SUMIF(#REF!,$A335,#REF!)</f>
        <v>#REF!</v>
      </c>
      <c r="N335" s="5" t="e">
        <f>SUMIF(#REF!,$A335,#REF!)</f>
        <v>#REF!</v>
      </c>
      <c r="O335" s="5" t="e">
        <f>SUMIF(#REF!,$A335,#REF!)+SUMIF(#REF!,$A335,#REF!)</f>
        <v>#REF!</v>
      </c>
      <c r="P335" s="5">
        <f>IFERROR(VLOOKUP($A335,#REF!,2,FALSE),0)</f>
        <v>0</v>
      </c>
      <c r="Q335" s="42" t="e">
        <f t="shared" si="5"/>
        <v>#REF!</v>
      </c>
    </row>
    <row r="336" spans="1:17">
      <c r="A336" s="56" t="s">
        <v>712</v>
      </c>
      <c r="B336" s="7" t="s">
        <v>561</v>
      </c>
      <c r="C336" s="7" t="s">
        <v>562</v>
      </c>
      <c r="D336" s="7" t="s">
        <v>703</v>
      </c>
      <c r="E336" s="7" t="s">
        <v>704</v>
      </c>
      <c r="F336" s="7" t="s">
        <v>705</v>
      </c>
      <c r="G336" s="7" t="s">
        <v>78</v>
      </c>
      <c r="H336" s="7" t="s">
        <v>26</v>
      </c>
      <c r="I336" s="7" t="s">
        <v>1525</v>
      </c>
      <c r="J336" s="1" t="s">
        <v>2256</v>
      </c>
      <c r="K336" s="5">
        <f>SUMIF(BC!$E$6:$E$347,$A336,BC!$K$6:$K$347)</f>
        <v>0</v>
      </c>
      <c r="L336" s="5" t="e">
        <f>SUMIF(#REF!,$A336,#REF!)+SUMIF(#REF!,$A336,#REF!)</f>
        <v>#REF!</v>
      </c>
      <c r="M336" s="5" t="e">
        <f>SUMIF(#REF!,Casilleros!$A336,#REF!)+SUMIF(#REF!,Casilleros!$A336,#REF!)+SUMIF(#REF!,$A336,#REF!)</f>
        <v>#REF!</v>
      </c>
      <c r="N336" s="5" t="e">
        <f>SUMIF(#REF!,$A336,#REF!)</f>
        <v>#REF!</v>
      </c>
      <c r="O336" s="5" t="e">
        <f>SUMIF(#REF!,$A336,#REF!)+SUMIF(#REF!,$A336,#REF!)</f>
        <v>#REF!</v>
      </c>
      <c r="P336" s="5">
        <f>IFERROR(VLOOKUP($A336,#REF!,2,FALSE),0)</f>
        <v>0</v>
      </c>
      <c r="Q336" s="42" t="e">
        <f t="shared" si="5"/>
        <v>#REF!</v>
      </c>
    </row>
    <row r="337" spans="1:17">
      <c r="A337" s="56" t="s">
        <v>715</v>
      </c>
      <c r="B337" s="7" t="s">
        <v>561</v>
      </c>
      <c r="C337" s="7" t="s">
        <v>562</v>
      </c>
      <c r="D337" s="7" t="s">
        <v>703</v>
      </c>
      <c r="E337" s="7" t="s">
        <v>704</v>
      </c>
      <c r="F337" s="7" t="s">
        <v>714</v>
      </c>
      <c r="G337" s="7" t="s">
        <v>72</v>
      </c>
      <c r="H337" s="7" t="s">
        <v>25</v>
      </c>
      <c r="I337" s="7" t="s">
        <v>1528</v>
      </c>
      <c r="J337" s="1" t="s">
        <v>2256</v>
      </c>
      <c r="K337" s="5">
        <f>SUMIF(BC!$E$6:$E$347,$A337,BC!$K$6:$K$347)</f>
        <v>0</v>
      </c>
      <c r="L337" s="5" t="e">
        <f>SUMIF(#REF!,$A337,#REF!)+SUMIF(#REF!,$A337,#REF!)</f>
        <v>#REF!</v>
      </c>
      <c r="M337" s="5" t="e">
        <f>SUMIF(#REF!,Casilleros!$A337,#REF!)+SUMIF(#REF!,Casilleros!$A337,#REF!)+SUMIF(#REF!,$A337,#REF!)</f>
        <v>#REF!</v>
      </c>
      <c r="N337" s="5" t="e">
        <f>SUMIF(#REF!,$A337,#REF!)</f>
        <v>#REF!</v>
      </c>
      <c r="O337" s="5" t="e">
        <f>SUMIF(#REF!,$A337,#REF!)+SUMIF(#REF!,$A337,#REF!)</f>
        <v>#REF!</v>
      </c>
      <c r="P337" s="5">
        <f>IFERROR(VLOOKUP($A337,#REF!,2,FALSE),0)</f>
        <v>0</v>
      </c>
      <c r="Q337" s="42" t="e">
        <f t="shared" si="5"/>
        <v>#REF!</v>
      </c>
    </row>
    <row r="338" spans="1:17">
      <c r="A338" s="56" t="s">
        <v>717</v>
      </c>
      <c r="B338" s="7" t="s">
        <v>561</v>
      </c>
      <c r="C338" s="7" t="s">
        <v>562</v>
      </c>
      <c r="D338" s="7" t="s">
        <v>703</v>
      </c>
      <c r="E338" s="7" t="s">
        <v>704</v>
      </c>
      <c r="F338" s="7" t="s">
        <v>714</v>
      </c>
      <c r="G338" s="7" t="s">
        <v>72</v>
      </c>
      <c r="H338" s="7" t="s">
        <v>26</v>
      </c>
      <c r="I338" s="7" t="s">
        <v>1529</v>
      </c>
      <c r="J338" s="1" t="s">
        <v>2256</v>
      </c>
      <c r="K338" s="5">
        <f>SUMIF(BC!$E$6:$E$347,$A338,BC!$K$6:$K$347)</f>
        <v>0</v>
      </c>
      <c r="L338" s="5" t="e">
        <f>SUMIF(#REF!,$A338,#REF!)+SUMIF(#REF!,$A338,#REF!)</f>
        <v>#REF!</v>
      </c>
      <c r="M338" s="5" t="e">
        <f>SUMIF(#REF!,Casilleros!$A338,#REF!)+SUMIF(#REF!,Casilleros!$A338,#REF!)+SUMIF(#REF!,$A338,#REF!)</f>
        <v>#REF!</v>
      </c>
      <c r="N338" s="5" t="e">
        <f>SUMIF(#REF!,$A338,#REF!)</f>
        <v>#REF!</v>
      </c>
      <c r="O338" s="5" t="e">
        <f>SUMIF(#REF!,$A338,#REF!)+SUMIF(#REF!,$A338,#REF!)</f>
        <v>#REF!</v>
      </c>
      <c r="P338" s="5">
        <f>IFERROR(VLOOKUP($A338,#REF!,2,FALSE),0)</f>
        <v>0</v>
      </c>
      <c r="Q338" s="42" t="e">
        <f t="shared" si="5"/>
        <v>#REF!</v>
      </c>
    </row>
    <row r="339" spans="1:17">
      <c r="A339" s="56" t="s">
        <v>719</v>
      </c>
      <c r="B339" s="7" t="s">
        <v>561</v>
      </c>
      <c r="C339" s="7" t="s">
        <v>562</v>
      </c>
      <c r="D339" s="7" t="s">
        <v>703</v>
      </c>
      <c r="E339" s="7" t="s">
        <v>704</v>
      </c>
      <c r="F339" s="7" t="s">
        <v>714</v>
      </c>
      <c r="G339" s="7" t="s">
        <v>78</v>
      </c>
      <c r="H339" s="7" t="s">
        <v>25</v>
      </c>
      <c r="I339" s="7" t="s">
        <v>1531</v>
      </c>
      <c r="J339" s="1" t="s">
        <v>2256</v>
      </c>
      <c r="K339" s="5">
        <f>SUMIF(BC!$E$6:$E$347,$A339,BC!$K$6:$K$347)</f>
        <v>0</v>
      </c>
      <c r="L339" s="5" t="e">
        <f>SUMIF(#REF!,$A339,#REF!)+SUMIF(#REF!,$A339,#REF!)</f>
        <v>#REF!</v>
      </c>
      <c r="M339" s="5" t="e">
        <f>SUMIF(#REF!,Casilleros!$A339,#REF!)+SUMIF(#REF!,Casilleros!$A339,#REF!)+SUMIF(#REF!,$A339,#REF!)</f>
        <v>#REF!</v>
      </c>
      <c r="N339" s="5" t="e">
        <f>SUMIF(#REF!,$A339,#REF!)</f>
        <v>#REF!</v>
      </c>
      <c r="O339" s="5" t="e">
        <f>SUMIF(#REF!,$A339,#REF!)+SUMIF(#REF!,$A339,#REF!)</f>
        <v>#REF!</v>
      </c>
      <c r="P339" s="5">
        <f>IFERROR(VLOOKUP($A339,#REF!,2,FALSE),0)</f>
        <v>0</v>
      </c>
      <c r="Q339" s="42" t="e">
        <f t="shared" si="5"/>
        <v>#REF!</v>
      </c>
    </row>
    <row r="340" spans="1:17">
      <c r="A340" s="56" t="s">
        <v>721</v>
      </c>
      <c r="B340" s="7" t="s">
        <v>561</v>
      </c>
      <c r="C340" s="7" t="s">
        <v>562</v>
      </c>
      <c r="D340" s="7" t="s">
        <v>703</v>
      </c>
      <c r="E340" s="7" t="s">
        <v>704</v>
      </c>
      <c r="F340" s="7" t="s">
        <v>714</v>
      </c>
      <c r="G340" s="7" t="s">
        <v>78</v>
      </c>
      <c r="H340" s="7" t="s">
        <v>26</v>
      </c>
      <c r="I340" s="7" t="s">
        <v>1532</v>
      </c>
      <c r="J340" s="1" t="s">
        <v>2256</v>
      </c>
      <c r="K340" s="5">
        <f>SUMIF(BC!$E$6:$E$347,$A340,BC!$K$6:$K$347)</f>
        <v>0</v>
      </c>
      <c r="L340" s="5" t="e">
        <f>SUMIF(#REF!,$A340,#REF!)+SUMIF(#REF!,$A340,#REF!)</f>
        <v>#REF!</v>
      </c>
      <c r="M340" s="5" t="e">
        <f>SUMIF(#REF!,Casilleros!$A340,#REF!)+SUMIF(#REF!,Casilleros!$A340,#REF!)+SUMIF(#REF!,$A340,#REF!)</f>
        <v>#REF!</v>
      </c>
      <c r="N340" s="5" t="e">
        <f>SUMIF(#REF!,$A340,#REF!)</f>
        <v>#REF!</v>
      </c>
      <c r="O340" s="5" t="e">
        <f>SUMIF(#REF!,$A340,#REF!)+SUMIF(#REF!,$A340,#REF!)</f>
        <v>#REF!</v>
      </c>
      <c r="P340" s="5">
        <f>IFERROR(VLOOKUP($A340,#REF!,2,FALSE),0)</f>
        <v>0</v>
      </c>
      <c r="Q340" s="42" t="e">
        <f t="shared" si="5"/>
        <v>#REF!</v>
      </c>
    </row>
    <row r="341" spans="1:17">
      <c r="A341" s="56" t="s">
        <v>724</v>
      </c>
      <c r="B341" s="7" t="s">
        <v>561</v>
      </c>
      <c r="C341" s="7" t="s">
        <v>562</v>
      </c>
      <c r="D341" s="7" t="s">
        <v>703</v>
      </c>
      <c r="E341" s="7" t="s">
        <v>704</v>
      </c>
      <c r="F341" s="7" t="s">
        <v>723</v>
      </c>
      <c r="G341" s="7" t="s">
        <v>72</v>
      </c>
      <c r="H341" s="7" t="s">
        <v>25</v>
      </c>
      <c r="I341" s="7" t="s">
        <v>1535</v>
      </c>
      <c r="J341" s="1" t="s">
        <v>2256</v>
      </c>
      <c r="K341" s="5">
        <f>SUMIF(BC!$E$6:$E$347,$A341,BC!$K$6:$K$347)</f>
        <v>0</v>
      </c>
      <c r="L341" s="5" t="e">
        <f>SUMIF(#REF!,$A341,#REF!)+SUMIF(#REF!,$A341,#REF!)</f>
        <v>#REF!</v>
      </c>
      <c r="M341" s="5" t="e">
        <f>SUMIF(#REF!,Casilleros!$A341,#REF!)+SUMIF(#REF!,Casilleros!$A341,#REF!)+SUMIF(#REF!,$A341,#REF!)</f>
        <v>#REF!</v>
      </c>
      <c r="N341" s="5" t="e">
        <f>SUMIF(#REF!,$A341,#REF!)</f>
        <v>#REF!</v>
      </c>
      <c r="O341" s="5" t="e">
        <f>SUMIF(#REF!,$A341,#REF!)+SUMIF(#REF!,$A341,#REF!)</f>
        <v>#REF!</v>
      </c>
      <c r="P341" s="5">
        <f>IFERROR(VLOOKUP($A341,#REF!,2,FALSE),0)</f>
        <v>0</v>
      </c>
      <c r="Q341" s="42" t="e">
        <f t="shared" si="5"/>
        <v>#REF!</v>
      </c>
    </row>
    <row r="342" spans="1:17">
      <c r="A342" s="56" t="s">
        <v>726</v>
      </c>
      <c r="B342" s="7" t="s">
        <v>561</v>
      </c>
      <c r="C342" s="7" t="s">
        <v>562</v>
      </c>
      <c r="D342" s="7" t="s">
        <v>703</v>
      </c>
      <c r="E342" s="7" t="s">
        <v>704</v>
      </c>
      <c r="F342" s="7" t="s">
        <v>723</v>
      </c>
      <c r="G342" s="7" t="s">
        <v>72</v>
      </c>
      <c r="H342" s="7" t="s">
        <v>26</v>
      </c>
      <c r="I342" s="7" t="s">
        <v>1536</v>
      </c>
      <c r="J342" s="1" t="s">
        <v>2256</v>
      </c>
      <c r="K342" s="5">
        <f>SUMIF(BC!$E$6:$E$347,$A342,BC!$K$6:$K$347)</f>
        <v>0</v>
      </c>
      <c r="L342" s="5" t="e">
        <f>SUMIF(#REF!,$A342,#REF!)+SUMIF(#REF!,$A342,#REF!)</f>
        <v>#REF!</v>
      </c>
      <c r="M342" s="5" t="e">
        <f>SUMIF(#REF!,Casilleros!$A342,#REF!)+SUMIF(#REF!,Casilleros!$A342,#REF!)+SUMIF(#REF!,$A342,#REF!)</f>
        <v>#REF!</v>
      </c>
      <c r="N342" s="5" t="e">
        <f>SUMIF(#REF!,$A342,#REF!)</f>
        <v>#REF!</v>
      </c>
      <c r="O342" s="5" t="e">
        <f>SUMIF(#REF!,$A342,#REF!)+SUMIF(#REF!,$A342,#REF!)</f>
        <v>#REF!</v>
      </c>
      <c r="P342" s="5">
        <f>IFERROR(VLOOKUP($A342,#REF!,2,FALSE),0)</f>
        <v>0</v>
      </c>
      <c r="Q342" s="42" t="e">
        <f t="shared" si="5"/>
        <v>#REF!</v>
      </c>
    </row>
    <row r="343" spans="1:17">
      <c r="A343" s="56" t="s">
        <v>728</v>
      </c>
      <c r="B343" s="7" t="s">
        <v>561</v>
      </c>
      <c r="C343" s="7" t="s">
        <v>562</v>
      </c>
      <c r="D343" s="7" t="s">
        <v>703</v>
      </c>
      <c r="E343" s="7" t="s">
        <v>704</v>
      </c>
      <c r="F343" s="7" t="s">
        <v>723</v>
      </c>
      <c r="G343" s="7" t="s">
        <v>78</v>
      </c>
      <c r="H343" s="7" t="s">
        <v>25</v>
      </c>
      <c r="I343" s="7" t="s">
        <v>1538</v>
      </c>
      <c r="J343" s="1" t="s">
        <v>2256</v>
      </c>
      <c r="K343" s="5" t="e">
        <f>SUMIF(BC!$E$6:$E$347,$A343,BC!$K$6:$K$347)</f>
        <v>#REF!</v>
      </c>
      <c r="L343" s="5" t="e">
        <f>SUMIF(#REF!,$A343,#REF!)+SUMIF(#REF!,$A343,#REF!)</f>
        <v>#REF!</v>
      </c>
      <c r="M343" s="5" t="e">
        <f>SUMIF(#REF!,Casilleros!$A343,#REF!)+SUMIF(#REF!,Casilleros!$A343,#REF!)+SUMIF(#REF!,$A343,#REF!)</f>
        <v>#REF!</v>
      </c>
      <c r="N343" s="5" t="e">
        <f>SUMIF(#REF!,$A343,#REF!)</f>
        <v>#REF!</v>
      </c>
      <c r="O343" s="5" t="e">
        <f>SUMIF(#REF!,$A343,#REF!)+SUMIF(#REF!,$A343,#REF!)</f>
        <v>#REF!</v>
      </c>
      <c r="P343" s="5">
        <f>IFERROR(VLOOKUP($A343,#REF!,2,FALSE),0)</f>
        <v>0</v>
      </c>
      <c r="Q343" s="42" t="e">
        <f t="shared" si="5"/>
        <v>#REF!</v>
      </c>
    </row>
    <row r="344" spans="1:17">
      <c r="A344" s="56" t="s">
        <v>730</v>
      </c>
      <c r="B344" s="7" t="s">
        <v>561</v>
      </c>
      <c r="C344" s="7" t="s">
        <v>562</v>
      </c>
      <c r="D344" s="7" t="s">
        <v>703</v>
      </c>
      <c r="E344" s="7" t="s">
        <v>704</v>
      </c>
      <c r="F344" s="7" t="s">
        <v>723</v>
      </c>
      <c r="G344" s="7" t="s">
        <v>78</v>
      </c>
      <c r="H344" s="7" t="s">
        <v>26</v>
      </c>
      <c r="I344" s="7" t="s">
        <v>1539</v>
      </c>
      <c r="J344" s="1" t="s">
        <v>2256</v>
      </c>
      <c r="K344" s="5">
        <f>SUMIF(BC!$E$6:$E$347,$A344,BC!$K$6:$K$347)</f>
        <v>0</v>
      </c>
      <c r="L344" s="5" t="e">
        <f>SUMIF(#REF!,$A344,#REF!)+SUMIF(#REF!,$A344,#REF!)</f>
        <v>#REF!</v>
      </c>
      <c r="M344" s="5" t="e">
        <f>SUMIF(#REF!,Casilleros!$A344,#REF!)+SUMIF(#REF!,Casilleros!$A344,#REF!)+SUMIF(#REF!,$A344,#REF!)</f>
        <v>#REF!</v>
      </c>
      <c r="N344" s="5" t="e">
        <f>SUMIF(#REF!,$A344,#REF!)</f>
        <v>#REF!</v>
      </c>
      <c r="O344" s="5" t="e">
        <f>SUMIF(#REF!,$A344,#REF!)+SUMIF(#REF!,$A344,#REF!)</f>
        <v>#REF!</v>
      </c>
      <c r="P344" s="5">
        <f>IFERROR(VLOOKUP($A344,#REF!,2,FALSE),0)</f>
        <v>0</v>
      </c>
      <c r="Q344" s="42" t="e">
        <f t="shared" si="5"/>
        <v>#REF!</v>
      </c>
    </row>
    <row r="345" spans="1:17">
      <c r="A345" s="56" t="s">
        <v>733</v>
      </c>
      <c r="B345" s="7" t="s">
        <v>561</v>
      </c>
      <c r="C345" s="7" t="s">
        <v>562</v>
      </c>
      <c r="D345" s="7" t="s">
        <v>703</v>
      </c>
      <c r="E345" s="7" t="s">
        <v>704</v>
      </c>
      <c r="F345" s="7" t="s">
        <v>732</v>
      </c>
      <c r="G345" s="7" t="s">
        <v>72</v>
      </c>
      <c r="H345" s="7" t="s">
        <v>25</v>
      </c>
      <c r="I345" s="7" t="s">
        <v>1542</v>
      </c>
      <c r="J345" s="1" t="s">
        <v>2256</v>
      </c>
      <c r="K345" s="5">
        <f>SUMIF(BC!$E$6:$E$347,$A345,BC!$K$6:$K$347)</f>
        <v>0</v>
      </c>
      <c r="L345" s="5" t="e">
        <f>SUMIF(#REF!,$A345,#REF!)+SUMIF(#REF!,$A345,#REF!)</f>
        <v>#REF!</v>
      </c>
      <c r="M345" s="5" t="e">
        <f>SUMIF(#REF!,Casilleros!$A345,#REF!)+SUMIF(#REF!,Casilleros!$A345,#REF!)+SUMIF(#REF!,$A345,#REF!)</f>
        <v>#REF!</v>
      </c>
      <c r="N345" s="5" t="e">
        <f>SUMIF(#REF!,$A345,#REF!)</f>
        <v>#REF!</v>
      </c>
      <c r="O345" s="5" t="e">
        <f>SUMIF(#REF!,$A345,#REF!)+SUMIF(#REF!,$A345,#REF!)</f>
        <v>#REF!</v>
      </c>
      <c r="P345" s="5">
        <f>IFERROR(VLOOKUP($A345,#REF!,2,FALSE),0)</f>
        <v>0</v>
      </c>
      <c r="Q345" s="42" t="e">
        <f t="shared" si="5"/>
        <v>#REF!</v>
      </c>
    </row>
    <row r="346" spans="1:17">
      <c r="A346" s="56" t="s">
        <v>735</v>
      </c>
      <c r="B346" s="7" t="s">
        <v>561</v>
      </c>
      <c r="C346" s="7" t="s">
        <v>562</v>
      </c>
      <c r="D346" s="7" t="s">
        <v>703</v>
      </c>
      <c r="E346" s="7" t="s">
        <v>704</v>
      </c>
      <c r="F346" s="7" t="s">
        <v>732</v>
      </c>
      <c r="G346" s="7" t="s">
        <v>72</v>
      </c>
      <c r="H346" s="7" t="s">
        <v>26</v>
      </c>
      <c r="I346" s="7" t="s">
        <v>1543</v>
      </c>
      <c r="J346" s="1" t="s">
        <v>2256</v>
      </c>
      <c r="K346" s="5">
        <f>SUMIF(BC!$E$6:$E$347,$A346,BC!$K$6:$K$347)</f>
        <v>0</v>
      </c>
      <c r="L346" s="5" t="e">
        <f>SUMIF(#REF!,$A346,#REF!)+SUMIF(#REF!,$A346,#REF!)</f>
        <v>#REF!</v>
      </c>
      <c r="M346" s="5" t="e">
        <f>SUMIF(#REF!,Casilleros!$A346,#REF!)+SUMIF(#REF!,Casilleros!$A346,#REF!)+SUMIF(#REF!,$A346,#REF!)</f>
        <v>#REF!</v>
      </c>
      <c r="N346" s="5" t="e">
        <f>SUMIF(#REF!,$A346,#REF!)</f>
        <v>#REF!</v>
      </c>
      <c r="O346" s="5" t="e">
        <f>SUMIF(#REF!,$A346,#REF!)+SUMIF(#REF!,$A346,#REF!)</f>
        <v>#REF!</v>
      </c>
      <c r="P346" s="5">
        <f>IFERROR(VLOOKUP($A346,#REF!,2,FALSE),0)</f>
        <v>0</v>
      </c>
      <c r="Q346" s="42" t="e">
        <f t="shared" si="5"/>
        <v>#REF!</v>
      </c>
    </row>
    <row r="347" spans="1:17">
      <c r="A347" s="56" t="s">
        <v>737</v>
      </c>
      <c r="B347" s="7" t="s">
        <v>561</v>
      </c>
      <c r="C347" s="7" t="s">
        <v>562</v>
      </c>
      <c r="D347" s="7" t="s">
        <v>703</v>
      </c>
      <c r="E347" s="7" t="s">
        <v>704</v>
      </c>
      <c r="F347" s="7" t="s">
        <v>732</v>
      </c>
      <c r="G347" s="7" t="s">
        <v>78</v>
      </c>
      <c r="H347" s="7" t="s">
        <v>25</v>
      </c>
      <c r="I347" s="7" t="s">
        <v>1545</v>
      </c>
      <c r="J347" s="1" t="s">
        <v>2256</v>
      </c>
      <c r="K347" s="5">
        <f>SUMIF(BC!$E$6:$E$347,$A347,BC!$K$6:$K$347)</f>
        <v>0</v>
      </c>
      <c r="L347" s="5" t="e">
        <f>SUMIF(#REF!,$A347,#REF!)+SUMIF(#REF!,$A347,#REF!)</f>
        <v>#REF!</v>
      </c>
      <c r="M347" s="5" t="e">
        <f>SUMIF(#REF!,Casilleros!$A347,#REF!)+SUMIF(#REF!,Casilleros!$A347,#REF!)+SUMIF(#REF!,$A347,#REF!)</f>
        <v>#REF!</v>
      </c>
      <c r="N347" s="5" t="e">
        <f>SUMIF(#REF!,$A347,#REF!)</f>
        <v>#REF!</v>
      </c>
      <c r="O347" s="5" t="e">
        <f>SUMIF(#REF!,$A347,#REF!)+SUMIF(#REF!,$A347,#REF!)</f>
        <v>#REF!</v>
      </c>
      <c r="P347" s="5">
        <f>IFERROR(VLOOKUP($A347,#REF!,2,FALSE),0)</f>
        <v>0</v>
      </c>
      <c r="Q347" s="42" t="e">
        <f t="shared" si="5"/>
        <v>#REF!</v>
      </c>
    </row>
    <row r="348" spans="1:17">
      <c r="A348" s="56" t="s">
        <v>739</v>
      </c>
      <c r="B348" s="7" t="s">
        <v>561</v>
      </c>
      <c r="C348" s="7" t="s">
        <v>562</v>
      </c>
      <c r="D348" s="7" t="s">
        <v>703</v>
      </c>
      <c r="E348" s="7" t="s">
        <v>704</v>
      </c>
      <c r="F348" s="7" t="s">
        <v>732</v>
      </c>
      <c r="G348" s="7" t="s">
        <v>78</v>
      </c>
      <c r="H348" s="7" t="s">
        <v>26</v>
      </c>
      <c r="I348" s="7" t="s">
        <v>1546</v>
      </c>
      <c r="J348" s="1" t="s">
        <v>2256</v>
      </c>
      <c r="K348" s="5">
        <f>SUMIF(BC!$E$6:$E$347,$A348,BC!$K$6:$K$347)</f>
        <v>0</v>
      </c>
      <c r="L348" s="5" t="e">
        <f>SUMIF(#REF!,$A348,#REF!)+SUMIF(#REF!,$A348,#REF!)</f>
        <v>#REF!</v>
      </c>
      <c r="M348" s="5" t="e">
        <f>SUMIF(#REF!,Casilleros!$A348,#REF!)+SUMIF(#REF!,Casilleros!$A348,#REF!)+SUMIF(#REF!,$A348,#REF!)</f>
        <v>#REF!</v>
      </c>
      <c r="N348" s="5" t="e">
        <f>SUMIF(#REF!,$A348,#REF!)</f>
        <v>#REF!</v>
      </c>
      <c r="O348" s="5" t="e">
        <f>SUMIF(#REF!,$A348,#REF!)+SUMIF(#REF!,$A348,#REF!)</f>
        <v>#REF!</v>
      </c>
      <c r="P348" s="5">
        <f>IFERROR(VLOOKUP($A348,#REF!,2,FALSE),0)</f>
        <v>0</v>
      </c>
      <c r="Q348" s="42" t="e">
        <f t="shared" si="5"/>
        <v>#REF!</v>
      </c>
    </row>
    <row r="349" spans="1:17">
      <c r="A349" s="56" t="s">
        <v>743</v>
      </c>
      <c r="B349" s="7" t="s">
        <v>561</v>
      </c>
      <c r="C349" s="7" t="s">
        <v>562</v>
      </c>
      <c r="D349" s="7" t="s">
        <v>703</v>
      </c>
      <c r="E349" s="7" t="s">
        <v>704</v>
      </c>
      <c r="F349" s="7" t="s">
        <v>742</v>
      </c>
      <c r="G349" s="7" t="s">
        <v>444</v>
      </c>
      <c r="H349" s="7" t="s">
        <v>444</v>
      </c>
      <c r="I349" s="7" t="s">
        <v>1548</v>
      </c>
      <c r="J349" s="1" t="s">
        <v>2256</v>
      </c>
      <c r="K349" s="5">
        <f>SUMIF(BC!$E$6:$E$347,$A349,BC!$K$6:$K$347)</f>
        <v>0</v>
      </c>
      <c r="L349" s="5" t="e">
        <f>SUMIF(#REF!,$A349,#REF!)+SUMIF(#REF!,$A349,#REF!)</f>
        <v>#REF!</v>
      </c>
      <c r="M349" s="5" t="e">
        <f>SUMIF(#REF!,Casilleros!$A349,#REF!)+SUMIF(#REF!,Casilleros!$A349,#REF!)+SUMIF(#REF!,$A349,#REF!)</f>
        <v>#REF!</v>
      </c>
      <c r="N349" s="5" t="e">
        <f>SUMIF(#REF!,$A349,#REF!)</f>
        <v>#REF!</v>
      </c>
      <c r="O349" s="5" t="e">
        <f>SUMIF(#REF!,$A349,#REF!)+SUMIF(#REF!,$A349,#REF!)</f>
        <v>#REF!</v>
      </c>
      <c r="P349" s="5">
        <f>IFERROR(VLOOKUP($A349,#REF!,2,FALSE),0)</f>
        <v>0</v>
      </c>
      <c r="Q349" s="42" t="e">
        <f t="shared" si="5"/>
        <v>#REF!</v>
      </c>
    </row>
    <row r="350" spans="1:17">
      <c r="A350" s="56" t="s">
        <v>745</v>
      </c>
      <c r="B350" s="7" t="s">
        <v>561</v>
      </c>
      <c r="C350" s="7" t="s">
        <v>562</v>
      </c>
      <c r="D350" s="7" t="s">
        <v>703</v>
      </c>
      <c r="E350" s="7" t="s">
        <v>704</v>
      </c>
      <c r="F350" s="7" t="s">
        <v>122</v>
      </c>
      <c r="G350" s="7" t="s">
        <v>444</v>
      </c>
      <c r="H350" s="7" t="s">
        <v>444</v>
      </c>
      <c r="I350" s="7" t="s">
        <v>1549</v>
      </c>
      <c r="J350" s="1" t="s">
        <v>2256</v>
      </c>
      <c r="K350" s="5">
        <f>SUMIF(BC!$E$6:$E$347,$A350,BC!$K$6:$K$347)</f>
        <v>0</v>
      </c>
      <c r="L350" s="5" t="e">
        <f>SUMIF(#REF!,$A350,#REF!)+SUMIF(#REF!,$A350,#REF!)</f>
        <v>#REF!</v>
      </c>
      <c r="M350" s="5" t="e">
        <f>SUMIF(#REF!,Casilleros!$A350,#REF!)+SUMIF(#REF!,Casilleros!$A350,#REF!)+SUMIF(#REF!,$A350,#REF!)</f>
        <v>#REF!</v>
      </c>
      <c r="N350" s="5" t="e">
        <f>SUMIF(#REF!,$A350,#REF!)</f>
        <v>#REF!</v>
      </c>
      <c r="O350" s="5" t="e">
        <f>SUMIF(#REF!,$A350,#REF!)+SUMIF(#REF!,$A350,#REF!)</f>
        <v>#REF!</v>
      </c>
      <c r="P350" s="5">
        <f>IFERROR(VLOOKUP($A350,#REF!,2,FALSE),0)</f>
        <v>0</v>
      </c>
      <c r="Q350" s="42" t="e">
        <f t="shared" si="5"/>
        <v>#REF!</v>
      </c>
    </row>
    <row r="351" spans="1:17">
      <c r="A351" s="56" t="s">
        <v>748</v>
      </c>
      <c r="B351" s="7" t="s">
        <v>561</v>
      </c>
      <c r="C351" s="7" t="s">
        <v>562</v>
      </c>
      <c r="D351" s="7" t="s">
        <v>703</v>
      </c>
      <c r="E351" s="7" t="s">
        <v>747</v>
      </c>
      <c r="F351" s="7" t="s">
        <v>444</v>
      </c>
      <c r="G351" s="7" t="s">
        <v>444</v>
      </c>
      <c r="H351" s="7" t="s">
        <v>444</v>
      </c>
      <c r="I351" s="7" t="s">
        <v>747</v>
      </c>
      <c r="J351" s="1" t="s">
        <v>2256</v>
      </c>
      <c r="K351" s="5">
        <f>SUMIF(BC!$E$6:$E$347,$A351,BC!$K$6:$K$347)</f>
        <v>0</v>
      </c>
      <c r="L351" s="5" t="e">
        <f>SUMIF(#REF!,$A351,#REF!)+SUMIF(#REF!,$A351,#REF!)</f>
        <v>#REF!</v>
      </c>
      <c r="M351" s="5" t="e">
        <f>SUMIF(#REF!,Casilleros!$A351,#REF!)+SUMIF(#REF!,Casilleros!$A351,#REF!)+SUMIF(#REF!,$A351,#REF!)</f>
        <v>#REF!</v>
      </c>
      <c r="N351" s="5" t="e">
        <f>SUMIF(#REF!,$A351,#REF!)</f>
        <v>#REF!</v>
      </c>
      <c r="O351" s="5" t="e">
        <f>SUMIF(#REF!,$A351,#REF!)+SUMIF(#REF!,$A351,#REF!)</f>
        <v>#REF!</v>
      </c>
      <c r="P351" s="5">
        <f>IFERROR(VLOOKUP($A351,#REF!,2,FALSE),0)</f>
        <v>0</v>
      </c>
      <c r="Q351" s="42" t="e">
        <f t="shared" si="5"/>
        <v>#REF!</v>
      </c>
    </row>
    <row r="352" spans="1:17">
      <c r="A352" s="56" t="s">
        <v>750</v>
      </c>
      <c r="B352" s="7" t="s">
        <v>561</v>
      </c>
      <c r="C352" s="7" t="s">
        <v>562</v>
      </c>
      <c r="D352" s="7" t="s">
        <v>703</v>
      </c>
      <c r="E352" s="7" t="s">
        <v>122</v>
      </c>
      <c r="F352" s="7" t="s">
        <v>444</v>
      </c>
      <c r="G352" s="7" t="s">
        <v>444</v>
      </c>
      <c r="H352" s="7" t="s">
        <v>444</v>
      </c>
      <c r="I352" s="7" t="s">
        <v>122</v>
      </c>
      <c r="J352" s="1" t="s">
        <v>2256</v>
      </c>
      <c r="K352" s="5" t="e">
        <f>SUMIF(BC!$E$6:$E$347,$A352,BC!$K$6:$K$347)</f>
        <v>#REF!</v>
      </c>
      <c r="L352" s="5" t="e">
        <f>SUMIF(#REF!,$A352,#REF!)+SUMIF(#REF!,$A352,#REF!)</f>
        <v>#REF!</v>
      </c>
      <c r="M352" s="5" t="e">
        <f>SUMIF(#REF!,Casilleros!$A352,#REF!)+SUMIF(#REF!,Casilleros!$A352,#REF!)+SUMIF(#REF!,$A352,#REF!)</f>
        <v>#REF!</v>
      </c>
      <c r="N352" s="5" t="e">
        <f>SUMIF(#REF!,$A352,#REF!)</f>
        <v>#REF!</v>
      </c>
      <c r="O352" s="5" t="e">
        <f>SUMIF(#REF!,$A352,#REF!)+SUMIF(#REF!,$A352,#REF!)</f>
        <v>#REF!</v>
      </c>
      <c r="P352" s="5">
        <f>IFERROR(VLOOKUP($A352,#REF!,2,FALSE),0)</f>
        <v>0</v>
      </c>
      <c r="Q352" s="42" t="e">
        <f t="shared" si="5"/>
        <v>#REF!</v>
      </c>
    </row>
    <row r="353" spans="1:17">
      <c r="A353" s="56" t="s">
        <v>755</v>
      </c>
      <c r="B353" s="7" t="s">
        <v>561</v>
      </c>
      <c r="C353" s="7" t="s">
        <v>562</v>
      </c>
      <c r="D353" s="7" t="s">
        <v>754</v>
      </c>
      <c r="E353" s="7" t="s">
        <v>444</v>
      </c>
      <c r="F353" s="7" t="s">
        <v>444</v>
      </c>
      <c r="G353" s="7" t="s">
        <v>444</v>
      </c>
      <c r="H353" s="7" t="s">
        <v>444</v>
      </c>
      <c r="I353" s="7" t="s">
        <v>754</v>
      </c>
      <c r="J353" s="7" t="s">
        <v>754</v>
      </c>
      <c r="K353" s="5">
        <f>SUMIF(BC!$E$6:$E$347,$A353,BC!$K$6:$K$347)</f>
        <v>0</v>
      </c>
      <c r="L353" s="5" t="e">
        <f>SUMIF(#REF!,$A353,#REF!)+SUMIF(#REF!,$A353,#REF!)</f>
        <v>#REF!</v>
      </c>
      <c r="M353" s="5" t="e">
        <f>SUMIF(#REF!,Casilleros!$A353,#REF!)+SUMIF(#REF!,Casilleros!$A353,#REF!)+SUMIF(#REF!,$A353,#REF!)</f>
        <v>#REF!</v>
      </c>
      <c r="N353" s="5" t="e">
        <f>SUMIF(#REF!,$A353,#REF!)</f>
        <v>#REF!</v>
      </c>
      <c r="O353" s="5" t="e">
        <f>SUMIF(#REF!,$A353,#REF!)+SUMIF(#REF!,$A353,#REF!)</f>
        <v>#REF!</v>
      </c>
      <c r="P353" s="5">
        <f>IFERROR(VLOOKUP($A353,#REF!,2,FALSE),0)</f>
        <v>0</v>
      </c>
      <c r="Q353" s="42" t="e">
        <f t="shared" si="5"/>
        <v>#REF!</v>
      </c>
    </row>
    <row r="354" spans="1:17">
      <c r="A354" s="56" t="s">
        <v>758</v>
      </c>
      <c r="B354" s="7" t="s">
        <v>561</v>
      </c>
      <c r="C354" s="7" t="s">
        <v>562</v>
      </c>
      <c r="D354" s="7" t="s">
        <v>757</v>
      </c>
      <c r="E354" s="7" t="s">
        <v>444</v>
      </c>
      <c r="F354" s="7" t="s">
        <v>444</v>
      </c>
      <c r="G354" s="7" t="s">
        <v>444</v>
      </c>
      <c r="H354" s="7" t="s">
        <v>444</v>
      </c>
      <c r="I354" s="7" t="s">
        <v>757</v>
      </c>
      <c r="K354" s="5">
        <f>SUMIF(BC!$E$6:$E$347,$A354,BC!$K$6:$K$347)</f>
        <v>0</v>
      </c>
      <c r="L354" s="5" t="e">
        <f>SUMIF(#REF!,$A354,#REF!)+SUMIF(#REF!,$A354,#REF!)</f>
        <v>#REF!</v>
      </c>
      <c r="M354" s="5" t="e">
        <f>SUMIF(#REF!,Casilleros!$A354,#REF!)+SUMIF(#REF!,Casilleros!$A354,#REF!)+SUMIF(#REF!,$A354,#REF!)</f>
        <v>#REF!</v>
      </c>
      <c r="N354" s="5" t="e">
        <f>SUMIF(#REF!,$A354,#REF!)</f>
        <v>#REF!</v>
      </c>
      <c r="O354" s="5" t="e">
        <f>SUMIF(#REF!,$A354,#REF!)+SUMIF(#REF!,$A354,#REF!)</f>
        <v>#REF!</v>
      </c>
      <c r="P354" s="5">
        <f>IFERROR(VLOOKUP($A354,#REF!,2,FALSE),0)</f>
        <v>0</v>
      </c>
      <c r="Q354" s="42" t="e">
        <f t="shared" si="5"/>
        <v>#REF!</v>
      </c>
    </row>
    <row r="355" spans="1:17">
      <c r="A355" s="56" t="s">
        <v>760</v>
      </c>
      <c r="B355" s="7" t="s">
        <v>561</v>
      </c>
      <c r="C355" s="7" t="s">
        <v>759</v>
      </c>
      <c r="D355" s="7" t="s">
        <v>444</v>
      </c>
      <c r="E355" s="7" t="s">
        <v>444</v>
      </c>
      <c r="F355" s="7" t="s">
        <v>444</v>
      </c>
      <c r="G355" s="7" t="s">
        <v>444</v>
      </c>
      <c r="H355" s="7" t="s">
        <v>444</v>
      </c>
      <c r="I355" s="7" t="s">
        <v>759</v>
      </c>
      <c r="K355" s="5">
        <f>SUMIF(BC!$E$6:$E$347,$A355,BC!$K$6:$K$347)</f>
        <v>0</v>
      </c>
      <c r="L355" s="5" t="e">
        <f>SUMIF(#REF!,$A355,#REF!)+SUMIF(#REF!,$A355,#REF!)</f>
        <v>#REF!</v>
      </c>
      <c r="M355" s="5" t="e">
        <f>SUMIF(#REF!,Casilleros!$A355,#REF!)+SUMIF(#REF!,Casilleros!$A355,#REF!)+SUMIF(#REF!,$A355,#REF!)</f>
        <v>#REF!</v>
      </c>
      <c r="N355" s="5" t="e">
        <f>SUMIF(#REF!,$A355,#REF!)</f>
        <v>#REF!</v>
      </c>
      <c r="O355" s="5" t="e">
        <f>SUMIF(#REF!,$A355,#REF!)+SUMIF(#REF!,$A355,#REF!)</f>
        <v>#REF!</v>
      </c>
      <c r="P355" s="5">
        <f>IFERROR(VLOOKUP($A355,#REF!,2,FALSE),0)</f>
        <v>0</v>
      </c>
      <c r="Q355" s="42" t="e">
        <f t="shared" si="5"/>
        <v>#REF!</v>
      </c>
    </row>
    <row r="356" spans="1:17">
      <c r="A356" s="56" t="s">
        <v>762</v>
      </c>
      <c r="B356" s="7" t="s">
        <v>561</v>
      </c>
      <c r="C356" s="7" t="s">
        <v>761</v>
      </c>
      <c r="D356" s="7" t="s">
        <v>444</v>
      </c>
      <c r="E356" s="7" t="s">
        <v>444</v>
      </c>
      <c r="F356" s="7" t="s">
        <v>444</v>
      </c>
      <c r="G356" s="7" t="s">
        <v>444</v>
      </c>
      <c r="H356" s="7" t="s">
        <v>444</v>
      </c>
      <c r="I356" s="7" t="s">
        <v>761</v>
      </c>
      <c r="K356" s="5">
        <f>SUMIF(BC!$E$6:$E$347,$A356,BC!$K$6:$K$347)</f>
        <v>0</v>
      </c>
      <c r="L356" s="5" t="e">
        <f>SUMIF(#REF!,$A356,#REF!)+SUMIF(#REF!,$A356,#REF!)</f>
        <v>#REF!</v>
      </c>
      <c r="M356" s="5" t="e">
        <f>SUMIF(#REF!,Casilleros!$A356,#REF!)+SUMIF(#REF!,Casilleros!$A356,#REF!)+SUMIF(#REF!,$A356,#REF!)</f>
        <v>#REF!</v>
      </c>
      <c r="N356" s="5" t="e">
        <f>SUMIF(#REF!,$A356,#REF!)</f>
        <v>#REF!</v>
      </c>
      <c r="O356" s="5" t="e">
        <f>SUMIF(#REF!,$A356,#REF!)+SUMIF(#REF!,$A356,#REF!)</f>
        <v>#REF!</v>
      </c>
      <c r="P356" s="5">
        <f>IFERROR(VLOOKUP($A356,#REF!,2,FALSE),0)</f>
        <v>0</v>
      </c>
      <c r="Q356" s="42" t="e">
        <f t="shared" si="5"/>
        <v>#REF!</v>
      </c>
    </row>
    <row r="357" spans="1:17">
      <c r="A357" s="56" t="s">
        <v>764</v>
      </c>
      <c r="B357" s="7" t="s">
        <v>561</v>
      </c>
      <c r="C357" s="7" t="s">
        <v>763</v>
      </c>
      <c r="D357" s="7" t="s">
        <v>444</v>
      </c>
      <c r="E357" s="7" t="s">
        <v>444</v>
      </c>
      <c r="F357" s="7" t="s">
        <v>444</v>
      </c>
      <c r="G357" s="7" t="s">
        <v>444</v>
      </c>
      <c r="H357" s="7" t="s">
        <v>444</v>
      </c>
      <c r="I357" s="7" t="s">
        <v>763</v>
      </c>
      <c r="K357" s="5">
        <f>SUMIF(BC!$E$6:$E$347,$A357,BC!$K$6:$K$347)</f>
        <v>0</v>
      </c>
      <c r="L357" s="5" t="e">
        <f>SUMIF(#REF!,$A357,#REF!)+SUMIF(#REF!,$A357,#REF!)</f>
        <v>#REF!</v>
      </c>
      <c r="M357" s="5" t="e">
        <f>SUMIF(#REF!,Casilleros!$A357,#REF!)+SUMIF(#REF!,Casilleros!$A357,#REF!)+SUMIF(#REF!,$A357,#REF!)</f>
        <v>#REF!</v>
      </c>
      <c r="N357" s="5" t="e">
        <f>SUMIF(#REF!,$A357,#REF!)</f>
        <v>#REF!</v>
      </c>
      <c r="O357" s="5" t="e">
        <f>SUMIF(#REF!,$A357,#REF!)+SUMIF(#REF!,$A357,#REF!)</f>
        <v>#REF!</v>
      </c>
      <c r="P357" s="5">
        <f>IFERROR(VLOOKUP($A357,#REF!,2,FALSE),0)</f>
        <v>0</v>
      </c>
      <c r="Q357" s="42" t="e">
        <f t="shared" si="5"/>
        <v>#REF!</v>
      </c>
    </row>
    <row r="358" spans="1:17">
      <c r="A358" s="56" t="s">
        <v>766</v>
      </c>
      <c r="B358" s="7" t="s">
        <v>561</v>
      </c>
      <c r="C358" s="7" t="s">
        <v>765</v>
      </c>
      <c r="D358" s="7" t="s">
        <v>444</v>
      </c>
      <c r="E358" s="7" t="s">
        <v>444</v>
      </c>
      <c r="F358" s="7" t="s">
        <v>444</v>
      </c>
      <c r="G358" s="7" t="s">
        <v>444</v>
      </c>
      <c r="H358" s="7" t="s">
        <v>444</v>
      </c>
      <c r="I358" s="7" t="s">
        <v>765</v>
      </c>
      <c r="K358" s="5">
        <f>SUMIF(BC!$E$6:$E$347,$A358,BC!$K$6:$K$347)</f>
        <v>0</v>
      </c>
      <c r="L358" s="5" t="e">
        <f>SUMIF(#REF!,$A358,#REF!)+SUMIF(#REF!,$A358,#REF!)</f>
        <v>#REF!</v>
      </c>
      <c r="M358" s="5" t="e">
        <f>SUMIF(#REF!,Casilleros!$A358,#REF!)+SUMIF(#REF!,Casilleros!$A358,#REF!)+SUMIF(#REF!,$A358,#REF!)</f>
        <v>#REF!</v>
      </c>
      <c r="N358" s="5" t="e">
        <f>SUMIF(#REF!,$A358,#REF!)</f>
        <v>#REF!</v>
      </c>
      <c r="O358" s="5" t="e">
        <f>SUMIF(#REF!,$A358,#REF!)+SUMIF(#REF!,$A358,#REF!)</f>
        <v>#REF!</v>
      </c>
      <c r="P358" s="5">
        <f>IFERROR(VLOOKUP($A358,#REF!,2,FALSE),0)</f>
        <v>0</v>
      </c>
      <c r="Q358" s="42" t="e">
        <f t="shared" si="5"/>
        <v>#REF!</v>
      </c>
    </row>
    <row r="359" spans="1:17">
      <c r="A359" s="56" t="s">
        <v>768</v>
      </c>
      <c r="B359" s="7" t="s">
        <v>561</v>
      </c>
      <c r="C359" s="7" t="s">
        <v>767</v>
      </c>
      <c r="D359" s="7" t="s">
        <v>444</v>
      </c>
      <c r="E359" s="7" t="s">
        <v>444</v>
      </c>
      <c r="F359" s="7" t="s">
        <v>444</v>
      </c>
      <c r="G359" s="7" t="s">
        <v>444</v>
      </c>
      <c r="H359" s="7" t="s">
        <v>444</v>
      </c>
      <c r="I359" s="7" t="s">
        <v>767</v>
      </c>
      <c r="K359" s="5">
        <f>SUMIF(BC!$E$6:$E$347,$A359,BC!$K$6:$K$347)</f>
        <v>0</v>
      </c>
      <c r="L359" s="5" t="e">
        <f>SUMIF(#REF!,$A359,#REF!)+SUMIF(#REF!,$A359,#REF!)</f>
        <v>#REF!</v>
      </c>
      <c r="M359" s="5" t="e">
        <f>SUMIF(#REF!,Casilleros!$A359,#REF!)+SUMIF(#REF!,Casilleros!$A359,#REF!)+SUMIF(#REF!,$A359,#REF!)</f>
        <v>#REF!</v>
      </c>
      <c r="N359" s="5" t="e">
        <f>SUMIF(#REF!,$A359,#REF!)</f>
        <v>#REF!</v>
      </c>
      <c r="O359" s="5" t="e">
        <f>SUMIF(#REF!,$A359,#REF!)+SUMIF(#REF!,$A359,#REF!)</f>
        <v>#REF!</v>
      </c>
      <c r="P359" s="5">
        <f>IFERROR(VLOOKUP($A359,#REF!,2,FALSE),0)</f>
        <v>0</v>
      </c>
      <c r="Q359" s="42" t="e">
        <f t="shared" si="5"/>
        <v>#REF!</v>
      </c>
    </row>
    <row r="360" spans="1:17">
      <c r="A360" s="56" t="s">
        <v>771</v>
      </c>
      <c r="B360" s="7" t="s">
        <v>561</v>
      </c>
      <c r="C360" s="7" t="s">
        <v>769</v>
      </c>
      <c r="D360" s="7" t="s">
        <v>770</v>
      </c>
      <c r="E360" s="7" t="s">
        <v>444</v>
      </c>
      <c r="F360" s="7" t="s">
        <v>444</v>
      </c>
      <c r="G360" s="7" t="s">
        <v>444</v>
      </c>
      <c r="H360" s="7" t="s">
        <v>444</v>
      </c>
      <c r="I360" s="7" t="s">
        <v>769</v>
      </c>
      <c r="K360" s="5">
        <f>SUMIF(BC!$E$6:$E$347,$A360,BC!$K$6:$K$347)</f>
        <v>0</v>
      </c>
      <c r="L360" s="5" t="e">
        <f>SUMIF(#REF!,$A360,#REF!)+SUMIF(#REF!,$A360,#REF!)</f>
        <v>#REF!</v>
      </c>
      <c r="M360" s="5" t="e">
        <f>SUMIF(#REF!,Casilleros!$A360,#REF!)+SUMIF(#REF!,Casilleros!$A360,#REF!)+SUMIF(#REF!,$A360,#REF!)</f>
        <v>#REF!</v>
      </c>
      <c r="N360" s="5" t="e">
        <f>SUMIF(#REF!,$A360,#REF!)</f>
        <v>#REF!</v>
      </c>
      <c r="O360" s="5" t="e">
        <f>SUMIF(#REF!,$A360,#REF!)+SUMIF(#REF!,$A360,#REF!)</f>
        <v>#REF!</v>
      </c>
      <c r="P360" s="5">
        <f>IFERROR(VLOOKUP($A360,#REF!,2,FALSE),0)</f>
        <v>0</v>
      </c>
      <c r="Q360" s="42" t="e">
        <f t="shared" si="5"/>
        <v>#REF!</v>
      </c>
    </row>
    <row r="361" spans="1:17">
      <c r="A361" s="56" t="s">
        <v>773</v>
      </c>
      <c r="B361" s="7" t="s">
        <v>561</v>
      </c>
      <c r="C361" s="7" t="s">
        <v>769</v>
      </c>
      <c r="D361" s="7" t="s">
        <v>772</v>
      </c>
      <c r="E361" s="7" t="s">
        <v>444</v>
      </c>
      <c r="F361" s="7" t="s">
        <v>444</v>
      </c>
      <c r="G361" s="7" t="s">
        <v>444</v>
      </c>
      <c r="H361" s="7" t="s">
        <v>444</v>
      </c>
      <c r="I361" s="7" t="s">
        <v>769</v>
      </c>
      <c r="K361" s="5">
        <f>SUMIF(BC!$E$6:$E$347,$A361,BC!$K$6:$K$347)</f>
        <v>0</v>
      </c>
      <c r="L361" s="5" t="e">
        <f>SUMIF(#REF!,$A361,#REF!)+SUMIF(#REF!,$A361,#REF!)</f>
        <v>#REF!</v>
      </c>
      <c r="M361" s="5" t="e">
        <f>SUMIF(#REF!,Casilleros!$A361,#REF!)+SUMIF(#REF!,Casilleros!$A361,#REF!)+SUMIF(#REF!,$A361,#REF!)</f>
        <v>#REF!</v>
      </c>
      <c r="N361" s="5" t="e">
        <f>SUMIF(#REF!,$A361,#REF!)</f>
        <v>#REF!</v>
      </c>
      <c r="O361" s="5" t="e">
        <f>SUMIF(#REF!,$A361,#REF!)+SUMIF(#REF!,$A361,#REF!)</f>
        <v>#REF!</v>
      </c>
      <c r="P361" s="5">
        <f>IFERROR(VLOOKUP($A361,#REF!,2,FALSE),0)</f>
        <v>0</v>
      </c>
      <c r="Q361" s="42" t="e">
        <f t="shared" si="5"/>
        <v>#REF!</v>
      </c>
    </row>
    <row r="362" spans="1:17">
      <c r="A362" s="56" t="s">
        <v>776</v>
      </c>
      <c r="B362" s="7" t="s">
        <v>561</v>
      </c>
      <c r="C362" s="7" t="s">
        <v>774</v>
      </c>
      <c r="D362" s="7" t="s">
        <v>775</v>
      </c>
      <c r="E362" s="7" t="s">
        <v>444</v>
      </c>
      <c r="F362" s="7" t="s">
        <v>444</v>
      </c>
      <c r="G362" s="7" t="s">
        <v>444</v>
      </c>
      <c r="H362" s="7" t="s">
        <v>444</v>
      </c>
      <c r="I362" s="7" t="s">
        <v>774</v>
      </c>
      <c r="K362" s="5">
        <f>SUMIF(BC!$E$6:$E$347,$A362,BC!$K$6:$K$347)</f>
        <v>0</v>
      </c>
      <c r="L362" s="5" t="e">
        <f>SUMIF(#REF!,$A362,#REF!)+SUMIF(#REF!,$A362,#REF!)</f>
        <v>#REF!</v>
      </c>
      <c r="M362" s="5" t="e">
        <f>SUMIF(#REF!,Casilleros!$A362,#REF!)+SUMIF(#REF!,Casilleros!$A362,#REF!)+SUMIF(#REF!,$A362,#REF!)</f>
        <v>#REF!</v>
      </c>
      <c r="N362" s="5" t="e">
        <f>SUMIF(#REF!,$A362,#REF!)</f>
        <v>#REF!</v>
      </c>
      <c r="O362" s="5" t="e">
        <f>SUMIF(#REF!,$A362,#REF!)+SUMIF(#REF!,$A362,#REF!)</f>
        <v>#REF!</v>
      </c>
      <c r="P362" s="5">
        <f>IFERROR(VLOOKUP($A362,#REF!,2,FALSE),0)</f>
        <v>0</v>
      </c>
      <c r="Q362" s="42" t="e">
        <f t="shared" si="5"/>
        <v>#REF!</v>
      </c>
    </row>
    <row r="363" spans="1:17">
      <c r="A363" s="56" t="s">
        <v>778</v>
      </c>
      <c r="B363" s="7" t="s">
        <v>561</v>
      </c>
      <c r="C363" s="7" t="s">
        <v>774</v>
      </c>
      <c r="D363" s="7" t="s">
        <v>777</v>
      </c>
      <c r="E363" s="7" t="s">
        <v>444</v>
      </c>
      <c r="F363" s="7" t="s">
        <v>444</v>
      </c>
      <c r="G363" s="7" t="s">
        <v>444</v>
      </c>
      <c r="H363" s="7" t="s">
        <v>444</v>
      </c>
      <c r="I363" s="7" t="s">
        <v>774</v>
      </c>
      <c r="K363" s="5">
        <f>SUMIF(BC!$E$6:$E$347,$A363,BC!$K$6:$K$347)</f>
        <v>0</v>
      </c>
      <c r="L363" s="5" t="e">
        <f>SUMIF(#REF!,$A363,#REF!)+SUMIF(#REF!,$A363,#REF!)</f>
        <v>#REF!</v>
      </c>
      <c r="M363" s="5" t="e">
        <f>SUMIF(#REF!,Casilleros!$A363,#REF!)+SUMIF(#REF!,Casilleros!$A363,#REF!)+SUMIF(#REF!,$A363,#REF!)</f>
        <v>#REF!</v>
      </c>
      <c r="N363" s="5" t="e">
        <f>SUMIF(#REF!,$A363,#REF!)</f>
        <v>#REF!</v>
      </c>
      <c r="O363" s="5" t="e">
        <f>SUMIF(#REF!,$A363,#REF!)+SUMIF(#REF!,$A363,#REF!)</f>
        <v>#REF!</v>
      </c>
      <c r="P363" s="5">
        <f>IFERROR(VLOOKUP($A363,#REF!,2,FALSE),0)</f>
        <v>0</v>
      </c>
      <c r="Q363" s="42" t="e">
        <f t="shared" si="5"/>
        <v>#REF!</v>
      </c>
    </row>
    <row r="364" spans="1:17">
      <c r="A364" s="56" t="s">
        <v>780</v>
      </c>
      <c r="B364" s="7" t="s">
        <v>561</v>
      </c>
      <c r="C364" s="7" t="s">
        <v>779</v>
      </c>
      <c r="D364" s="7" t="s">
        <v>444</v>
      </c>
      <c r="E364" s="7" t="s">
        <v>444</v>
      </c>
      <c r="F364" s="7" t="s">
        <v>444</v>
      </c>
      <c r="G364" s="7" t="s">
        <v>444</v>
      </c>
      <c r="H364" s="7" t="s">
        <v>444</v>
      </c>
      <c r="I364" s="7" t="s">
        <v>779</v>
      </c>
      <c r="K364" s="5">
        <f>SUMIF(BC!$E$6:$E$347,$A364,BC!$K$6:$K$347)</f>
        <v>0</v>
      </c>
      <c r="L364" s="5" t="e">
        <f>SUMIF(#REF!,$A364,#REF!)+SUMIF(#REF!,$A364,#REF!)</f>
        <v>#REF!</v>
      </c>
      <c r="M364" s="5" t="e">
        <f>SUMIF(#REF!,Casilleros!$A364,#REF!)+SUMIF(#REF!,Casilleros!$A364,#REF!)+SUMIF(#REF!,$A364,#REF!)</f>
        <v>#REF!</v>
      </c>
      <c r="N364" s="5" t="e">
        <f>SUMIF(#REF!,$A364,#REF!)</f>
        <v>#REF!</v>
      </c>
      <c r="O364" s="5" t="e">
        <f>SUMIF(#REF!,$A364,#REF!)+SUMIF(#REF!,$A364,#REF!)</f>
        <v>#REF!</v>
      </c>
      <c r="P364" s="5">
        <f>IFERROR(VLOOKUP($A364,#REF!,2,FALSE),0)</f>
        <v>0</v>
      </c>
      <c r="Q364" s="42" t="e">
        <f t="shared" si="5"/>
        <v>#REF!</v>
      </c>
    </row>
    <row r="365" spans="1:17">
      <c r="A365" s="56" t="s">
        <v>782</v>
      </c>
      <c r="B365" s="7" t="s">
        <v>561</v>
      </c>
      <c r="C365" s="7" t="s">
        <v>781</v>
      </c>
      <c r="D365" s="7" t="s">
        <v>444</v>
      </c>
      <c r="E365" s="7" t="s">
        <v>444</v>
      </c>
      <c r="F365" s="7" t="s">
        <v>444</v>
      </c>
      <c r="G365" s="7" t="s">
        <v>444</v>
      </c>
      <c r="H365" s="7" t="s">
        <v>444</v>
      </c>
      <c r="I365" s="7" t="s">
        <v>781</v>
      </c>
      <c r="K365" s="5">
        <f>SUMIF(BC!$E$6:$E$347,$A365,BC!$K$6:$K$347)</f>
        <v>0</v>
      </c>
      <c r="L365" s="5" t="e">
        <f>SUMIF(#REF!,$A365,#REF!)+SUMIF(#REF!,$A365,#REF!)</f>
        <v>#REF!</v>
      </c>
      <c r="M365" s="5" t="e">
        <f>SUMIF(#REF!,Casilleros!$A365,#REF!)+SUMIF(#REF!,Casilleros!$A365,#REF!)+SUMIF(#REF!,$A365,#REF!)</f>
        <v>#REF!</v>
      </c>
      <c r="N365" s="5" t="e">
        <f>SUMIF(#REF!,$A365,#REF!)</f>
        <v>#REF!</v>
      </c>
      <c r="O365" s="5" t="e">
        <f>SUMIF(#REF!,$A365,#REF!)+SUMIF(#REF!,$A365,#REF!)</f>
        <v>#REF!</v>
      </c>
      <c r="P365" s="5">
        <f>IFERROR(VLOOKUP($A365,#REF!,2,FALSE),0)</f>
        <v>0</v>
      </c>
      <c r="Q365" s="42" t="e">
        <f t="shared" si="5"/>
        <v>#REF!</v>
      </c>
    </row>
    <row r="366" spans="1:17">
      <c r="A366" s="56" t="s">
        <v>784</v>
      </c>
      <c r="B366" s="7" t="s">
        <v>561</v>
      </c>
      <c r="C366" s="7" t="s">
        <v>783</v>
      </c>
      <c r="D366" s="7" t="s">
        <v>444</v>
      </c>
      <c r="E366" s="7" t="s">
        <v>444</v>
      </c>
      <c r="F366" s="7" t="s">
        <v>444</v>
      </c>
      <c r="G366" s="7" t="s">
        <v>444</v>
      </c>
      <c r="H366" s="7" t="s">
        <v>444</v>
      </c>
      <c r="I366" s="7" t="s">
        <v>783</v>
      </c>
      <c r="K366" s="5">
        <f>SUMIF(BC!$E$6:$E$347,$A366,BC!$K$6:$K$347)</f>
        <v>0</v>
      </c>
      <c r="L366" s="5" t="e">
        <f>SUMIF(#REF!,$A366,#REF!)+SUMIF(#REF!,$A366,#REF!)</f>
        <v>#REF!</v>
      </c>
      <c r="M366" s="5" t="e">
        <f>SUMIF(#REF!,Casilleros!$A366,#REF!)+SUMIF(#REF!,Casilleros!$A366,#REF!)+SUMIF(#REF!,$A366,#REF!)</f>
        <v>#REF!</v>
      </c>
      <c r="N366" s="5" t="e">
        <f>SUMIF(#REF!,$A366,#REF!)</f>
        <v>#REF!</v>
      </c>
      <c r="O366" s="5" t="e">
        <f>SUMIF(#REF!,$A366,#REF!)+SUMIF(#REF!,$A366,#REF!)</f>
        <v>#REF!</v>
      </c>
      <c r="P366" s="5">
        <f>IFERROR(VLOOKUP($A366,#REF!,2,FALSE),0)</f>
        <v>0</v>
      </c>
      <c r="Q366" s="42" t="e">
        <f t="shared" si="5"/>
        <v>#REF!</v>
      </c>
    </row>
    <row r="367" spans="1:17">
      <c r="A367" s="56" t="s">
        <v>786</v>
      </c>
      <c r="B367" s="7" t="s">
        <v>561</v>
      </c>
      <c r="C367" s="7" t="s">
        <v>785</v>
      </c>
      <c r="D367" s="7" t="s">
        <v>444</v>
      </c>
      <c r="E367" s="7" t="s">
        <v>444</v>
      </c>
      <c r="F367" s="7" t="s">
        <v>444</v>
      </c>
      <c r="G367" s="7" t="s">
        <v>444</v>
      </c>
      <c r="H367" s="7" t="s">
        <v>444</v>
      </c>
      <c r="I367" s="7" t="s">
        <v>785</v>
      </c>
      <c r="K367" s="5">
        <f>SUMIF(BC!$E$6:$E$347,$A367,BC!$K$6:$K$347)</f>
        <v>0</v>
      </c>
      <c r="L367" s="5" t="e">
        <f>SUMIF(#REF!,$A367,#REF!)+SUMIF(#REF!,$A367,#REF!)</f>
        <v>#REF!</v>
      </c>
      <c r="M367" s="5" t="e">
        <f>SUMIF(#REF!,Casilleros!$A367,#REF!)+SUMIF(#REF!,Casilleros!$A367,#REF!)+SUMIF(#REF!,$A367,#REF!)</f>
        <v>#REF!</v>
      </c>
      <c r="N367" s="5" t="e">
        <f>SUMIF(#REF!,$A367,#REF!)</f>
        <v>#REF!</v>
      </c>
      <c r="O367" s="5" t="e">
        <f>SUMIF(#REF!,$A367,#REF!)+SUMIF(#REF!,$A367,#REF!)</f>
        <v>#REF!</v>
      </c>
      <c r="P367" s="5">
        <f>IFERROR(VLOOKUP($A367,#REF!,2,FALSE),0)</f>
        <v>0</v>
      </c>
      <c r="Q367" s="42" t="e">
        <f t="shared" si="5"/>
        <v>#REF!</v>
      </c>
    </row>
    <row r="368" spans="1:17">
      <c r="A368" s="56" t="s">
        <v>788</v>
      </c>
      <c r="B368" s="7" t="s">
        <v>561</v>
      </c>
      <c r="C368" s="7" t="s">
        <v>787</v>
      </c>
      <c r="D368" s="7" t="s">
        <v>444</v>
      </c>
      <c r="E368" s="7" t="s">
        <v>444</v>
      </c>
      <c r="F368" s="7" t="s">
        <v>444</v>
      </c>
      <c r="G368" s="7" t="s">
        <v>444</v>
      </c>
      <c r="H368" s="7" t="s">
        <v>444</v>
      </c>
      <c r="I368" s="7" t="s">
        <v>787</v>
      </c>
      <c r="K368" s="5">
        <f>SUMIF(BC!$E$6:$E$347,$A368,BC!$K$6:$K$347)</f>
        <v>0</v>
      </c>
      <c r="L368" s="5" t="e">
        <f>SUMIF(#REF!,$A368,#REF!)+SUMIF(#REF!,$A368,#REF!)</f>
        <v>#REF!</v>
      </c>
      <c r="M368" s="5" t="e">
        <f>SUMIF(#REF!,Casilleros!$A368,#REF!)+SUMIF(#REF!,Casilleros!$A368,#REF!)+SUMIF(#REF!,$A368,#REF!)</f>
        <v>#REF!</v>
      </c>
      <c r="N368" s="5" t="e">
        <f>SUMIF(#REF!,$A368,#REF!)</f>
        <v>#REF!</v>
      </c>
      <c r="O368" s="5" t="e">
        <f>SUMIF(#REF!,$A368,#REF!)+SUMIF(#REF!,$A368,#REF!)</f>
        <v>#REF!</v>
      </c>
      <c r="P368" s="5">
        <f>IFERROR(VLOOKUP($A368,#REF!,2,FALSE),0)</f>
        <v>0</v>
      </c>
      <c r="Q368" s="42" t="e">
        <f t="shared" si="5"/>
        <v>#REF!</v>
      </c>
    </row>
    <row r="369" spans="1:17">
      <c r="A369" s="56" t="s">
        <v>793</v>
      </c>
      <c r="B369" s="7" t="s">
        <v>561</v>
      </c>
      <c r="C369" s="7" t="s">
        <v>2251</v>
      </c>
      <c r="D369" s="7" t="s">
        <v>790</v>
      </c>
      <c r="E369" s="7" t="s">
        <v>792</v>
      </c>
      <c r="F369" s="7" t="s">
        <v>444</v>
      </c>
      <c r="G369" s="7" t="s">
        <v>444</v>
      </c>
      <c r="H369" s="7" t="s">
        <v>444</v>
      </c>
      <c r="I369" s="7" t="s">
        <v>1550</v>
      </c>
      <c r="J369" s="7" t="s">
        <v>2281</v>
      </c>
      <c r="K369" s="5">
        <f>SUMIF(BC!$E$6:$E$347,$A369,BC!$K$6:$K$347)</f>
        <v>0</v>
      </c>
      <c r="L369" s="5" t="e">
        <f>SUMIF(#REF!,$A369,#REF!)+SUMIF(#REF!,$A369,#REF!)</f>
        <v>#REF!</v>
      </c>
      <c r="M369" s="5" t="e">
        <f>SUMIF(#REF!,Casilleros!$A369,#REF!)+SUMIF(#REF!,Casilleros!$A369,#REF!)+SUMIF(#REF!,$A369,#REF!)</f>
        <v>#REF!</v>
      </c>
      <c r="N369" s="5" t="e">
        <f>SUMIF(#REF!,$A369,#REF!)</f>
        <v>#REF!</v>
      </c>
      <c r="O369" s="5" t="e">
        <f>SUMIF(#REF!,$A369,#REF!)+SUMIF(#REF!,$A369,#REF!)</f>
        <v>#REF!</v>
      </c>
      <c r="P369" s="5">
        <f>IFERROR(VLOOKUP($A369,#REF!,2,FALSE),0)</f>
        <v>0</v>
      </c>
      <c r="Q369" s="42" t="e">
        <f t="shared" si="5"/>
        <v>#REF!</v>
      </c>
    </row>
    <row r="370" spans="1:17">
      <c r="A370" s="56" t="s">
        <v>795</v>
      </c>
      <c r="B370" s="7" t="s">
        <v>561</v>
      </c>
      <c r="C370" s="7" t="s">
        <v>2251</v>
      </c>
      <c r="D370" s="7" t="s">
        <v>790</v>
      </c>
      <c r="E370" s="7" t="s">
        <v>794</v>
      </c>
      <c r="F370" s="7" t="s">
        <v>444</v>
      </c>
      <c r="G370" s="7" t="s">
        <v>444</v>
      </c>
      <c r="H370" s="7" t="s">
        <v>444</v>
      </c>
      <c r="I370" s="7" t="s">
        <v>1551</v>
      </c>
      <c r="J370" s="7" t="s">
        <v>2281</v>
      </c>
      <c r="K370" s="5">
        <f>SUMIF(BC!$E$6:$E$347,$A370,BC!$K$6:$K$347)</f>
        <v>0</v>
      </c>
      <c r="L370" s="5" t="e">
        <f>SUMIF(#REF!,$A370,#REF!)+SUMIF(#REF!,$A370,#REF!)</f>
        <v>#REF!</v>
      </c>
      <c r="M370" s="5" t="e">
        <f>SUMIF(#REF!,Casilleros!$A370,#REF!)+SUMIF(#REF!,Casilleros!$A370,#REF!)+SUMIF(#REF!,$A370,#REF!)</f>
        <v>#REF!</v>
      </c>
      <c r="N370" s="5" t="e">
        <f>SUMIF(#REF!,$A370,#REF!)</f>
        <v>#REF!</v>
      </c>
      <c r="O370" s="5" t="e">
        <f>SUMIF(#REF!,$A370,#REF!)+SUMIF(#REF!,$A370,#REF!)</f>
        <v>#REF!</v>
      </c>
      <c r="P370" s="5">
        <f>IFERROR(VLOOKUP($A370,#REF!,2,FALSE),0)</f>
        <v>0</v>
      </c>
      <c r="Q370" s="42" t="e">
        <f t="shared" si="5"/>
        <v>#REF!</v>
      </c>
    </row>
    <row r="371" spans="1:17">
      <c r="A371" s="56" t="s">
        <v>798</v>
      </c>
      <c r="B371" s="7" t="s">
        <v>561</v>
      </c>
      <c r="C371" s="7" t="s">
        <v>2251</v>
      </c>
      <c r="D371" s="7" t="s">
        <v>790</v>
      </c>
      <c r="E371" s="7" t="s">
        <v>797</v>
      </c>
      <c r="F371" s="7" t="s">
        <v>444</v>
      </c>
      <c r="G371" s="7" t="s">
        <v>444</v>
      </c>
      <c r="H371" s="7" t="s">
        <v>444</v>
      </c>
      <c r="I371" s="7" t="s">
        <v>1552</v>
      </c>
      <c r="J371" s="7" t="s">
        <v>2281</v>
      </c>
      <c r="K371" s="5">
        <f>SUMIF(BC!$E$6:$E$347,$A371,BC!$K$6:$K$347)</f>
        <v>0</v>
      </c>
      <c r="L371" s="5" t="e">
        <f>SUMIF(#REF!,$A371,#REF!)+SUMIF(#REF!,$A371,#REF!)</f>
        <v>#REF!</v>
      </c>
      <c r="M371" s="5" t="e">
        <f>SUMIF(#REF!,Casilleros!$A371,#REF!)+SUMIF(#REF!,Casilleros!$A371,#REF!)+SUMIF(#REF!,$A371,#REF!)</f>
        <v>#REF!</v>
      </c>
      <c r="N371" s="5" t="e">
        <f>SUMIF(#REF!,$A371,#REF!)</f>
        <v>#REF!</v>
      </c>
      <c r="O371" s="5" t="e">
        <f>SUMIF(#REF!,$A371,#REF!)+SUMIF(#REF!,$A371,#REF!)</f>
        <v>#REF!</v>
      </c>
      <c r="P371" s="5">
        <f>IFERROR(VLOOKUP($A371,#REF!,2,FALSE),0)</f>
        <v>0</v>
      </c>
      <c r="Q371" s="42" t="e">
        <f t="shared" si="5"/>
        <v>#REF!</v>
      </c>
    </row>
    <row r="372" spans="1:17">
      <c r="A372" s="56" t="s">
        <v>802</v>
      </c>
      <c r="B372" s="7" t="s">
        <v>561</v>
      </c>
      <c r="C372" s="7" t="s">
        <v>2251</v>
      </c>
      <c r="D372" s="7" t="s">
        <v>790</v>
      </c>
      <c r="E372" s="7" t="s">
        <v>801</v>
      </c>
      <c r="F372" s="7" t="s">
        <v>444</v>
      </c>
      <c r="G372" s="7" t="s">
        <v>444</v>
      </c>
      <c r="H372" s="7" t="s">
        <v>444</v>
      </c>
      <c r="I372" s="7" t="s">
        <v>1553</v>
      </c>
      <c r="J372" s="7" t="s">
        <v>2281</v>
      </c>
      <c r="K372" s="5">
        <f>SUMIF(BC!$E$6:$E$347,$A372,BC!$K$6:$K$347)</f>
        <v>0</v>
      </c>
      <c r="L372" s="5" t="e">
        <f>SUMIF(#REF!,$A372,#REF!)+SUMIF(#REF!,$A372,#REF!)</f>
        <v>#REF!</v>
      </c>
      <c r="M372" s="5" t="e">
        <f>SUMIF(#REF!,Casilleros!$A372,#REF!)+SUMIF(#REF!,Casilleros!$A372,#REF!)+SUMIF(#REF!,$A372,#REF!)</f>
        <v>#REF!</v>
      </c>
      <c r="N372" s="5" t="e">
        <f>SUMIF(#REF!,$A372,#REF!)</f>
        <v>#REF!</v>
      </c>
      <c r="O372" s="5" t="e">
        <f>SUMIF(#REF!,$A372,#REF!)+SUMIF(#REF!,$A372,#REF!)</f>
        <v>#REF!</v>
      </c>
      <c r="P372" s="5">
        <f>IFERROR(VLOOKUP($A372,#REF!,2,FALSE),0)</f>
        <v>0</v>
      </c>
      <c r="Q372" s="42" t="e">
        <f t="shared" si="5"/>
        <v>#REF!</v>
      </c>
    </row>
    <row r="373" spans="1:17">
      <c r="A373" s="56" t="s">
        <v>804</v>
      </c>
      <c r="B373" s="7" t="s">
        <v>561</v>
      </c>
      <c r="C373" s="7" t="s">
        <v>2251</v>
      </c>
      <c r="D373" s="7" t="s">
        <v>790</v>
      </c>
      <c r="E373" s="7" t="s">
        <v>803</v>
      </c>
      <c r="F373" s="7" t="s">
        <v>444</v>
      </c>
      <c r="G373" s="7" t="s">
        <v>444</v>
      </c>
      <c r="H373" s="7" t="s">
        <v>444</v>
      </c>
      <c r="I373" s="7" t="s">
        <v>1554</v>
      </c>
      <c r="J373" s="7" t="s">
        <v>2281</v>
      </c>
      <c r="K373" s="5">
        <f>SUMIF(BC!$E$6:$E$347,$A373,BC!$K$6:$K$347)</f>
        <v>0</v>
      </c>
      <c r="L373" s="5" t="e">
        <f>SUMIF(#REF!,$A373,#REF!)+SUMIF(#REF!,$A373,#REF!)</f>
        <v>#REF!</v>
      </c>
      <c r="M373" s="5" t="e">
        <f>SUMIF(#REF!,Casilleros!$A373,#REF!)+SUMIF(#REF!,Casilleros!$A373,#REF!)+SUMIF(#REF!,$A373,#REF!)</f>
        <v>#REF!</v>
      </c>
      <c r="N373" s="5" t="e">
        <f>SUMIF(#REF!,$A373,#REF!)</f>
        <v>#REF!</v>
      </c>
      <c r="O373" s="5" t="e">
        <f>SUMIF(#REF!,$A373,#REF!)+SUMIF(#REF!,$A373,#REF!)</f>
        <v>#REF!</v>
      </c>
      <c r="P373" s="5">
        <f>IFERROR(VLOOKUP($A373,#REF!,2,FALSE),0)</f>
        <v>0</v>
      </c>
      <c r="Q373" s="42" t="e">
        <f t="shared" si="5"/>
        <v>#REF!</v>
      </c>
    </row>
    <row r="374" spans="1:17">
      <c r="A374" s="56" t="s">
        <v>806</v>
      </c>
      <c r="B374" s="7" t="s">
        <v>561</v>
      </c>
      <c r="C374" s="7" t="s">
        <v>2251</v>
      </c>
      <c r="D374" s="7" t="s">
        <v>790</v>
      </c>
      <c r="E374" s="7" t="s">
        <v>805</v>
      </c>
      <c r="F374" s="7" t="s">
        <v>444</v>
      </c>
      <c r="G374" s="7" t="s">
        <v>444</v>
      </c>
      <c r="H374" s="7" t="s">
        <v>444</v>
      </c>
      <c r="I374" s="7" t="s">
        <v>1555</v>
      </c>
      <c r="J374" s="7" t="s">
        <v>2281</v>
      </c>
      <c r="K374" s="5">
        <f>SUMIF(BC!$E$6:$E$347,$A374,BC!$K$6:$K$347)</f>
        <v>0</v>
      </c>
      <c r="L374" s="5" t="e">
        <f>SUMIF(#REF!,$A374,#REF!)+SUMIF(#REF!,$A374,#REF!)</f>
        <v>#REF!</v>
      </c>
      <c r="M374" s="5" t="e">
        <f>SUMIF(#REF!,Casilleros!$A374,#REF!)+SUMIF(#REF!,Casilleros!$A374,#REF!)+SUMIF(#REF!,$A374,#REF!)</f>
        <v>#REF!</v>
      </c>
      <c r="N374" s="5" t="e">
        <f>SUMIF(#REF!,$A374,#REF!)</f>
        <v>#REF!</v>
      </c>
      <c r="O374" s="5" t="e">
        <f>SUMIF(#REF!,$A374,#REF!)+SUMIF(#REF!,$A374,#REF!)</f>
        <v>#REF!</v>
      </c>
      <c r="P374" s="5">
        <f>IFERROR(VLOOKUP($A374,#REF!,2,FALSE),0)</f>
        <v>0</v>
      </c>
      <c r="Q374" s="42" t="e">
        <f t="shared" si="5"/>
        <v>#REF!</v>
      </c>
    </row>
    <row r="375" spans="1:17">
      <c r="A375" s="56" t="s">
        <v>809</v>
      </c>
      <c r="B375" s="7" t="s">
        <v>561</v>
      </c>
      <c r="C375" s="7" t="s">
        <v>2251</v>
      </c>
      <c r="D375" s="7" t="s">
        <v>790</v>
      </c>
      <c r="E375" s="7" t="s">
        <v>808</v>
      </c>
      <c r="F375" s="7" t="s">
        <v>444</v>
      </c>
      <c r="G375" s="7" t="s">
        <v>444</v>
      </c>
      <c r="H375" s="7" t="s">
        <v>444</v>
      </c>
      <c r="I375" s="7" t="s">
        <v>1556</v>
      </c>
      <c r="J375" s="7" t="s">
        <v>2281</v>
      </c>
      <c r="K375" s="5">
        <f>SUMIF(BC!$E$6:$E$347,$A375,BC!$K$6:$K$347)</f>
        <v>0</v>
      </c>
      <c r="L375" s="5" t="e">
        <f>SUMIF(#REF!,$A375,#REF!)+SUMIF(#REF!,$A375,#REF!)</f>
        <v>#REF!</v>
      </c>
      <c r="M375" s="5" t="e">
        <f>SUMIF(#REF!,Casilleros!$A375,#REF!)+SUMIF(#REF!,Casilleros!$A375,#REF!)+SUMIF(#REF!,$A375,#REF!)</f>
        <v>#REF!</v>
      </c>
      <c r="N375" s="5" t="e">
        <f>SUMIF(#REF!,$A375,#REF!)</f>
        <v>#REF!</v>
      </c>
      <c r="O375" s="5" t="e">
        <f>SUMIF(#REF!,$A375,#REF!)+SUMIF(#REF!,$A375,#REF!)</f>
        <v>#REF!</v>
      </c>
      <c r="P375" s="5">
        <f>IFERROR(VLOOKUP($A375,#REF!,2,FALSE),0)</f>
        <v>0</v>
      </c>
      <c r="Q375" s="42" t="e">
        <f t="shared" si="5"/>
        <v>#REF!</v>
      </c>
    </row>
    <row r="376" spans="1:17">
      <c r="A376" s="56" t="s">
        <v>812</v>
      </c>
      <c r="B376" s="7" t="s">
        <v>561</v>
      </c>
      <c r="C376" s="7" t="s">
        <v>2251</v>
      </c>
      <c r="D376" s="7" t="s">
        <v>790</v>
      </c>
      <c r="E376" s="7" t="s">
        <v>811</v>
      </c>
      <c r="F376" s="7" t="s">
        <v>444</v>
      </c>
      <c r="G376" s="7" t="s">
        <v>444</v>
      </c>
      <c r="H376" s="7" t="s">
        <v>444</v>
      </c>
      <c r="I376" s="7" t="s">
        <v>1557</v>
      </c>
      <c r="J376" s="7" t="s">
        <v>2281</v>
      </c>
      <c r="K376" s="5">
        <f>SUMIF(BC!$E$6:$E$347,$A376,BC!$K$6:$K$347)</f>
        <v>0</v>
      </c>
      <c r="L376" s="5" t="e">
        <f>SUMIF(#REF!,$A376,#REF!)+SUMIF(#REF!,$A376,#REF!)</f>
        <v>#REF!</v>
      </c>
      <c r="M376" s="5" t="e">
        <f>SUMIF(#REF!,Casilleros!$A376,#REF!)+SUMIF(#REF!,Casilleros!$A376,#REF!)+SUMIF(#REF!,$A376,#REF!)</f>
        <v>#REF!</v>
      </c>
      <c r="N376" s="5" t="e">
        <f>SUMIF(#REF!,$A376,#REF!)</f>
        <v>#REF!</v>
      </c>
      <c r="O376" s="5" t="e">
        <f>SUMIF(#REF!,$A376,#REF!)+SUMIF(#REF!,$A376,#REF!)</f>
        <v>#REF!</v>
      </c>
      <c r="P376" s="5">
        <f>IFERROR(VLOOKUP($A376,#REF!,2,FALSE),0)</f>
        <v>0</v>
      </c>
      <c r="Q376" s="42" t="e">
        <f t="shared" si="5"/>
        <v>#REF!</v>
      </c>
    </row>
    <row r="377" spans="1:17">
      <c r="A377" s="56" t="s">
        <v>814</v>
      </c>
      <c r="B377" s="7" t="s">
        <v>561</v>
      </c>
      <c r="C377" s="7" t="s">
        <v>2251</v>
      </c>
      <c r="D377" s="7" t="s">
        <v>790</v>
      </c>
      <c r="E377" s="7" t="s">
        <v>813</v>
      </c>
      <c r="F377" s="7" t="s">
        <v>444</v>
      </c>
      <c r="G377" s="7" t="s">
        <v>444</v>
      </c>
      <c r="H377" s="7" t="s">
        <v>444</v>
      </c>
      <c r="I377" s="7" t="s">
        <v>1558</v>
      </c>
      <c r="J377" s="7" t="s">
        <v>2281</v>
      </c>
      <c r="K377" s="5">
        <f>SUMIF(BC!$E$6:$E$347,$A377,BC!$K$6:$K$347)</f>
        <v>0</v>
      </c>
      <c r="L377" s="5" t="e">
        <f>SUMIF(#REF!,$A377,#REF!)+SUMIF(#REF!,$A377,#REF!)</f>
        <v>#REF!</v>
      </c>
      <c r="M377" s="5" t="e">
        <f>SUMIF(#REF!,Casilleros!$A377,#REF!)+SUMIF(#REF!,Casilleros!$A377,#REF!)+SUMIF(#REF!,$A377,#REF!)</f>
        <v>#REF!</v>
      </c>
      <c r="N377" s="5" t="e">
        <f>SUMIF(#REF!,$A377,#REF!)</f>
        <v>#REF!</v>
      </c>
      <c r="O377" s="5" t="e">
        <f>SUMIF(#REF!,$A377,#REF!)+SUMIF(#REF!,$A377,#REF!)</f>
        <v>#REF!</v>
      </c>
      <c r="P377" s="5">
        <f>IFERROR(VLOOKUP($A377,#REF!,2,FALSE),0)</f>
        <v>0</v>
      </c>
      <c r="Q377" s="42" t="e">
        <f t="shared" si="5"/>
        <v>#REF!</v>
      </c>
    </row>
    <row r="378" spans="1:17">
      <c r="A378" s="56" t="s">
        <v>816</v>
      </c>
      <c r="B378" s="7" t="s">
        <v>561</v>
      </c>
      <c r="C378" s="7" t="s">
        <v>2251</v>
      </c>
      <c r="D378" s="7" t="s">
        <v>790</v>
      </c>
      <c r="E378" s="7" t="s">
        <v>815</v>
      </c>
      <c r="F378" s="7" t="s">
        <v>444</v>
      </c>
      <c r="G378" s="7" t="s">
        <v>444</v>
      </c>
      <c r="H378" s="7" t="s">
        <v>444</v>
      </c>
      <c r="I378" s="7" t="s">
        <v>1559</v>
      </c>
      <c r="J378" s="7" t="s">
        <v>2281</v>
      </c>
      <c r="K378" s="5">
        <f>SUMIF(BC!$E$6:$E$347,$A378,BC!$K$6:$K$347)</f>
        <v>0</v>
      </c>
      <c r="L378" s="5" t="e">
        <f>SUMIF(#REF!,$A378,#REF!)+SUMIF(#REF!,$A378,#REF!)</f>
        <v>#REF!</v>
      </c>
      <c r="M378" s="5" t="e">
        <f>SUMIF(#REF!,Casilleros!$A378,#REF!)+SUMIF(#REF!,Casilleros!$A378,#REF!)+SUMIF(#REF!,$A378,#REF!)</f>
        <v>#REF!</v>
      </c>
      <c r="N378" s="5" t="e">
        <f>SUMIF(#REF!,$A378,#REF!)</f>
        <v>#REF!</v>
      </c>
      <c r="O378" s="5" t="e">
        <f>SUMIF(#REF!,$A378,#REF!)+SUMIF(#REF!,$A378,#REF!)</f>
        <v>#REF!</v>
      </c>
      <c r="P378" s="5">
        <f>IFERROR(VLOOKUP($A378,#REF!,2,FALSE),0)</f>
        <v>0</v>
      </c>
      <c r="Q378" s="42" t="e">
        <f t="shared" si="5"/>
        <v>#REF!</v>
      </c>
    </row>
    <row r="379" spans="1:17">
      <c r="A379" s="56" t="s">
        <v>818</v>
      </c>
      <c r="B379" s="7" t="s">
        <v>561</v>
      </c>
      <c r="C379" s="7" t="s">
        <v>2251</v>
      </c>
      <c r="D379" s="7" t="s">
        <v>790</v>
      </c>
      <c r="E379" s="7" t="s">
        <v>817</v>
      </c>
      <c r="F379" s="7" t="s">
        <v>444</v>
      </c>
      <c r="G379" s="7" t="s">
        <v>444</v>
      </c>
      <c r="H379" s="7" t="s">
        <v>444</v>
      </c>
      <c r="I379" s="7" t="s">
        <v>1560</v>
      </c>
      <c r="J379" s="7" t="s">
        <v>2281</v>
      </c>
      <c r="K379" s="5">
        <f>SUMIF(BC!$E$6:$E$347,$A379,BC!$K$6:$K$347)</f>
        <v>0</v>
      </c>
      <c r="L379" s="5" t="e">
        <f>SUMIF(#REF!,$A379,#REF!)+SUMIF(#REF!,$A379,#REF!)</f>
        <v>#REF!</v>
      </c>
      <c r="M379" s="5" t="e">
        <f>SUMIF(#REF!,Casilleros!$A379,#REF!)+SUMIF(#REF!,Casilleros!$A379,#REF!)+SUMIF(#REF!,$A379,#REF!)</f>
        <v>#REF!</v>
      </c>
      <c r="N379" s="5" t="e">
        <f>SUMIF(#REF!,$A379,#REF!)</f>
        <v>#REF!</v>
      </c>
      <c r="O379" s="5" t="e">
        <f>SUMIF(#REF!,$A379,#REF!)+SUMIF(#REF!,$A379,#REF!)</f>
        <v>#REF!</v>
      </c>
      <c r="P379" s="5">
        <f>IFERROR(VLOOKUP($A379,#REF!,2,FALSE),0)</f>
        <v>0</v>
      </c>
      <c r="Q379" s="42" t="e">
        <f t="shared" si="5"/>
        <v>#REF!</v>
      </c>
    </row>
    <row r="380" spans="1:17">
      <c r="A380" s="56" t="s">
        <v>820</v>
      </c>
      <c r="B380" s="7" t="s">
        <v>561</v>
      </c>
      <c r="C380" s="7" t="s">
        <v>2251</v>
      </c>
      <c r="D380" s="7" t="s">
        <v>790</v>
      </c>
      <c r="E380" s="7" t="s">
        <v>819</v>
      </c>
      <c r="F380" s="7" t="s">
        <v>444</v>
      </c>
      <c r="G380" s="7" t="s">
        <v>444</v>
      </c>
      <c r="H380" s="7" t="s">
        <v>444</v>
      </c>
      <c r="I380" s="7" t="s">
        <v>1561</v>
      </c>
      <c r="J380" s="7" t="s">
        <v>2281</v>
      </c>
      <c r="K380" s="5">
        <f>SUMIF(BC!$E$6:$E$347,$A380,BC!$K$6:$K$347)</f>
        <v>0</v>
      </c>
      <c r="L380" s="5" t="e">
        <f>SUMIF(#REF!,$A380,#REF!)+SUMIF(#REF!,$A380,#REF!)</f>
        <v>#REF!</v>
      </c>
      <c r="M380" s="5" t="e">
        <f>SUMIF(#REF!,Casilleros!$A380,#REF!)+SUMIF(#REF!,Casilleros!$A380,#REF!)+SUMIF(#REF!,$A380,#REF!)</f>
        <v>#REF!</v>
      </c>
      <c r="N380" s="5" t="e">
        <f>SUMIF(#REF!,$A380,#REF!)</f>
        <v>#REF!</v>
      </c>
      <c r="O380" s="5" t="e">
        <f>SUMIF(#REF!,$A380,#REF!)+SUMIF(#REF!,$A380,#REF!)</f>
        <v>#REF!</v>
      </c>
      <c r="P380" s="5">
        <f>IFERROR(VLOOKUP($A380,#REF!,2,FALSE),0)</f>
        <v>0</v>
      </c>
      <c r="Q380" s="42" t="e">
        <f t="shared" si="5"/>
        <v>#REF!</v>
      </c>
    </row>
    <row r="381" spans="1:17">
      <c r="A381" s="56" t="s">
        <v>822</v>
      </c>
      <c r="B381" s="7" t="s">
        <v>561</v>
      </c>
      <c r="C381" s="7" t="s">
        <v>2251</v>
      </c>
      <c r="D381" s="7" t="s">
        <v>790</v>
      </c>
      <c r="E381" s="7" t="s">
        <v>821</v>
      </c>
      <c r="F381" s="7" t="s">
        <v>444</v>
      </c>
      <c r="G381" s="7" t="s">
        <v>444</v>
      </c>
      <c r="H381" s="7" t="s">
        <v>444</v>
      </c>
      <c r="I381" s="7" t="s">
        <v>1562</v>
      </c>
      <c r="J381" s="7" t="s">
        <v>2281</v>
      </c>
      <c r="K381" s="5">
        <f>SUMIF(BC!$E$6:$E$347,$A381,BC!$K$6:$K$347)</f>
        <v>0</v>
      </c>
      <c r="L381" s="5" t="e">
        <f>SUMIF(#REF!,$A381,#REF!)+SUMIF(#REF!,$A381,#REF!)</f>
        <v>#REF!</v>
      </c>
      <c r="M381" s="5" t="e">
        <f>SUMIF(#REF!,Casilleros!$A381,#REF!)+SUMIF(#REF!,Casilleros!$A381,#REF!)+SUMIF(#REF!,$A381,#REF!)</f>
        <v>#REF!</v>
      </c>
      <c r="N381" s="5" t="e">
        <f>SUMIF(#REF!,$A381,#REF!)</f>
        <v>#REF!</v>
      </c>
      <c r="O381" s="5" t="e">
        <f>SUMIF(#REF!,$A381,#REF!)+SUMIF(#REF!,$A381,#REF!)</f>
        <v>#REF!</v>
      </c>
      <c r="P381" s="5">
        <f>IFERROR(VLOOKUP($A381,#REF!,2,FALSE),0)</f>
        <v>0</v>
      </c>
      <c r="Q381" s="42" t="e">
        <f t="shared" si="5"/>
        <v>#REF!</v>
      </c>
    </row>
    <row r="382" spans="1:17">
      <c r="A382" s="56" t="s">
        <v>825</v>
      </c>
      <c r="B382" s="7" t="s">
        <v>561</v>
      </c>
      <c r="C382" s="7" t="s">
        <v>2251</v>
      </c>
      <c r="D382" s="7" t="s">
        <v>823</v>
      </c>
      <c r="E382" s="7" t="s">
        <v>824</v>
      </c>
      <c r="F382" s="7" t="s">
        <v>444</v>
      </c>
      <c r="G382" s="7" t="s">
        <v>444</v>
      </c>
      <c r="H382" s="7" t="s">
        <v>444</v>
      </c>
      <c r="I382" s="7" t="s">
        <v>1563</v>
      </c>
      <c r="J382" s="1" t="s">
        <v>2282</v>
      </c>
      <c r="K382" s="5">
        <f>SUMIF(BC!$E$6:$E$347,$A382,BC!$K$6:$K$347)</f>
        <v>0</v>
      </c>
      <c r="L382" s="5" t="e">
        <f>SUMIF(#REF!,$A382,#REF!)+SUMIF(#REF!,$A382,#REF!)</f>
        <v>#REF!</v>
      </c>
      <c r="M382" s="5" t="e">
        <f>SUMIF(#REF!,Casilleros!$A382,#REF!)+SUMIF(#REF!,Casilleros!$A382,#REF!)+SUMIF(#REF!,$A382,#REF!)</f>
        <v>#REF!</v>
      </c>
      <c r="N382" s="5" t="e">
        <f>SUMIF(#REF!,$A382,#REF!)</f>
        <v>#REF!</v>
      </c>
      <c r="O382" s="5" t="e">
        <f>SUMIF(#REF!,$A382,#REF!)+SUMIF(#REF!,$A382,#REF!)</f>
        <v>#REF!</v>
      </c>
      <c r="P382" s="5">
        <f>IFERROR(VLOOKUP($A382,#REF!,2,FALSE),0)</f>
        <v>0</v>
      </c>
      <c r="Q382" s="42" t="e">
        <f t="shared" si="5"/>
        <v>#REF!</v>
      </c>
    </row>
    <row r="383" spans="1:17">
      <c r="A383" s="56" t="s">
        <v>829</v>
      </c>
      <c r="B383" s="7" t="s">
        <v>561</v>
      </c>
      <c r="C383" s="7" t="s">
        <v>2251</v>
      </c>
      <c r="D383" s="7" t="s">
        <v>823</v>
      </c>
      <c r="E383" s="7" t="s">
        <v>828</v>
      </c>
      <c r="F383" s="7" t="s">
        <v>444</v>
      </c>
      <c r="G383" s="7" t="s">
        <v>444</v>
      </c>
      <c r="H383" s="7" t="s">
        <v>444</v>
      </c>
      <c r="I383" s="7" t="s">
        <v>1564</v>
      </c>
      <c r="J383" s="1" t="s">
        <v>2282</v>
      </c>
      <c r="K383" s="5">
        <f>SUMIF(BC!$E$6:$E$347,$A383,BC!$K$6:$K$347)</f>
        <v>0</v>
      </c>
      <c r="L383" s="5" t="e">
        <f>SUMIF(#REF!,$A383,#REF!)+SUMIF(#REF!,$A383,#REF!)</f>
        <v>#REF!</v>
      </c>
      <c r="M383" s="5" t="e">
        <f>SUMIF(#REF!,Casilleros!$A383,#REF!)+SUMIF(#REF!,Casilleros!$A383,#REF!)+SUMIF(#REF!,$A383,#REF!)</f>
        <v>#REF!</v>
      </c>
      <c r="N383" s="5" t="e">
        <f>SUMIF(#REF!,$A383,#REF!)</f>
        <v>#REF!</v>
      </c>
      <c r="O383" s="5" t="e">
        <f>SUMIF(#REF!,$A383,#REF!)+SUMIF(#REF!,$A383,#REF!)</f>
        <v>#REF!</v>
      </c>
      <c r="P383" s="5">
        <f>IFERROR(VLOOKUP($A383,#REF!,2,FALSE),0)</f>
        <v>0</v>
      </c>
      <c r="Q383" s="42" t="e">
        <f t="shared" si="5"/>
        <v>#REF!</v>
      </c>
    </row>
    <row r="384" spans="1:17">
      <c r="A384" s="56" t="s">
        <v>833</v>
      </c>
      <c r="B384" s="7" t="s">
        <v>561</v>
      </c>
      <c r="C384" s="7" t="s">
        <v>2251</v>
      </c>
      <c r="D384" s="7" t="s">
        <v>823</v>
      </c>
      <c r="E384" s="7" t="s">
        <v>832</v>
      </c>
      <c r="F384" s="7" t="s">
        <v>444</v>
      </c>
      <c r="G384" s="7" t="s">
        <v>444</v>
      </c>
      <c r="H384" s="7" t="s">
        <v>444</v>
      </c>
      <c r="I384" s="7" t="s">
        <v>1565</v>
      </c>
      <c r="J384" s="1" t="s">
        <v>2282</v>
      </c>
      <c r="K384" s="5">
        <f>SUMIF(BC!$E$6:$E$347,$A384,BC!$K$6:$K$347)</f>
        <v>0</v>
      </c>
      <c r="L384" s="5" t="e">
        <f>SUMIF(#REF!,$A384,#REF!)+SUMIF(#REF!,$A384,#REF!)</f>
        <v>#REF!</v>
      </c>
      <c r="M384" s="5" t="e">
        <f>SUMIF(#REF!,Casilleros!$A384,#REF!)+SUMIF(#REF!,Casilleros!$A384,#REF!)+SUMIF(#REF!,$A384,#REF!)</f>
        <v>#REF!</v>
      </c>
      <c r="N384" s="5" t="e">
        <f>SUMIF(#REF!,$A384,#REF!)</f>
        <v>#REF!</v>
      </c>
      <c r="O384" s="5" t="e">
        <f>SUMIF(#REF!,$A384,#REF!)+SUMIF(#REF!,$A384,#REF!)</f>
        <v>#REF!</v>
      </c>
      <c r="P384" s="5">
        <f>IFERROR(VLOOKUP($A384,#REF!,2,FALSE),0)</f>
        <v>0</v>
      </c>
      <c r="Q384" s="42" t="e">
        <f t="shared" si="5"/>
        <v>#REF!</v>
      </c>
    </row>
    <row r="385" spans="1:17">
      <c r="A385" s="56" t="s">
        <v>837</v>
      </c>
      <c r="B385" s="7" t="s">
        <v>561</v>
      </c>
      <c r="C385" s="7" t="s">
        <v>2251</v>
      </c>
      <c r="D385" s="7" t="s">
        <v>823</v>
      </c>
      <c r="E385" s="7" t="s">
        <v>836</v>
      </c>
      <c r="F385" s="7" t="s">
        <v>444</v>
      </c>
      <c r="G385" s="7" t="s">
        <v>444</v>
      </c>
      <c r="H385" s="7" t="s">
        <v>444</v>
      </c>
      <c r="I385" s="7" t="s">
        <v>1566</v>
      </c>
      <c r="J385" s="1" t="s">
        <v>2282</v>
      </c>
      <c r="K385" s="5">
        <f>SUMIF(BC!$E$6:$E$347,$A385,BC!$K$6:$K$347)</f>
        <v>0</v>
      </c>
      <c r="L385" s="5" t="e">
        <f>SUMIF(#REF!,$A385,#REF!)+SUMIF(#REF!,$A385,#REF!)</f>
        <v>#REF!</v>
      </c>
      <c r="M385" s="5" t="e">
        <f>SUMIF(#REF!,Casilleros!$A385,#REF!)+SUMIF(#REF!,Casilleros!$A385,#REF!)+SUMIF(#REF!,$A385,#REF!)</f>
        <v>#REF!</v>
      </c>
      <c r="N385" s="5" t="e">
        <f>SUMIF(#REF!,$A385,#REF!)</f>
        <v>#REF!</v>
      </c>
      <c r="O385" s="5" t="e">
        <f>SUMIF(#REF!,$A385,#REF!)+SUMIF(#REF!,$A385,#REF!)</f>
        <v>#REF!</v>
      </c>
      <c r="P385" s="5">
        <f>IFERROR(VLOOKUP($A385,#REF!,2,FALSE),0)</f>
        <v>0</v>
      </c>
      <c r="Q385" s="42" t="e">
        <f t="shared" si="5"/>
        <v>#REF!</v>
      </c>
    </row>
    <row r="386" spans="1:17">
      <c r="A386" s="56" t="s">
        <v>841</v>
      </c>
      <c r="B386" s="7" t="s">
        <v>561</v>
      </c>
      <c r="C386" s="7" t="s">
        <v>2251</v>
      </c>
      <c r="D386" s="7" t="s">
        <v>823</v>
      </c>
      <c r="E386" s="7" t="s">
        <v>840</v>
      </c>
      <c r="F386" s="7" t="s">
        <v>444</v>
      </c>
      <c r="G386" s="7" t="s">
        <v>444</v>
      </c>
      <c r="H386" s="7" t="s">
        <v>444</v>
      </c>
      <c r="I386" s="7" t="s">
        <v>1567</v>
      </c>
      <c r="J386" s="1" t="s">
        <v>2282</v>
      </c>
      <c r="K386" s="5">
        <f>SUMIF(BC!$E$6:$E$347,$A386,BC!$K$6:$K$347)</f>
        <v>0</v>
      </c>
      <c r="L386" s="5" t="e">
        <f>SUMIF(#REF!,$A386,#REF!)+SUMIF(#REF!,$A386,#REF!)</f>
        <v>#REF!</v>
      </c>
      <c r="M386" s="5" t="e">
        <f>SUMIF(#REF!,Casilleros!$A386,#REF!)+SUMIF(#REF!,Casilleros!$A386,#REF!)+SUMIF(#REF!,$A386,#REF!)</f>
        <v>#REF!</v>
      </c>
      <c r="N386" s="5" t="e">
        <f>SUMIF(#REF!,$A386,#REF!)</f>
        <v>#REF!</v>
      </c>
      <c r="O386" s="5" t="e">
        <f>SUMIF(#REF!,$A386,#REF!)+SUMIF(#REF!,$A386,#REF!)</f>
        <v>#REF!</v>
      </c>
      <c r="P386" s="5">
        <f>IFERROR(VLOOKUP($A386,#REF!,2,FALSE),0)</f>
        <v>0</v>
      </c>
      <c r="Q386" s="42" t="e">
        <f t="shared" si="5"/>
        <v>#REF!</v>
      </c>
    </row>
    <row r="387" spans="1:17">
      <c r="A387" s="56" t="s">
        <v>845</v>
      </c>
      <c r="B387" s="7" t="s">
        <v>561</v>
      </c>
      <c r="C387" s="7" t="s">
        <v>2251</v>
      </c>
      <c r="D387" s="7" t="s">
        <v>823</v>
      </c>
      <c r="E387" s="7" t="s">
        <v>844</v>
      </c>
      <c r="F387" s="7" t="s">
        <v>444</v>
      </c>
      <c r="G387" s="7" t="s">
        <v>444</v>
      </c>
      <c r="H387" s="7" t="s">
        <v>444</v>
      </c>
      <c r="I387" s="7" t="s">
        <v>1568</v>
      </c>
      <c r="J387" s="1" t="s">
        <v>2282</v>
      </c>
      <c r="K387" s="5">
        <f>SUMIF(BC!$E$6:$E$347,$A387,BC!$K$6:$K$347)</f>
        <v>0</v>
      </c>
      <c r="L387" s="5" t="e">
        <f>SUMIF(#REF!,$A387,#REF!)+SUMIF(#REF!,$A387,#REF!)</f>
        <v>#REF!</v>
      </c>
      <c r="M387" s="5" t="e">
        <f>SUMIF(#REF!,Casilleros!$A387,#REF!)+SUMIF(#REF!,Casilleros!$A387,#REF!)+SUMIF(#REF!,$A387,#REF!)</f>
        <v>#REF!</v>
      </c>
      <c r="N387" s="5" t="e">
        <f>SUMIF(#REF!,$A387,#REF!)</f>
        <v>#REF!</v>
      </c>
      <c r="O387" s="5" t="e">
        <f>SUMIF(#REF!,$A387,#REF!)+SUMIF(#REF!,$A387,#REF!)</f>
        <v>#REF!</v>
      </c>
      <c r="P387" s="5">
        <f>IFERROR(VLOOKUP($A387,#REF!,2,FALSE),0)</f>
        <v>0</v>
      </c>
      <c r="Q387" s="42" t="e">
        <f t="shared" si="5"/>
        <v>#REF!</v>
      </c>
    </row>
    <row r="388" spans="1:17">
      <c r="A388" s="56" t="s">
        <v>848</v>
      </c>
      <c r="B388" s="7" t="s">
        <v>561</v>
      </c>
      <c r="C388" s="7" t="s">
        <v>2251</v>
      </c>
      <c r="D388" s="7" t="s">
        <v>823</v>
      </c>
      <c r="E388" s="7" t="s">
        <v>473</v>
      </c>
      <c r="F388" s="7" t="s">
        <v>444</v>
      </c>
      <c r="G388" s="7" t="s">
        <v>444</v>
      </c>
      <c r="H388" s="7" t="s">
        <v>444</v>
      </c>
      <c r="I388" s="7" t="s">
        <v>1569</v>
      </c>
      <c r="J388" s="1" t="s">
        <v>2282</v>
      </c>
      <c r="K388" s="5">
        <f>SUMIF(BC!$E$6:$E$347,$A388,BC!$K$6:$K$347)</f>
        <v>0</v>
      </c>
      <c r="L388" s="5" t="e">
        <f>SUMIF(#REF!,$A388,#REF!)+SUMIF(#REF!,$A388,#REF!)</f>
        <v>#REF!</v>
      </c>
      <c r="M388" s="5" t="e">
        <f>SUMIF(#REF!,Casilleros!$A388,#REF!)+SUMIF(#REF!,Casilleros!$A388,#REF!)+SUMIF(#REF!,$A388,#REF!)</f>
        <v>#REF!</v>
      </c>
      <c r="N388" s="5" t="e">
        <f>SUMIF(#REF!,$A388,#REF!)</f>
        <v>#REF!</v>
      </c>
      <c r="O388" s="5" t="e">
        <f>SUMIF(#REF!,$A388,#REF!)+SUMIF(#REF!,$A388,#REF!)</f>
        <v>#REF!</v>
      </c>
      <c r="P388" s="5">
        <f>IFERROR(VLOOKUP($A388,#REF!,2,FALSE),0)</f>
        <v>0</v>
      </c>
      <c r="Q388" s="42" t="e">
        <f t="shared" si="5"/>
        <v>#REF!</v>
      </c>
    </row>
    <row r="389" spans="1:17">
      <c r="A389" s="56" t="s">
        <v>851</v>
      </c>
      <c r="B389" s="7" t="s">
        <v>561</v>
      </c>
      <c r="C389" s="7" t="s">
        <v>2251</v>
      </c>
      <c r="D389" s="7" t="s">
        <v>823</v>
      </c>
      <c r="E389" s="7" t="s">
        <v>122</v>
      </c>
      <c r="F389" s="7" t="s">
        <v>444</v>
      </c>
      <c r="G389" s="7" t="s">
        <v>444</v>
      </c>
      <c r="H389" s="7" t="s">
        <v>444</v>
      </c>
      <c r="I389" s="7" t="s">
        <v>1570</v>
      </c>
      <c r="J389" s="1" t="s">
        <v>2282</v>
      </c>
      <c r="K389" s="5">
        <f>SUMIF(BC!$E$6:$E$347,$A389,BC!$K$6:$K$347)</f>
        <v>0</v>
      </c>
      <c r="L389" s="5" t="e">
        <f>SUMIF(#REF!,$A389,#REF!)+SUMIF(#REF!,$A389,#REF!)</f>
        <v>#REF!</v>
      </c>
      <c r="M389" s="5" t="e">
        <f>SUMIF(#REF!,Casilleros!$A389,#REF!)+SUMIF(#REF!,Casilleros!$A389,#REF!)+SUMIF(#REF!,$A389,#REF!)</f>
        <v>#REF!</v>
      </c>
      <c r="N389" s="5" t="e">
        <f>SUMIF(#REF!,$A389,#REF!)</f>
        <v>#REF!</v>
      </c>
      <c r="O389" s="5" t="e">
        <f>SUMIF(#REF!,$A389,#REF!)+SUMIF(#REF!,$A389,#REF!)</f>
        <v>#REF!</v>
      </c>
      <c r="P389" s="5">
        <f>IFERROR(VLOOKUP($A389,#REF!,2,FALSE),0)</f>
        <v>0</v>
      </c>
      <c r="Q389" s="42" t="e">
        <f t="shared" si="5"/>
        <v>#REF!</v>
      </c>
    </row>
    <row r="390" spans="1:17">
      <c r="A390" s="56" t="s">
        <v>857</v>
      </c>
      <c r="B390" s="7" t="s">
        <v>561</v>
      </c>
      <c r="C390" s="7" t="s">
        <v>2251</v>
      </c>
      <c r="D390" s="7" t="s">
        <v>854</v>
      </c>
      <c r="E390" s="7" t="s">
        <v>855</v>
      </c>
      <c r="F390" s="7" t="s">
        <v>856</v>
      </c>
      <c r="G390" s="7" t="s">
        <v>444</v>
      </c>
      <c r="H390" s="7" t="s">
        <v>444</v>
      </c>
      <c r="I390" s="7" t="s">
        <v>1571</v>
      </c>
      <c r="J390" s="1" t="s">
        <v>2283</v>
      </c>
      <c r="K390" s="5">
        <f>SUMIF(BC!$E$6:$E$347,$A390,BC!$K$6:$K$347)</f>
        <v>0</v>
      </c>
      <c r="L390" s="5" t="e">
        <f>SUMIF(#REF!,$A390,#REF!)+SUMIF(#REF!,$A390,#REF!)</f>
        <v>#REF!</v>
      </c>
      <c r="M390" s="5" t="e">
        <f>SUMIF(#REF!,Casilleros!$A390,#REF!)+SUMIF(#REF!,Casilleros!$A390,#REF!)+SUMIF(#REF!,$A390,#REF!)</f>
        <v>#REF!</v>
      </c>
      <c r="N390" s="5" t="e">
        <f>SUMIF(#REF!,$A390,#REF!)</f>
        <v>#REF!</v>
      </c>
      <c r="O390" s="5" t="e">
        <f>SUMIF(#REF!,$A390,#REF!)+SUMIF(#REF!,$A390,#REF!)</f>
        <v>#REF!</v>
      </c>
      <c r="P390" s="5">
        <f>IFERROR(VLOOKUP($A390,#REF!,2,FALSE),0)</f>
        <v>0</v>
      </c>
      <c r="Q390" s="42" t="e">
        <f t="shared" ref="Q390:Q453" si="6">SUM(K390:P390)</f>
        <v>#REF!</v>
      </c>
    </row>
    <row r="391" spans="1:17">
      <c r="A391" s="56" t="s">
        <v>861</v>
      </c>
      <c r="B391" s="7" t="s">
        <v>561</v>
      </c>
      <c r="C391" s="7" t="s">
        <v>2251</v>
      </c>
      <c r="D391" s="7" t="s">
        <v>854</v>
      </c>
      <c r="E391" s="7" t="s">
        <v>855</v>
      </c>
      <c r="F391" s="7" t="s">
        <v>860</v>
      </c>
      <c r="G391" s="7" t="s">
        <v>444</v>
      </c>
      <c r="H391" s="7" t="s">
        <v>444</v>
      </c>
      <c r="I391" s="7" t="s">
        <v>1572</v>
      </c>
      <c r="J391" s="1" t="s">
        <v>2283</v>
      </c>
      <c r="K391" s="5">
        <f>SUMIF(BC!$E$6:$E$347,$A391,BC!$K$6:$K$347)</f>
        <v>0</v>
      </c>
      <c r="L391" s="5" t="e">
        <f>SUMIF(#REF!,$A391,#REF!)+SUMIF(#REF!,$A391,#REF!)</f>
        <v>#REF!</v>
      </c>
      <c r="M391" s="5" t="e">
        <f>SUMIF(#REF!,Casilleros!$A391,#REF!)+SUMIF(#REF!,Casilleros!$A391,#REF!)+SUMIF(#REF!,$A391,#REF!)</f>
        <v>#REF!</v>
      </c>
      <c r="N391" s="5" t="e">
        <f>SUMIF(#REF!,$A391,#REF!)</f>
        <v>#REF!</v>
      </c>
      <c r="O391" s="5" t="e">
        <f>SUMIF(#REF!,$A391,#REF!)+SUMIF(#REF!,$A391,#REF!)</f>
        <v>#REF!</v>
      </c>
      <c r="P391" s="5">
        <f>IFERROR(VLOOKUP($A391,#REF!,2,FALSE),0)</f>
        <v>0</v>
      </c>
      <c r="Q391" s="42" t="e">
        <f t="shared" si="6"/>
        <v>#REF!</v>
      </c>
    </row>
    <row r="392" spans="1:17">
      <c r="A392" s="56" t="s">
        <v>865</v>
      </c>
      <c r="B392" s="7" t="s">
        <v>561</v>
      </c>
      <c r="C392" s="7" t="s">
        <v>2251</v>
      </c>
      <c r="D392" s="7" t="s">
        <v>854</v>
      </c>
      <c r="E392" s="7" t="s">
        <v>864</v>
      </c>
      <c r="F392" s="7" t="s">
        <v>444</v>
      </c>
      <c r="G392" s="7" t="s">
        <v>444</v>
      </c>
      <c r="H392" s="7" t="s">
        <v>444</v>
      </c>
      <c r="I392" s="7" t="s">
        <v>1573</v>
      </c>
      <c r="J392" s="1" t="s">
        <v>2283</v>
      </c>
      <c r="K392" s="5">
        <f>SUMIF(BC!$E$6:$E$347,$A392,BC!$K$6:$K$347)</f>
        <v>0</v>
      </c>
      <c r="L392" s="5" t="e">
        <f>SUMIF(#REF!,$A392,#REF!)+SUMIF(#REF!,$A392,#REF!)</f>
        <v>#REF!</v>
      </c>
      <c r="M392" s="5" t="e">
        <f>SUMIF(#REF!,Casilleros!$A392,#REF!)+SUMIF(#REF!,Casilleros!$A392,#REF!)+SUMIF(#REF!,$A392,#REF!)</f>
        <v>#REF!</v>
      </c>
      <c r="N392" s="5" t="e">
        <f>SUMIF(#REF!,$A392,#REF!)</f>
        <v>#REF!</v>
      </c>
      <c r="O392" s="5" t="e">
        <f>SUMIF(#REF!,$A392,#REF!)+SUMIF(#REF!,$A392,#REF!)</f>
        <v>#REF!</v>
      </c>
      <c r="P392" s="5">
        <f>IFERROR(VLOOKUP($A392,#REF!,2,FALSE),0)</f>
        <v>0</v>
      </c>
      <c r="Q392" s="42" t="e">
        <f t="shared" si="6"/>
        <v>#REF!</v>
      </c>
    </row>
    <row r="393" spans="1:17">
      <c r="A393" s="56" t="s">
        <v>869</v>
      </c>
      <c r="B393" s="7" t="s">
        <v>561</v>
      </c>
      <c r="C393" s="7" t="s">
        <v>2251</v>
      </c>
      <c r="D393" s="7" t="s">
        <v>854</v>
      </c>
      <c r="E393" s="7" t="s">
        <v>868</v>
      </c>
      <c r="F393" s="7" t="s">
        <v>444</v>
      </c>
      <c r="G393" s="7" t="s">
        <v>444</v>
      </c>
      <c r="H393" s="7" t="s">
        <v>444</v>
      </c>
      <c r="I393" s="7" t="s">
        <v>1574</v>
      </c>
      <c r="J393" s="1" t="s">
        <v>2283</v>
      </c>
      <c r="K393" s="5">
        <f>SUMIF(BC!$E$6:$E$347,$A393,BC!$K$6:$K$347)</f>
        <v>0</v>
      </c>
      <c r="L393" s="5" t="e">
        <f>SUMIF(#REF!,$A393,#REF!)+SUMIF(#REF!,$A393,#REF!)</f>
        <v>#REF!</v>
      </c>
      <c r="M393" s="5" t="e">
        <f>SUMIF(#REF!,Casilleros!$A393,#REF!)+SUMIF(#REF!,Casilleros!$A393,#REF!)+SUMIF(#REF!,$A393,#REF!)</f>
        <v>#REF!</v>
      </c>
      <c r="N393" s="5" t="e">
        <f>SUMIF(#REF!,$A393,#REF!)</f>
        <v>#REF!</v>
      </c>
      <c r="O393" s="5" t="e">
        <f>SUMIF(#REF!,$A393,#REF!)+SUMIF(#REF!,$A393,#REF!)</f>
        <v>#REF!</v>
      </c>
      <c r="P393" s="5">
        <f>IFERROR(VLOOKUP($A393,#REF!,2,FALSE),0)</f>
        <v>0</v>
      </c>
      <c r="Q393" s="42" t="e">
        <f t="shared" si="6"/>
        <v>#REF!</v>
      </c>
    </row>
    <row r="394" spans="1:17">
      <c r="A394" s="56" t="s">
        <v>874</v>
      </c>
      <c r="B394" s="7" t="s">
        <v>561</v>
      </c>
      <c r="C394" s="7" t="s">
        <v>2251</v>
      </c>
      <c r="D394" s="7" t="s">
        <v>854</v>
      </c>
      <c r="E394" s="7" t="s">
        <v>872</v>
      </c>
      <c r="F394" s="7" t="s">
        <v>873</v>
      </c>
      <c r="G394" s="7" t="s">
        <v>444</v>
      </c>
      <c r="H394" s="7" t="s">
        <v>444</v>
      </c>
      <c r="I394" s="7" t="s">
        <v>1575</v>
      </c>
      <c r="J394" s="1" t="s">
        <v>2283</v>
      </c>
      <c r="K394" s="5">
        <f>SUMIF(BC!$E$6:$E$347,$A394,BC!$K$6:$K$347)</f>
        <v>0</v>
      </c>
      <c r="L394" s="5" t="e">
        <f>SUMIF(#REF!,$A394,#REF!)+SUMIF(#REF!,$A394,#REF!)</f>
        <v>#REF!</v>
      </c>
      <c r="M394" s="5" t="e">
        <f>SUMIF(#REF!,Casilleros!$A394,#REF!)+SUMIF(#REF!,Casilleros!$A394,#REF!)+SUMIF(#REF!,$A394,#REF!)</f>
        <v>#REF!</v>
      </c>
      <c r="N394" s="5" t="e">
        <f>SUMIF(#REF!,$A394,#REF!)</f>
        <v>#REF!</v>
      </c>
      <c r="O394" s="5" t="e">
        <f>SUMIF(#REF!,$A394,#REF!)+SUMIF(#REF!,$A394,#REF!)</f>
        <v>#REF!</v>
      </c>
      <c r="P394" s="5">
        <f>IFERROR(VLOOKUP($A394,#REF!,2,FALSE),0)</f>
        <v>0</v>
      </c>
      <c r="Q394" s="42" t="e">
        <f t="shared" si="6"/>
        <v>#REF!</v>
      </c>
    </row>
    <row r="395" spans="1:17">
      <c r="A395" s="56" t="s">
        <v>878</v>
      </c>
      <c r="B395" s="7" t="s">
        <v>561</v>
      </c>
      <c r="C395" s="7" t="s">
        <v>2251</v>
      </c>
      <c r="D395" s="7" t="s">
        <v>854</v>
      </c>
      <c r="E395" s="7" t="s">
        <v>872</v>
      </c>
      <c r="F395" s="7" t="s">
        <v>877</v>
      </c>
      <c r="G395" s="7" t="s">
        <v>444</v>
      </c>
      <c r="H395" s="7" t="s">
        <v>444</v>
      </c>
      <c r="I395" s="7" t="s">
        <v>1576</v>
      </c>
      <c r="J395" s="1" t="s">
        <v>2283</v>
      </c>
      <c r="K395" s="5">
        <f>SUMIF(BC!$E$6:$E$347,$A395,BC!$K$6:$K$347)</f>
        <v>0</v>
      </c>
      <c r="L395" s="5" t="e">
        <f>SUMIF(#REF!,$A395,#REF!)+SUMIF(#REF!,$A395,#REF!)</f>
        <v>#REF!</v>
      </c>
      <c r="M395" s="5" t="e">
        <f>SUMIF(#REF!,Casilleros!$A395,#REF!)+SUMIF(#REF!,Casilleros!$A395,#REF!)+SUMIF(#REF!,$A395,#REF!)</f>
        <v>#REF!</v>
      </c>
      <c r="N395" s="5" t="e">
        <f>SUMIF(#REF!,$A395,#REF!)</f>
        <v>#REF!</v>
      </c>
      <c r="O395" s="5" t="e">
        <f>SUMIF(#REF!,$A395,#REF!)+SUMIF(#REF!,$A395,#REF!)</f>
        <v>#REF!</v>
      </c>
      <c r="P395" s="5">
        <f>IFERROR(VLOOKUP($A395,#REF!,2,FALSE),0)</f>
        <v>0</v>
      </c>
      <c r="Q395" s="42" t="e">
        <f t="shared" si="6"/>
        <v>#REF!</v>
      </c>
    </row>
    <row r="396" spans="1:17">
      <c r="A396" s="56" t="s">
        <v>882</v>
      </c>
      <c r="B396" s="7" t="s">
        <v>561</v>
      </c>
      <c r="C396" s="7" t="s">
        <v>2251</v>
      </c>
      <c r="D396" s="7" t="s">
        <v>854</v>
      </c>
      <c r="E396" s="7" t="s">
        <v>872</v>
      </c>
      <c r="F396" s="7" t="s">
        <v>881</v>
      </c>
      <c r="G396" s="7" t="s">
        <v>444</v>
      </c>
      <c r="H396" s="7" t="s">
        <v>444</v>
      </c>
      <c r="I396" s="7" t="s">
        <v>1577</v>
      </c>
      <c r="J396" s="1" t="s">
        <v>2283</v>
      </c>
      <c r="K396" s="5">
        <f>SUMIF(BC!$E$6:$E$347,$A396,BC!$K$6:$K$347)</f>
        <v>0</v>
      </c>
      <c r="L396" s="5" t="e">
        <f>SUMIF(#REF!,$A396,#REF!)+SUMIF(#REF!,$A396,#REF!)</f>
        <v>#REF!</v>
      </c>
      <c r="M396" s="5" t="e">
        <f>SUMIF(#REF!,Casilleros!$A396,#REF!)+SUMIF(#REF!,Casilleros!$A396,#REF!)+SUMIF(#REF!,$A396,#REF!)</f>
        <v>#REF!</v>
      </c>
      <c r="N396" s="5" t="e">
        <f>SUMIF(#REF!,$A396,#REF!)</f>
        <v>#REF!</v>
      </c>
      <c r="O396" s="5" t="e">
        <f>SUMIF(#REF!,$A396,#REF!)+SUMIF(#REF!,$A396,#REF!)</f>
        <v>#REF!</v>
      </c>
      <c r="P396" s="5">
        <f>IFERROR(VLOOKUP($A396,#REF!,2,FALSE),0)</f>
        <v>0</v>
      </c>
      <c r="Q396" s="42" t="e">
        <f t="shared" si="6"/>
        <v>#REF!</v>
      </c>
    </row>
    <row r="397" spans="1:17">
      <c r="A397" s="56" t="s">
        <v>885</v>
      </c>
      <c r="B397" s="7" t="s">
        <v>561</v>
      </c>
      <c r="C397" s="7" t="s">
        <v>2251</v>
      </c>
      <c r="D397" s="7" t="s">
        <v>854</v>
      </c>
      <c r="E397" s="7" t="s">
        <v>872</v>
      </c>
      <c r="F397" s="7" t="s">
        <v>122</v>
      </c>
      <c r="G397" s="7" t="s">
        <v>444</v>
      </c>
      <c r="H397" s="7" t="s">
        <v>444</v>
      </c>
      <c r="I397" s="7" t="s">
        <v>1578</v>
      </c>
      <c r="J397" s="1" t="s">
        <v>2283</v>
      </c>
      <c r="K397" s="5">
        <f>SUMIF(BC!$E$6:$E$347,$A397,BC!$K$6:$K$347)</f>
        <v>0</v>
      </c>
      <c r="L397" s="5" t="e">
        <f>SUMIF(#REF!,$A397,#REF!)+SUMIF(#REF!,$A397,#REF!)</f>
        <v>#REF!</v>
      </c>
      <c r="M397" s="5" t="e">
        <f>SUMIF(#REF!,Casilleros!$A397,#REF!)+SUMIF(#REF!,Casilleros!$A397,#REF!)+SUMIF(#REF!,$A397,#REF!)</f>
        <v>#REF!</v>
      </c>
      <c r="N397" s="5" t="e">
        <f>SUMIF(#REF!,$A397,#REF!)</f>
        <v>#REF!</v>
      </c>
      <c r="O397" s="5" t="e">
        <f>SUMIF(#REF!,$A397,#REF!)+SUMIF(#REF!,$A397,#REF!)</f>
        <v>#REF!</v>
      </c>
      <c r="P397" s="5">
        <f>IFERROR(VLOOKUP($A397,#REF!,2,FALSE),0)</f>
        <v>0</v>
      </c>
      <c r="Q397" s="42" t="e">
        <f t="shared" si="6"/>
        <v>#REF!</v>
      </c>
    </row>
    <row r="398" spans="1:17">
      <c r="A398" s="56" t="s">
        <v>889</v>
      </c>
      <c r="B398" s="7" t="s">
        <v>561</v>
      </c>
      <c r="C398" s="7" t="s">
        <v>2251</v>
      </c>
      <c r="D398" s="7" t="s">
        <v>854</v>
      </c>
      <c r="E398" s="7" t="s">
        <v>888</v>
      </c>
      <c r="F398" s="7" t="s">
        <v>444</v>
      </c>
      <c r="G398" s="7" t="s">
        <v>444</v>
      </c>
      <c r="H398" s="7" t="s">
        <v>444</v>
      </c>
      <c r="I398" s="7" t="s">
        <v>1579</v>
      </c>
      <c r="J398" s="1" t="s">
        <v>2283</v>
      </c>
      <c r="K398" s="5">
        <f>SUMIF(BC!$E$6:$E$347,$A398,BC!$K$6:$K$347)</f>
        <v>0</v>
      </c>
      <c r="L398" s="5" t="e">
        <f>SUMIF(#REF!,$A398,#REF!)+SUMIF(#REF!,$A398,#REF!)</f>
        <v>#REF!</v>
      </c>
      <c r="M398" s="5" t="e">
        <f>SUMIF(#REF!,Casilleros!$A398,#REF!)+SUMIF(#REF!,Casilleros!$A398,#REF!)+SUMIF(#REF!,$A398,#REF!)</f>
        <v>#REF!</v>
      </c>
      <c r="N398" s="5" t="e">
        <f>SUMIF(#REF!,$A398,#REF!)</f>
        <v>#REF!</v>
      </c>
      <c r="O398" s="5" t="e">
        <f>SUMIF(#REF!,$A398,#REF!)+SUMIF(#REF!,$A398,#REF!)</f>
        <v>#REF!</v>
      </c>
      <c r="P398" s="5">
        <f>IFERROR(VLOOKUP($A398,#REF!,2,FALSE),0)</f>
        <v>0</v>
      </c>
      <c r="Q398" s="42" t="e">
        <f t="shared" si="6"/>
        <v>#REF!</v>
      </c>
    </row>
    <row r="399" spans="1:17">
      <c r="A399" s="56" t="s">
        <v>893</v>
      </c>
      <c r="B399" s="7" t="s">
        <v>561</v>
      </c>
      <c r="C399" s="7" t="s">
        <v>2251</v>
      </c>
      <c r="D399" s="7" t="s">
        <v>854</v>
      </c>
      <c r="E399" s="7" t="s">
        <v>892</v>
      </c>
      <c r="F399" s="7" t="s">
        <v>444</v>
      </c>
      <c r="G399" s="7" t="s">
        <v>444</v>
      </c>
      <c r="H399" s="7" t="s">
        <v>444</v>
      </c>
      <c r="I399" s="7" t="s">
        <v>1580</v>
      </c>
      <c r="J399" s="1" t="s">
        <v>2283</v>
      </c>
      <c r="K399" s="5">
        <f>SUMIF(BC!$E$6:$E$347,$A399,BC!$K$6:$K$347)</f>
        <v>0</v>
      </c>
      <c r="L399" s="5" t="e">
        <f>SUMIF(#REF!,$A399,#REF!)+SUMIF(#REF!,$A399,#REF!)</f>
        <v>#REF!</v>
      </c>
      <c r="M399" s="5" t="e">
        <f>SUMIF(#REF!,Casilleros!$A399,#REF!)+SUMIF(#REF!,Casilleros!$A399,#REF!)+SUMIF(#REF!,$A399,#REF!)</f>
        <v>#REF!</v>
      </c>
      <c r="N399" s="5" t="e">
        <f>SUMIF(#REF!,$A399,#REF!)</f>
        <v>#REF!</v>
      </c>
      <c r="O399" s="5" t="e">
        <f>SUMIF(#REF!,$A399,#REF!)+SUMIF(#REF!,$A399,#REF!)</f>
        <v>#REF!</v>
      </c>
      <c r="P399" s="5">
        <f>IFERROR(VLOOKUP($A399,#REF!,2,FALSE),0)</f>
        <v>0</v>
      </c>
      <c r="Q399" s="42" t="e">
        <f t="shared" si="6"/>
        <v>#REF!</v>
      </c>
    </row>
    <row r="400" spans="1:17">
      <c r="A400" s="56" t="s">
        <v>898</v>
      </c>
      <c r="B400" s="7" t="s">
        <v>561</v>
      </c>
      <c r="C400" s="7" t="s">
        <v>2251</v>
      </c>
      <c r="D400" s="7" t="s">
        <v>896</v>
      </c>
      <c r="E400" s="7" t="s">
        <v>897</v>
      </c>
      <c r="F400" s="7" t="s">
        <v>444</v>
      </c>
      <c r="G400" s="7" t="s">
        <v>444</v>
      </c>
      <c r="H400" s="7" t="s">
        <v>444</v>
      </c>
      <c r="I400" s="7" t="s">
        <v>1581</v>
      </c>
      <c r="J400" s="1" t="s">
        <v>2284</v>
      </c>
      <c r="K400" s="5">
        <f>SUMIF(BC!$E$6:$E$347,$A400,BC!$K$6:$K$347)</f>
        <v>0</v>
      </c>
      <c r="L400" s="5" t="e">
        <f>SUMIF(#REF!,$A400,#REF!)+SUMIF(#REF!,$A400,#REF!)</f>
        <v>#REF!</v>
      </c>
      <c r="M400" s="5" t="e">
        <f>SUMIF(#REF!,Casilleros!$A400,#REF!)+SUMIF(#REF!,Casilleros!$A400,#REF!)+SUMIF(#REF!,$A400,#REF!)</f>
        <v>#REF!</v>
      </c>
      <c r="N400" s="5" t="e">
        <f>SUMIF(#REF!,$A400,#REF!)</f>
        <v>#REF!</v>
      </c>
      <c r="O400" s="5" t="e">
        <f>SUMIF(#REF!,$A400,#REF!)+SUMIF(#REF!,$A400,#REF!)</f>
        <v>#REF!</v>
      </c>
      <c r="P400" s="5">
        <f>IFERROR(VLOOKUP($A400,#REF!,2,FALSE),0)</f>
        <v>0</v>
      </c>
      <c r="Q400" s="42" t="e">
        <f t="shared" si="6"/>
        <v>#REF!</v>
      </c>
    </row>
    <row r="401" spans="1:17">
      <c r="A401" s="56" t="s">
        <v>902</v>
      </c>
      <c r="B401" s="7" t="s">
        <v>561</v>
      </c>
      <c r="C401" s="7" t="s">
        <v>2251</v>
      </c>
      <c r="D401" s="7" t="s">
        <v>896</v>
      </c>
      <c r="E401" s="7" t="s">
        <v>901</v>
      </c>
      <c r="F401" s="7" t="s">
        <v>444</v>
      </c>
      <c r="G401" s="7" t="s">
        <v>444</v>
      </c>
      <c r="H401" s="7" t="s">
        <v>444</v>
      </c>
      <c r="I401" s="7" t="s">
        <v>1582</v>
      </c>
      <c r="J401" s="1" t="s">
        <v>2284</v>
      </c>
      <c r="K401" s="5">
        <f>SUMIF(BC!$E$6:$E$347,$A401,BC!$K$6:$K$347)</f>
        <v>0</v>
      </c>
      <c r="L401" s="5" t="e">
        <f>SUMIF(#REF!,$A401,#REF!)+SUMIF(#REF!,$A401,#REF!)</f>
        <v>#REF!</v>
      </c>
      <c r="M401" s="5" t="e">
        <f>SUMIF(#REF!,Casilleros!$A401,#REF!)+SUMIF(#REF!,Casilleros!$A401,#REF!)+SUMIF(#REF!,$A401,#REF!)</f>
        <v>#REF!</v>
      </c>
      <c r="N401" s="5" t="e">
        <f>SUMIF(#REF!,$A401,#REF!)</f>
        <v>#REF!</v>
      </c>
      <c r="O401" s="5" t="e">
        <f>SUMIF(#REF!,$A401,#REF!)+SUMIF(#REF!,$A401,#REF!)</f>
        <v>#REF!</v>
      </c>
      <c r="P401" s="5">
        <f>IFERROR(VLOOKUP($A401,#REF!,2,FALSE),0)</f>
        <v>0</v>
      </c>
      <c r="Q401" s="42" t="e">
        <f t="shared" si="6"/>
        <v>#REF!</v>
      </c>
    </row>
    <row r="402" spans="1:17">
      <c r="A402" s="56" t="s">
        <v>905</v>
      </c>
      <c r="B402" s="7" t="s">
        <v>561</v>
      </c>
      <c r="C402" s="7" t="s">
        <v>2251</v>
      </c>
      <c r="D402" s="7" t="s">
        <v>896</v>
      </c>
      <c r="E402" s="7" t="s">
        <v>872</v>
      </c>
      <c r="F402" s="7" t="s">
        <v>541</v>
      </c>
      <c r="G402" s="7" t="s">
        <v>444</v>
      </c>
      <c r="H402" s="7" t="s">
        <v>444</v>
      </c>
      <c r="I402" s="7" t="s">
        <v>1583</v>
      </c>
      <c r="J402" s="1" t="s">
        <v>2284</v>
      </c>
      <c r="K402" s="5">
        <f>SUMIF(BC!$E$6:$E$347,$A402,BC!$K$6:$K$347)</f>
        <v>0</v>
      </c>
      <c r="L402" s="5" t="e">
        <f>SUMIF(#REF!,$A402,#REF!)+SUMIF(#REF!,$A402,#REF!)</f>
        <v>#REF!</v>
      </c>
      <c r="M402" s="5" t="e">
        <f>SUMIF(#REF!,Casilleros!$A402,#REF!)+SUMIF(#REF!,Casilleros!$A402,#REF!)+SUMIF(#REF!,$A402,#REF!)</f>
        <v>#REF!</v>
      </c>
      <c r="N402" s="5" t="e">
        <f>SUMIF(#REF!,$A402,#REF!)</f>
        <v>#REF!</v>
      </c>
      <c r="O402" s="5" t="e">
        <f>SUMIF(#REF!,$A402,#REF!)+SUMIF(#REF!,$A402,#REF!)</f>
        <v>#REF!</v>
      </c>
      <c r="P402" s="5">
        <f>IFERROR(VLOOKUP($A402,#REF!,2,FALSE),0)</f>
        <v>0</v>
      </c>
      <c r="Q402" s="42" t="e">
        <f t="shared" si="6"/>
        <v>#REF!</v>
      </c>
    </row>
    <row r="403" spans="1:17">
      <c r="A403" s="56" t="s">
        <v>909</v>
      </c>
      <c r="B403" s="7" t="s">
        <v>561</v>
      </c>
      <c r="C403" s="7" t="s">
        <v>2251</v>
      </c>
      <c r="D403" s="7" t="s">
        <v>896</v>
      </c>
      <c r="E403" s="7" t="s">
        <v>872</v>
      </c>
      <c r="F403" s="7" t="s">
        <v>908</v>
      </c>
      <c r="G403" s="7" t="s">
        <v>444</v>
      </c>
      <c r="H403" s="7" t="s">
        <v>444</v>
      </c>
      <c r="I403" s="7" t="s">
        <v>1584</v>
      </c>
      <c r="J403" s="1" t="s">
        <v>2284</v>
      </c>
      <c r="K403" s="5">
        <f>SUMIF(BC!$E$6:$E$347,$A403,BC!$K$6:$K$347)</f>
        <v>0</v>
      </c>
      <c r="L403" s="5" t="e">
        <f>SUMIF(#REF!,$A403,#REF!)+SUMIF(#REF!,$A403,#REF!)</f>
        <v>#REF!</v>
      </c>
      <c r="M403" s="5" t="e">
        <f>SUMIF(#REF!,Casilleros!$A403,#REF!)+SUMIF(#REF!,Casilleros!$A403,#REF!)+SUMIF(#REF!,$A403,#REF!)</f>
        <v>#REF!</v>
      </c>
      <c r="N403" s="5" t="e">
        <f>SUMIF(#REF!,$A403,#REF!)</f>
        <v>#REF!</v>
      </c>
      <c r="O403" s="5" t="e">
        <f>SUMIF(#REF!,$A403,#REF!)+SUMIF(#REF!,$A403,#REF!)</f>
        <v>#REF!</v>
      </c>
      <c r="P403" s="5">
        <f>IFERROR(VLOOKUP($A403,#REF!,2,FALSE),0)</f>
        <v>0</v>
      </c>
      <c r="Q403" s="42" t="e">
        <f t="shared" si="6"/>
        <v>#REF!</v>
      </c>
    </row>
    <row r="404" spans="1:17">
      <c r="A404" s="56" t="s">
        <v>912</v>
      </c>
      <c r="B404" s="7" t="s">
        <v>561</v>
      </c>
      <c r="C404" s="7" t="s">
        <v>2251</v>
      </c>
      <c r="D404" s="7" t="s">
        <v>896</v>
      </c>
      <c r="E404" s="7" t="s">
        <v>872</v>
      </c>
      <c r="F404" s="7" t="s">
        <v>122</v>
      </c>
      <c r="G404" s="7" t="s">
        <v>444</v>
      </c>
      <c r="H404" s="7" t="s">
        <v>444</v>
      </c>
      <c r="I404" s="7" t="s">
        <v>1578</v>
      </c>
      <c r="J404" s="1" t="s">
        <v>2284</v>
      </c>
      <c r="K404" s="5">
        <f>SUMIF(BC!$E$6:$E$347,$A404,BC!$K$6:$K$347)</f>
        <v>0</v>
      </c>
      <c r="L404" s="5" t="e">
        <f>SUMIF(#REF!,$A404,#REF!)+SUMIF(#REF!,$A404,#REF!)</f>
        <v>#REF!</v>
      </c>
      <c r="M404" s="5" t="e">
        <f>SUMIF(#REF!,Casilleros!$A404,#REF!)+SUMIF(#REF!,Casilleros!$A404,#REF!)+SUMIF(#REF!,$A404,#REF!)</f>
        <v>#REF!</v>
      </c>
      <c r="N404" s="5" t="e">
        <f>SUMIF(#REF!,$A404,#REF!)</f>
        <v>#REF!</v>
      </c>
      <c r="O404" s="5" t="e">
        <f>SUMIF(#REF!,$A404,#REF!)+SUMIF(#REF!,$A404,#REF!)</f>
        <v>#REF!</v>
      </c>
      <c r="P404" s="5">
        <f>IFERROR(VLOOKUP($A404,#REF!,2,FALSE),0)</f>
        <v>0</v>
      </c>
      <c r="Q404" s="42" t="e">
        <f t="shared" si="6"/>
        <v>#REF!</v>
      </c>
    </row>
    <row r="405" spans="1:17">
      <c r="A405" s="56" t="s">
        <v>916</v>
      </c>
      <c r="B405" s="7" t="s">
        <v>561</v>
      </c>
      <c r="C405" s="7" t="s">
        <v>2251</v>
      </c>
      <c r="D405" s="7" t="s">
        <v>896</v>
      </c>
      <c r="E405" s="7" t="s">
        <v>915</v>
      </c>
      <c r="F405" s="7" t="s">
        <v>444</v>
      </c>
      <c r="G405" s="7" t="s">
        <v>444</v>
      </c>
      <c r="H405" s="7" t="s">
        <v>444</v>
      </c>
      <c r="I405" s="7" t="s">
        <v>1585</v>
      </c>
      <c r="J405" s="1" t="s">
        <v>2284</v>
      </c>
      <c r="K405" s="5">
        <f>SUMIF(BC!$E$6:$E$347,$A405,BC!$K$6:$K$347)</f>
        <v>0</v>
      </c>
      <c r="L405" s="5" t="e">
        <f>SUMIF(#REF!,$A405,#REF!)+SUMIF(#REF!,$A405,#REF!)</f>
        <v>#REF!</v>
      </c>
      <c r="M405" s="5" t="e">
        <f>SUMIF(#REF!,Casilleros!$A405,#REF!)+SUMIF(#REF!,Casilleros!$A405,#REF!)+SUMIF(#REF!,$A405,#REF!)</f>
        <v>#REF!</v>
      </c>
      <c r="N405" s="5" t="e">
        <f>SUMIF(#REF!,$A405,#REF!)</f>
        <v>#REF!</v>
      </c>
      <c r="O405" s="5" t="e">
        <f>SUMIF(#REF!,$A405,#REF!)+SUMIF(#REF!,$A405,#REF!)</f>
        <v>#REF!</v>
      </c>
      <c r="P405" s="5">
        <f>IFERROR(VLOOKUP($A405,#REF!,2,FALSE),0)</f>
        <v>0</v>
      </c>
      <c r="Q405" s="42" t="e">
        <f t="shared" si="6"/>
        <v>#REF!</v>
      </c>
    </row>
    <row r="406" spans="1:17">
      <c r="A406" s="56" t="s">
        <v>923</v>
      </c>
      <c r="B406" s="7" t="s">
        <v>561</v>
      </c>
      <c r="C406" s="7" t="s">
        <v>2251</v>
      </c>
      <c r="D406" s="7" t="s">
        <v>919</v>
      </c>
      <c r="E406" s="7" t="s">
        <v>633</v>
      </c>
      <c r="F406" s="7" t="s">
        <v>444</v>
      </c>
      <c r="G406" s="7" t="s">
        <v>444</v>
      </c>
      <c r="H406" s="7" t="s">
        <v>444</v>
      </c>
      <c r="I406" s="7" t="s">
        <v>1586</v>
      </c>
      <c r="J406" s="1" t="s">
        <v>2285</v>
      </c>
      <c r="K406" s="5">
        <f>SUMIF(BC!$E$6:$E$347,$A406,BC!$K$6:$K$347)</f>
        <v>0</v>
      </c>
      <c r="L406" s="5" t="e">
        <f>SUMIF(#REF!,$A406,#REF!)+SUMIF(#REF!,$A406,#REF!)</f>
        <v>#REF!</v>
      </c>
      <c r="M406" s="5" t="e">
        <f>SUMIF(#REF!,Casilleros!$A406,#REF!)+SUMIF(#REF!,Casilleros!$A406,#REF!)+SUMIF(#REF!,$A406,#REF!)</f>
        <v>#REF!</v>
      </c>
      <c r="N406" s="5" t="e">
        <f>SUMIF(#REF!,$A406,#REF!)</f>
        <v>#REF!</v>
      </c>
      <c r="O406" s="5" t="e">
        <f>SUMIF(#REF!,$A406,#REF!)+SUMIF(#REF!,$A406,#REF!)</f>
        <v>#REF!</v>
      </c>
      <c r="P406" s="5">
        <f>IFERROR(VLOOKUP($A406,#REF!,2,FALSE),0)</f>
        <v>0</v>
      </c>
      <c r="Q406" s="42" t="e">
        <f t="shared" si="6"/>
        <v>#REF!</v>
      </c>
    </row>
    <row r="407" spans="1:17">
      <c r="A407" s="56" t="s">
        <v>930</v>
      </c>
      <c r="B407" s="7" t="s">
        <v>561</v>
      </c>
      <c r="C407" s="7" t="s">
        <v>2251</v>
      </c>
      <c r="D407" s="7" t="s">
        <v>919</v>
      </c>
      <c r="E407" s="7" t="s">
        <v>642</v>
      </c>
      <c r="F407" s="7" t="s">
        <v>444</v>
      </c>
      <c r="G407" s="7" t="s">
        <v>444</v>
      </c>
      <c r="H407" s="7" t="s">
        <v>444</v>
      </c>
      <c r="I407" s="7" t="s">
        <v>1587</v>
      </c>
      <c r="J407" s="1" t="s">
        <v>2285</v>
      </c>
      <c r="K407" s="5">
        <f>SUMIF(BC!$E$6:$E$347,$A407,BC!$K$6:$K$347)</f>
        <v>0</v>
      </c>
      <c r="L407" s="5" t="e">
        <f>SUMIF(#REF!,$A407,#REF!)+SUMIF(#REF!,$A407,#REF!)</f>
        <v>#REF!</v>
      </c>
      <c r="M407" s="5" t="e">
        <f>SUMIF(#REF!,Casilleros!$A407,#REF!)+SUMIF(#REF!,Casilleros!$A407,#REF!)+SUMIF(#REF!,$A407,#REF!)</f>
        <v>#REF!</v>
      </c>
      <c r="N407" s="5" t="e">
        <f>SUMIF(#REF!,$A407,#REF!)</f>
        <v>#REF!</v>
      </c>
      <c r="O407" s="5" t="e">
        <f>SUMIF(#REF!,$A407,#REF!)+SUMIF(#REF!,$A407,#REF!)</f>
        <v>#REF!</v>
      </c>
      <c r="P407" s="5">
        <f>IFERROR(VLOOKUP($A407,#REF!,2,FALSE),0)</f>
        <v>0</v>
      </c>
      <c r="Q407" s="42" t="e">
        <f t="shared" si="6"/>
        <v>#REF!</v>
      </c>
    </row>
    <row r="408" spans="1:17">
      <c r="A408" s="56" t="s">
        <v>933</v>
      </c>
      <c r="B408" s="7" t="s">
        <v>561</v>
      </c>
      <c r="C408" s="7" t="s">
        <v>2251</v>
      </c>
      <c r="D408" s="7" t="s">
        <v>919</v>
      </c>
      <c r="E408" s="7" t="s">
        <v>645</v>
      </c>
      <c r="F408" s="7" t="s">
        <v>444</v>
      </c>
      <c r="G408" s="7" t="s">
        <v>444</v>
      </c>
      <c r="H408" s="7" t="s">
        <v>444</v>
      </c>
      <c r="I408" s="7" t="s">
        <v>1588</v>
      </c>
      <c r="J408" s="1" t="s">
        <v>2285</v>
      </c>
      <c r="K408" s="5">
        <f>SUMIF(BC!$E$6:$E$347,$A408,BC!$K$6:$K$347)</f>
        <v>0</v>
      </c>
      <c r="L408" s="5" t="e">
        <f>SUMIF(#REF!,$A408,#REF!)+SUMIF(#REF!,$A408,#REF!)</f>
        <v>#REF!</v>
      </c>
      <c r="M408" s="5" t="e">
        <f>SUMIF(#REF!,Casilleros!$A408,#REF!)+SUMIF(#REF!,Casilleros!$A408,#REF!)+SUMIF(#REF!,$A408,#REF!)</f>
        <v>#REF!</v>
      </c>
      <c r="N408" s="5" t="e">
        <f>SUMIF(#REF!,$A408,#REF!)</f>
        <v>#REF!</v>
      </c>
      <c r="O408" s="5" t="e">
        <f>SUMIF(#REF!,$A408,#REF!)+SUMIF(#REF!,$A408,#REF!)</f>
        <v>#REF!</v>
      </c>
      <c r="P408" s="5">
        <f>IFERROR(VLOOKUP($A408,#REF!,2,FALSE),0)</f>
        <v>0</v>
      </c>
      <c r="Q408" s="42" t="e">
        <f t="shared" si="6"/>
        <v>#REF!</v>
      </c>
    </row>
    <row r="409" spans="1:17">
      <c r="A409" s="56" t="s">
        <v>942</v>
      </c>
      <c r="B409" s="7" t="s">
        <v>561</v>
      </c>
      <c r="C409" s="7" t="s">
        <v>2251</v>
      </c>
      <c r="D409" s="7" t="s">
        <v>919</v>
      </c>
      <c r="E409" s="7" t="s">
        <v>425</v>
      </c>
      <c r="F409" s="7" t="s">
        <v>444</v>
      </c>
      <c r="G409" s="7" t="s">
        <v>444</v>
      </c>
      <c r="H409" s="7" t="s">
        <v>444</v>
      </c>
      <c r="I409" s="7" t="s">
        <v>1589</v>
      </c>
      <c r="J409" s="1" t="s">
        <v>2285</v>
      </c>
      <c r="K409" s="5">
        <f>SUMIF(BC!$E$6:$E$347,$A409,BC!$K$6:$K$347)</f>
        <v>0</v>
      </c>
      <c r="L409" s="5" t="e">
        <f>SUMIF(#REF!,$A409,#REF!)+SUMIF(#REF!,$A409,#REF!)</f>
        <v>#REF!</v>
      </c>
      <c r="M409" s="5" t="e">
        <f>SUMIF(#REF!,Casilleros!$A409,#REF!)+SUMIF(#REF!,Casilleros!$A409,#REF!)+SUMIF(#REF!,$A409,#REF!)</f>
        <v>#REF!</v>
      </c>
      <c r="N409" s="5" t="e">
        <f>SUMIF(#REF!,$A409,#REF!)</f>
        <v>#REF!</v>
      </c>
      <c r="O409" s="5" t="e">
        <f>SUMIF(#REF!,$A409,#REF!)+SUMIF(#REF!,$A409,#REF!)</f>
        <v>#REF!</v>
      </c>
      <c r="P409" s="5">
        <f>IFERROR(VLOOKUP($A409,#REF!,2,FALSE),0)</f>
        <v>0</v>
      </c>
      <c r="Q409" s="42" t="e">
        <f t="shared" si="6"/>
        <v>#REF!</v>
      </c>
    </row>
    <row r="410" spans="1:17">
      <c r="A410" s="56" t="s">
        <v>946</v>
      </c>
      <c r="B410" s="7" t="s">
        <v>561</v>
      </c>
      <c r="C410" s="7" t="s">
        <v>2251</v>
      </c>
      <c r="D410" s="7" t="s">
        <v>945</v>
      </c>
      <c r="E410" s="7" t="s">
        <v>411</v>
      </c>
      <c r="F410" s="7" t="s">
        <v>444</v>
      </c>
      <c r="G410" s="7" t="s">
        <v>444</v>
      </c>
      <c r="H410" s="7" t="s">
        <v>444</v>
      </c>
      <c r="I410" s="7" t="s">
        <v>1590</v>
      </c>
      <c r="J410" s="1" t="s">
        <v>2286</v>
      </c>
      <c r="K410" s="5">
        <f>SUMIF(BC!$E$6:$E$347,$A410,BC!$K$6:$K$347)</f>
        <v>0</v>
      </c>
      <c r="L410" s="5" t="e">
        <f>SUMIF(#REF!,$A410,#REF!)+SUMIF(#REF!,$A410,#REF!)</f>
        <v>#REF!</v>
      </c>
      <c r="M410" s="5" t="e">
        <f>SUMIF(#REF!,Casilleros!$A410,#REF!)+SUMIF(#REF!,Casilleros!$A410,#REF!)+SUMIF(#REF!,$A410,#REF!)</f>
        <v>#REF!</v>
      </c>
      <c r="N410" s="5" t="e">
        <f>SUMIF(#REF!,$A410,#REF!)</f>
        <v>#REF!</v>
      </c>
      <c r="O410" s="5" t="e">
        <f>SUMIF(#REF!,$A410,#REF!)+SUMIF(#REF!,$A410,#REF!)</f>
        <v>#REF!</v>
      </c>
      <c r="P410" s="5">
        <f>IFERROR(VLOOKUP($A410,#REF!,2,FALSE),0)</f>
        <v>0</v>
      </c>
      <c r="Q410" s="42" t="e">
        <f t="shared" si="6"/>
        <v>#REF!</v>
      </c>
    </row>
    <row r="411" spans="1:17">
      <c r="A411" s="56" t="s">
        <v>949</v>
      </c>
      <c r="B411" s="7" t="s">
        <v>561</v>
      </c>
      <c r="C411" s="7" t="s">
        <v>2251</v>
      </c>
      <c r="D411" s="7" t="s">
        <v>945</v>
      </c>
      <c r="E411" s="7" t="s">
        <v>662</v>
      </c>
      <c r="F411" s="7" t="s">
        <v>444</v>
      </c>
      <c r="G411" s="7" t="s">
        <v>444</v>
      </c>
      <c r="H411" s="7" t="s">
        <v>444</v>
      </c>
      <c r="I411" s="7" t="s">
        <v>1591</v>
      </c>
      <c r="J411" s="1" t="s">
        <v>2286</v>
      </c>
      <c r="K411" s="5">
        <f>SUMIF(BC!$E$6:$E$347,$A411,BC!$K$6:$K$347)</f>
        <v>0</v>
      </c>
      <c r="L411" s="5" t="e">
        <f>SUMIF(#REF!,$A411,#REF!)+SUMIF(#REF!,$A411,#REF!)</f>
        <v>#REF!</v>
      </c>
      <c r="M411" s="5" t="e">
        <f>SUMIF(#REF!,Casilleros!$A411,#REF!)+SUMIF(#REF!,Casilleros!$A411,#REF!)+SUMIF(#REF!,$A411,#REF!)</f>
        <v>#REF!</v>
      </c>
      <c r="N411" s="5" t="e">
        <f>SUMIF(#REF!,$A411,#REF!)</f>
        <v>#REF!</v>
      </c>
      <c r="O411" s="5" t="e">
        <f>SUMIF(#REF!,$A411,#REF!)+SUMIF(#REF!,$A411,#REF!)</f>
        <v>#REF!</v>
      </c>
      <c r="P411" s="5">
        <f>IFERROR(VLOOKUP($A411,#REF!,2,FALSE),0)</f>
        <v>0</v>
      </c>
      <c r="Q411" s="42" t="e">
        <f t="shared" si="6"/>
        <v>#REF!</v>
      </c>
    </row>
    <row r="412" spans="1:17">
      <c r="A412" s="56" t="s">
        <v>960</v>
      </c>
      <c r="B412" s="7" t="s">
        <v>561</v>
      </c>
      <c r="C412" s="7" t="s">
        <v>2251</v>
      </c>
      <c r="D412" s="7" t="s">
        <v>945</v>
      </c>
      <c r="E412" s="7" t="s">
        <v>423</v>
      </c>
      <c r="F412" s="7" t="s">
        <v>444</v>
      </c>
      <c r="G412" s="7" t="s">
        <v>444</v>
      </c>
      <c r="H412" s="7" t="s">
        <v>444</v>
      </c>
      <c r="I412" s="7" t="s">
        <v>1592</v>
      </c>
      <c r="J412" s="1" t="s">
        <v>2286</v>
      </c>
      <c r="K412" s="5">
        <f>SUMIF(BC!$E$6:$E$347,$A412,BC!$K$6:$K$347)</f>
        <v>0</v>
      </c>
      <c r="L412" s="5" t="e">
        <f>SUMIF(#REF!,$A412,#REF!)+SUMIF(#REF!,$A412,#REF!)</f>
        <v>#REF!</v>
      </c>
      <c r="M412" s="5" t="e">
        <f>SUMIF(#REF!,Casilleros!$A412,#REF!)+SUMIF(#REF!,Casilleros!$A412,#REF!)+SUMIF(#REF!,$A412,#REF!)</f>
        <v>#REF!</v>
      </c>
      <c r="N412" s="5" t="e">
        <f>SUMIF(#REF!,$A412,#REF!)</f>
        <v>#REF!</v>
      </c>
      <c r="O412" s="5" t="e">
        <f>SUMIF(#REF!,$A412,#REF!)+SUMIF(#REF!,$A412,#REF!)</f>
        <v>#REF!</v>
      </c>
      <c r="P412" s="5">
        <f>IFERROR(VLOOKUP($A412,#REF!,2,FALSE),0)</f>
        <v>0</v>
      </c>
      <c r="Q412" s="42" t="e">
        <f t="shared" si="6"/>
        <v>#REF!</v>
      </c>
    </row>
    <row r="413" spans="1:17">
      <c r="A413" s="56" t="s">
        <v>963</v>
      </c>
      <c r="B413" s="7" t="s">
        <v>561</v>
      </c>
      <c r="C413" s="7" t="s">
        <v>2251</v>
      </c>
      <c r="D413" s="7" t="s">
        <v>945</v>
      </c>
      <c r="E413" s="7" t="s">
        <v>122</v>
      </c>
      <c r="F413" s="7" t="s">
        <v>444</v>
      </c>
      <c r="G413" s="7" t="s">
        <v>444</v>
      </c>
      <c r="H413" s="7" t="s">
        <v>444</v>
      </c>
      <c r="I413" s="7" t="s">
        <v>1593</v>
      </c>
      <c r="J413" s="1" t="s">
        <v>2286</v>
      </c>
      <c r="K413" s="5">
        <f>SUMIF(BC!$E$6:$E$347,$A413,BC!$K$6:$K$347)</f>
        <v>0</v>
      </c>
      <c r="L413" s="5" t="e">
        <f>SUMIF(#REF!,$A413,#REF!)+SUMIF(#REF!,$A413,#REF!)</f>
        <v>#REF!</v>
      </c>
      <c r="M413" s="5" t="e">
        <f>SUMIF(#REF!,Casilleros!$A413,#REF!)+SUMIF(#REF!,Casilleros!$A413,#REF!)+SUMIF(#REF!,$A413,#REF!)</f>
        <v>#REF!</v>
      </c>
      <c r="N413" s="5" t="e">
        <f>SUMIF(#REF!,$A413,#REF!)</f>
        <v>#REF!</v>
      </c>
      <c r="O413" s="5" t="e">
        <f>SUMIF(#REF!,$A413,#REF!)+SUMIF(#REF!,$A413,#REF!)</f>
        <v>#REF!</v>
      </c>
      <c r="P413" s="5">
        <f>IFERROR(VLOOKUP($A413,#REF!,2,FALSE),0)</f>
        <v>0</v>
      </c>
      <c r="Q413" s="42" t="e">
        <f t="shared" si="6"/>
        <v>#REF!</v>
      </c>
    </row>
    <row r="414" spans="1:17">
      <c r="A414" s="56" t="s">
        <v>967</v>
      </c>
      <c r="B414" s="7" t="s">
        <v>561</v>
      </c>
      <c r="C414" s="7" t="s">
        <v>2251</v>
      </c>
      <c r="D414" s="7" t="s">
        <v>966</v>
      </c>
      <c r="E414" s="7" t="s">
        <v>108</v>
      </c>
      <c r="F414" s="7" t="s">
        <v>444</v>
      </c>
      <c r="G414" s="7" t="s">
        <v>444</v>
      </c>
      <c r="H414" s="7" t="s">
        <v>444</v>
      </c>
      <c r="I414" s="7" t="s">
        <v>1594</v>
      </c>
      <c r="J414" s="1" t="s">
        <v>2287</v>
      </c>
      <c r="K414" s="5">
        <f>SUMIF(BC!$E$6:$E$347,$A414,BC!$K$6:$K$347)</f>
        <v>0</v>
      </c>
      <c r="L414" s="5" t="e">
        <f>SUMIF(#REF!,$A414,#REF!)+SUMIF(#REF!,$A414,#REF!)</f>
        <v>#REF!</v>
      </c>
      <c r="M414" s="5" t="e">
        <f>SUMIF(#REF!,Casilleros!$A414,#REF!)+SUMIF(#REF!,Casilleros!$A414,#REF!)+SUMIF(#REF!,$A414,#REF!)</f>
        <v>#REF!</v>
      </c>
      <c r="N414" s="5" t="e">
        <f>SUMIF(#REF!,$A414,#REF!)</f>
        <v>#REF!</v>
      </c>
      <c r="O414" s="5" t="e">
        <f>SUMIF(#REF!,$A414,#REF!)+SUMIF(#REF!,$A414,#REF!)</f>
        <v>#REF!</v>
      </c>
      <c r="P414" s="5">
        <f>IFERROR(VLOOKUP($A414,#REF!,2,FALSE),0)</f>
        <v>0</v>
      </c>
      <c r="Q414" s="42" t="e">
        <f t="shared" si="6"/>
        <v>#REF!</v>
      </c>
    </row>
    <row r="415" spans="1:17">
      <c r="A415" s="56" t="s">
        <v>970</v>
      </c>
      <c r="B415" s="7" t="s">
        <v>561</v>
      </c>
      <c r="C415" s="7" t="s">
        <v>2251</v>
      </c>
      <c r="D415" s="7" t="s">
        <v>966</v>
      </c>
      <c r="E415" s="7" t="s">
        <v>110</v>
      </c>
      <c r="F415" s="7" t="s">
        <v>444</v>
      </c>
      <c r="G415" s="7" t="s">
        <v>444</v>
      </c>
      <c r="H415" s="7" t="s">
        <v>444</v>
      </c>
      <c r="I415" s="7" t="s">
        <v>1595</v>
      </c>
      <c r="J415" s="1" t="s">
        <v>2287</v>
      </c>
      <c r="K415" s="5">
        <f>SUMIF(BC!$E$6:$E$347,$A415,BC!$K$6:$K$347)</f>
        <v>0</v>
      </c>
      <c r="L415" s="5" t="e">
        <f>SUMIF(#REF!,$A415,#REF!)+SUMIF(#REF!,$A415,#REF!)</f>
        <v>#REF!</v>
      </c>
      <c r="M415" s="5" t="e">
        <f>SUMIF(#REF!,Casilleros!$A415,#REF!)+SUMIF(#REF!,Casilleros!$A415,#REF!)+SUMIF(#REF!,$A415,#REF!)</f>
        <v>#REF!</v>
      </c>
      <c r="N415" s="5" t="e">
        <f>SUMIF(#REF!,$A415,#REF!)</f>
        <v>#REF!</v>
      </c>
      <c r="O415" s="5" t="e">
        <f>SUMIF(#REF!,$A415,#REF!)+SUMIF(#REF!,$A415,#REF!)</f>
        <v>#REF!</v>
      </c>
      <c r="P415" s="5">
        <f>IFERROR(VLOOKUP($A415,#REF!,2,FALSE),0)</f>
        <v>0</v>
      </c>
      <c r="Q415" s="42" t="e">
        <f t="shared" si="6"/>
        <v>#REF!</v>
      </c>
    </row>
    <row r="416" spans="1:17">
      <c r="A416" s="56" t="s">
        <v>979</v>
      </c>
      <c r="B416" s="7" t="s">
        <v>561</v>
      </c>
      <c r="C416" s="7" t="s">
        <v>2251</v>
      </c>
      <c r="D416" s="7" t="s">
        <v>12</v>
      </c>
      <c r="E416" s="7" t="s">
        <v>978</v>
      </c>
      <c r="F416" s="7" t="s">
        <v>444</v>
      </c>
      <c r="G416" s="7" t="s">
        <v>444</v>
      </c>
      <c r="H416" s="7" t="s">
        <v>444</v>
      </c>
      <c r="I416" s="7" t="s">
        <v>1596</v>
      </c>
      <c r="J416" s="7" t="s">
        <v>2288</v>
      </c>
      <c r="K416" s="5">
        <f>SUMIF(BC!$E$6:$E$347,$A416,BC!$K$6:$K$347)</f>
        <v>0</v>
      </c>
      <c r="L416" s="5" t="e">
        <f>SUMIF(#REF!,$A416,#REF!)+SUMIF(#REF!,$A416,#REF!)</f>
        <v>#REF!</v>
      </c>
      <c r="M416" s="5" t="e">
        <f>SUMIF(#REF!,Casilleros!$A416,#REF!)+SUMIF(#REF!,Casilleros!$A416,#REF!)+SUMIF(#REF!,$A416,#REF!)</f>
        <v>#REF!</v>
      </c>
      <c r="N416" s="5" t="e">
        <f>SUMIF(#REF!,$A416,#REF!)</f>
        <v>#REF!</v>
      </c>
      <c r="O416" s="5" t="e">
        <f>SUMIF(#REF!,$A416,#REF!)+SUMIF(#REF!,$A416,#REF!)</f>
        <v>#REF!</v>
      </c>
      <c r="P416" s="5">
        <f>IFERROR(VLOOKUP($A416,#REF!,2,FALSE),0)</f>
        <v>0</v>
      </c>
      <c r="Q416" s="42" t="e">
        <f t="shared" si="6"/>
        <v>#REF!</v>
      </c>
    </row>
    <row r="417" spans="1:17">
      <c r="A417" s="56" t="s">
        <v>990</v>
      </c>
      <c r="B417" s="7" t="s">
        <v>561</v>
      </c>
      <c r="C417" s="7" t="s">
        <v>2251</v>
      </c>
      <c r="D417" s="7" t="s">
        <v>12</v>
      </c>
      <c r="E417" s="7" t="s">
        <v>989</v>
      </c>
      <c r="F417" s="7" t="s">
        <v>444</v>
      </c>
      <c r="G417" s="7" t="s">
        <v>444</v>
      </c>
      <c r="H417" s="7" t="s">
        <v>444</v>
      </c>
      <c r="I417" s="7" t="s">
        <v>1597</v>
      </c>
      <c r="J417" s="7" t="s">
        <v>2288</v>
      </c>
      <c r="K417" s="5">
        <f>SUMIF(BC!$E$6:$E$347,$A417,BC!$K$6:$K$347)</f>
        <v>0</v>
      </c>
      <c r="L417" s="5" t="e">
        <f>SUMIF(#REF!,$A417,#REF!)+SUMIF(#REF!,$A417,#REF!)</f>
        <v>#REF!</v>
      </c>
      <c r="M417" s="5" t="e">
        <f>SUMIF(#REF!,Casilleros!$A417,#REF!)+SUMIF(#REF!,Casilleros!$A417,#REF!)+SUMIF(#REF!,$A417,#REF!)</f>
        <v>#REF!</v>
      </c>
      <c r="N417" s="5" t="e">
        <f>SUMIF(#REF!,$A417,#REF!)</f>
        <v>#REF!</v>
      </c>
      <c r="O417" s="5" t="e">
        <f>SUMIF(#REF!,$A417,#REF!)+SUMIF(#REF!,$A417,#REF!)</f>
        <v>#REF!</v>
      </c>
      <c r="P417" s="5">
        <f>IFERROR(VLOOKUP($A417,#REF!,2,FALSE),0)</f>
        <v>0</v>
      </c>
      <c r="Q417" s="42" t="e">
        <f t="shared" si="6"/>
        <v>#REF!</v>
      </c>
    </row>
    <row r="418" spans="1:17">
      <c r="A418" s="56" t="s">
        <v>997</v>
      </c>
      <c r="B418" s="7" t="s">
        <v>561</v>
      </c>
      <c r="C418" s="7" t="s">
        <v>2251</v>
      </c>
      <c r="D418" s="7" t="s">
        <v>12</v>
      </c>
      <c r="E418" s="7" t="s">
        <v>996</v>
      </c>
      <c r="F418" s="7" t="s">
        <v>444</v>
      </c>
      <c r="G418" s="7" t="s">
        <v>444</v>
      </c>
      <c r="H418" s="7" t="s">
        <v>444</v>
      </c>
      <c r="I418" s="7" t="s">
        <v>1598</v>
      </c>
      <c r="J418" s="7" t="s">
        <v>2288</v>
      </c>
      <c r="K418" s="5">
        <f>SUMIF(BC!$E$6:$E$347,$A418,BC!$K$6:$K$347)</f>
        <v>0</v>
      </c>
      <c r="L418" s="5" t="e">
        <f>SUMIF(#REF!,$A418,#REF!)+SUMIF(#REF!,$A418,#REF!)</f>
        <v>#REF!</v>
      </c>
      <c r="M418" s="5" t="e">
        <f>SUMIF(#REF!,Casilleros!$A418,#REF!)+SUMIF(#REF!,Casilleros!$A418,#REF!)+SUMIF(#REF!,$A418,#REF!)</f>
        <v>#REF!</v>
      </c>
      <c r="N418" s="5" t="e">
        <f>SUMIF(#REF!,$A418,#REF!)</f>
        <v>#REF!</v>
      </c>
      <c r="O418" s="5" t="e">
        <f>SUMIF(#REF!,$A418,#REF!)+SUMIF(#REF!,$A418,#REF!)</f>
        <v>#REF!</v>
      </c>
      <c r="P418" s="5">
        <f>IFERROR(VLOOKUP($A418,#REF!,2,FALSE),0)</f>
        <v>0</v>
      </c>
      <c r="Q418" s="42" t="e">
        <f t="shared" si="6"/>
        <v>#REF!</v>
      </c>
    </row>
    <row r="419" spans="1:17">
      <c r="A419" s="56" t="s">
        <v>1001</v>
      </c>
      <c r="B419" s="7" t="s">
        <v>561</v>
      </c>
      <c r="C419" s="7" t="s">
        <v>2251</v>
      </c>
      <c r="D419" s="7" t="s">
        <v>12</v>
      </c>
      <c r="E419" s="7" t="s">
        <v>1000</v>
      </c>
      <c r="F419" s="7" t="s">
        <v>444</v>
      </c>
      <c r="G419" s="7" t="s">
        <v>444</v>
      </c>
      <c r="H419" s="7" t="s">
        <v>444</v>
      </c>
      <c r="I419" s="7" t="s">
        <v>1599</v>
      </c>
      <c r="J419" s="7" t="s">
        <v>2288</v>
      </c>
      <c r="K419" s="5">
        <f>SUMIF(BC!$E$6:$E$347,$A419,BC!$K$6:$K$347)</f>
        <v>0</v>
      </c>
      <c r="L419" s="5" t="e">
        <f>SUMIF(#REF!,$A419,#REF!)+SUMIF(#REF!,$A419,#REF!)</f>
        <v>#REF!</v>
      </c>
      <c r="M419" s="5" t="e">
        <f>SUMIF(#REF!,Casilleros!$A419,#REF!)+SUMIF(#REF!,Casilleros!$A419,#REF!)+SUMIF(#REF!,$A419,#REF!)</f>
        <v>#REF!</v>
      </c>
      <c r="N419" s="5" t="e">
        <f>SUMIF(#REF!,$A419,#REF!)</f>
        <v>#REF!</v>
      </c>
      <c r="O419" s="5" t="e">
        <f>SUMIF(#REF!,$A419,#REF!)+SUMIF(#REF!,$A419,#REF!)</f>
        <v>#REF!</v>
      </c>
      <c r="P419" s="5">
        <f>IFERROR(VLOOKUP($A419,#REF!,2,FALSE),0)</f>
        <v>0</v>
      </c>
      <c r="Q419" s="42" t="e">
        <f t="shared" si="6"/>
        <v>#REF!</v>
      </c>
    </row>
    <row r="420" spans="1:17">
      <c r="A420" s="56" t="s">
        <v>1005</v>
      </c>
      <c r="B420" s="7" t="s">
        <v>561</v>
      </c>
      <c r="C420" s="7" t="s">
        <v>2251</v>
      </c>
      <c r="D420" s="7" t="s">
        <v>12</v>
      </c>
      <c r="E420" s="7" t="s">
        <v>1004</v>
      </c>
      <c r="F420" s="7" t="s">
        <v>444</v>
      </c>
      <c r="G420" s="7" t="s">
        <v>444</v>
      </c>
      <c r="H420" s="7" t="s">
        <v>444</v>
      </c>
      <c r="I420" s="7" t="s">
        <v>1600</v>
      </c>
      <c r="J420" s="7" t="s">
        <v>2288</v>
      </c>
      <c r="K420" s="5">
        <f>SUMIF(BC!$E$6:$E$347,$A420,BC!$K$6:$K$347)</f>
        <v>0</v>
      </c>
      <c r="L420" s="5" t="e">
        <f>SUMIF(#REF!,$A420,#REF!)+SUMIF(#REF!,$A420,#REF!)</f>
        <v>#REF!</v>
      </c>
      <c r="M420" s="5" t="e">
        <f>SUMIF(#REF!,Casilleros!$A420,#REF!)+SUMIF(#REF!,Casilleros!$A420,#REF!)+SUMIF(#REF!,$A420,#REF!)</f>
        <v>#REF!</v>
      </c>
      <c r="N420" s="5" t="e">
        <f>SUMIF(#REF!,$A420,#REF!)</f>
        <v>#REF!</v>
      </c>
      <c r="O420" s="5" t="e">
        <f>SUMIF(#REF!,$A420,#REF!)+SUMIF(#REF!,$A420,#REF!)</f>
        <v>#REF!</v>
      </c>
      <c r="P420" s="5">
        <f>IFERROR(VLOOKUP($A420,#REF!,2,FALSE),0)</f>
        <v>0</v>
      </c>
      <c r="Q420" s="42" t="e">
        <f t="shared" si="6"/>
        <v>#REF!</v>
      </c>
    </row>
    <row r="421" spans="1:17">
      <c r="A421" s="56" t="s">
        <v>1009</v>
      </c>
      <c r="B421" s="7" t="s">
        <v>561</v>
      </c>
      <c r="C421" s="7" t="s">
        <v>2251</v>
      </c>
      <c r="D421" s="7" t="s">
        <v>12</v>
      </c>
      <c r="E421" s="7" t="s">
        <v>1008</v>
      </c>
      <c r="F421" s="7" t="s">
        <v>444</v>
      </c>
      <c r="G421" s="7" t="s">
        <v>444</v>
      </c>
      <c r="H421" s="7" t="s">
        <v>444</v>
      </c>
      <c r="I421" s="7" t="s">
        <v>1601</v>
      </c>
      <c r="J421" s="7" t="s">
        <v>2288</v>
      </c>
      <c r="K421" s="5">
        <f>SUMIF(BC!$E$6:$E$347,$A421,BC!$K$6:$K$347)</f>
        <v>0</v>
      </c>
      <c r="L421" s="5" t="e">
        <f>SUMIF(#REF!,$A421,#REF!)+SUMIF(#REF!,$A421,#REF!)</f>
        <v>#REF!</v>
      </c>
      <c r="M421" s="5" t="e">
        <f>SUMIF(#REF!,Casilleros!$A421,#REF!)+SUMIF(#REF!,Casilleros!$A421,#REF!)+SUMIF(#REF!,$A421,#REF!)</f>
        <v>#REF!</v>
      </c>
      <c r="N421" s="5" t="e">
        <f>SUMIF(#REF!,$A421,#REF!)</f>
        <v>#REF!</v>
      </c>
      <c r="O421" s="5" t="e">
        <f>SUMIF(#REF!,$A421,#REF!)+SUMIF(#REF!,$A421,#REF!)</f>
        <v>#REF!</v>
      </c>
      <c r="P421" s="5">
        <f>IFERROR(VLOOKUP($A421,#REF!,2,FALSE),0)</f>
        <v>0</v>
      </c>
      <c r="Q421" s="42" t="e">
        <f t="shared" si="6"/>
        <v>#REF!</v>
      </c>
    </row>
    <row r="422" spans="1:17">
      <c r="A422" s="56" t="s">
        <v>1013</v>
      </c>
      <c r="B422" s="7" t="s">
        <v>561</v>
      </c>
      <c r="C422" s="7" t="s">
        <v>2251</v>
      </c>
      <c r="D422" s="7" t="s">
        <v>12</v>
      </c>
      <c r="E422" s="7" t="s">
        <v>1012</v>
      </c>
      <c r="F422" s="7" t="s">
        <v>444</v>
      </c>
      <c r="G422" s="7" t="s">
        <v>444</v>
      </c>
      <c r="H422" s="7" t="s">
        <v>444</v>
      </c>
      <c r="I422" s="7" t="s">
        <v>1602</v>
      </c>
      <c r="J422" s="7" t="s">
        <v>2288</v>
      </c>
      <c r="K422" s="5">
        <f>SUMIF(BC!$E$6:$E$347,$A422,BC!$K$6:$K$347)</f>
        <v>0</v>
      </c>
      <c r="L422" s="5" t="e">
        <f>SUMIF(#REF!,$A422,#REF!)+SUMIF(#REF!,$A422,#REF!)</f>
        <v>#REF!</v>
      </c>
      <c r="M422" s="5" t="e">
        <f>SUMIF(#REF!,Casilleros!$A422,#REF!)+SUMIF(#REF!,Casilleros!$A422,#REF!)+SUMIF(#REF!,$A422,#REF!)</f>
        <v>#REF!</v>
      </c>
      <c r="N422" s="5" t="e">
        <f>SUMIF(#REF!,$A422,#REF!)</f>
        <v>#REF!</v>
      </c>
      <c r="O422" s="5" t="e">
        <f>SUMIF(#REF!,$A422,#REF!)+SUMIF(#REF!,$A422,#REF!)</f>
        <v>#REF!</v>
      </c>
      <c r="P422" s="5">
        <f>IFERROR(VLOOKUP($A422,#REF!,2,FALSE),0)</f>
        <v>0</v>
      </c>
      <c r="Q422" s="42" t="e">
        <f t="shared" si="6"/>
        <v>#REF!</v>
      </c>
    </row>
    <row r="423" spans="1:17">
      <c r="A423" s="56" t="s">
        <v>1017</v>
      </c>
      <c r="B423" s="7" t="s">
        <v>561</v>
      </c>
      <c r="C423" s="7" t="s">
        <v>2251</v>
      </c>
      <c r="D423" s="7" t="s">
        <v>12</v>
      </c>
      <c r="E423" s="7" t="s">
        <v>1016</v>
      </c>
      <c r="F423" s="7" t="s">
        <v>72</v>
      </c>
      <c r="G423" s="7" t="s">
        <v>25</v>
      </c>
      <c r="H423" s="7" t="s">
        <v>444</v>
      </c>
      <c r="I423" s="7" t="s">
        <v>1603</v>
      </c>
      <c r="J423" s="7" t="s">
        <v>2288</v>
      </c>
      <c r="K423" s="5">
        <f>SUMIF(BC!$E$6:$E$347,$A423,BC!$K$6:$K$347)</f>
        <v>0</v>
      </c>
      <c r="L423" s="5" t="e">
        <f>SUMIF(#REF!,$A423,#REF!)+SUMIF(#REF!,$A423,#REF!)</f>
        <v>#REF!</v>
      </c>
      <c r="M423" s="5" t="e">
        <f>SUMIF(#REF!,Casilleros!$A423,#REF!)+SUMIF(#REF!,Casilleros!$A423,#REF!)+SUMIF(#REF!,$A423,#REF!)</f>
        <v>#REF!</v>
      </c>
      <c r="N423" s="5" t="e">
        <f>SUMIF(#REF!,$A423,#REF!)</f>
        <v>#REF!</v>
      </c>
      <c r="O423" s="5" t="e">
        <f>SUMIF(#REF!,$A423,#REF!)+SUMIF(#REF!,$A423,#REF!)</f>
        <v>#REF!</v>
      </c>
      <c r="P423" s="5">
        <f>IFERROR(VLOOKUP($A423,#REF!,2,FALSE),0)</f>
        <v>0</v>
      </c>
      <c r="Q423" s="42" t="e">
        <f t="shared" si="6"/>
        <v>#REF!</v>
      </c>
    </row>
    <row r="424" spans="1:17">
      <c r="A424" s="56" t="s">
        <v>1020</v>
      </c>
      <c r="B424" s="7" t="s">
        <v>561</v>
      </c>
      <c r="C424" s="7" t="s">
        <v>2251</v>
      </c>
      <c r="D424" s="7" t="s">
        <v>12</v>
      </c>
      <c r="E424" s="7" t="s">
        <v>1016</v>
      </c>
      <c r="F424" s="7" t="s">
        <v>72</v>
      </c>
      <c r="G424" s="7" t="s">
        <v>26</v>
      </c>
      <c r="H424" s="7" t="s">
        <v>444</v>
      </c>
      <c r="I424" s="7" t="s">
        <v>1604</v>
      </c>
      <c r="J424" s="7" t="s">
        <v>2288</v>
      </c>
      <c r="K424" s="5">
        <f>SUMIF(BC!$E$6:$E$347,$A424,BC!$K$6:$K$347)</f>
        <v>0</v>
      </c>
      <c r="L424" s="5" t="e">
        <f>SUMIF(#REF!,$A424,#REF!)+SUMIF(#REF!,$A424,#REF!)</f>
        <v>#REF!</v>
      </c>
      <c r="M424" s="5" t="e">
        <f>SUMIF(#REF!,Casilleros!$A424,#REF!)+SUMIF(#REF!,Casilleros!$A424,#REF!)+SUMIF(#REF!,$A424,#REF!)</f>
        <v>#REF!</v>
      </c>
      <c r="N424" s="5" t="e">
        <f>SUMIF(#REF!,$A424,#REF!)</f>
        <v>#REF!</v>
      </c>
      <c r="O424" s="5" t="e">
        <f>SUMIF(#REF!,$A424,#REF!)+SUMIF(#REF!,$A424,#REF!)</f>
        <v>#REF!</v>
      </c>
      <c r="P424" s="5">
        <f>IFERROR(VLOOKUP($A424,#REF!,2,FALSE),0)</f>
        <v>0</v>
      </c>
      <c r="Q424" s="42" t="e">
        <f t="shared" si="6"/>
        <v>#REF!</v>
      </c>
    </row>
    <row r="425" spans="1:17">
      <c r="A425" s="56" t="s">
        <v>1023</v>
      </c>
      <c r="B425" s="7" t="s">
        <v>561</v>
      </c>
      <c r="C425" s="7" t="s">
        <v>2251</v>
      </c>
      <c r="D425" s="7" t="s">
        <v>12</v>
      </c>
      <c r="E425" s="7" t="s">
        <v>1016</v>
      </c>
      <c r="F425" s="7" t="s">
        <v>78</v>
      </c>
      <c r="G425" s="7" t="s">
        <v>25</v>
      </c>
      <c r="H425" s="7" t="s">
        <v>444</v>
      </c>
      <c r="I425" s="7" t="s">
        <v>1605</v>
      </c>
      <c r="J425" s="7" t="s">
        <v>2288</v>
      </c>
      <c r="K425" s="5">
        <f>SUMIF(BC!$E$6:$E$347,$A425,BC!$K$6:$K$347)</f>
        <v>0</v>
      </c>
      <c r="L425" s="5" t="e">
        <f>SUMIF(#REF!,$A425,#REF!)+SUMIF(#REF!,$A425,#REF!)</f>
        <v>#REF!</v>
      </c>
      <c r="M425" s="5" t="e">
        <f>SUMIF(#REF!,Casilleros!$A425,#REF!)+SUMIF(#REF!,Casilleros!$A425,#REF!)+SUMIF(#REF!,$A425,#REF!)</f>
        <v>#REF!</v>
      </c>
      <c r="N425" s="5" t="e">
        <f>SUMIF(#REF!,$A425,#REF!)</f>
        <v>#REF!</v>
      </c>
      <c r="O425" s="5" t="e">
        <f>SUMIF(#REF!,$A425,#REF!)+SUMIF(#REF!,$A425,#REF!)</f>
        <v>#REF!</v>
      </c>
      <c r="P425" s="5">
        <f>IFERROR(VLOOKUP($A425,#REF!,2,FALSE),0)</f>
        <v>0</v>
      </c>
      <c r="Q425" s="42" t="e">
        <f t="shared" si="6"/>
        <v>#REF!</v>
      </c>
    </row>
    <row r="426" spans="1:17">
      <c r="A426" s="56" t="s">
        <v>1026</v>
      </c>
      <c r="B426" s="7" t="s">
        <v>561</v>
      </c>
      <c r="C426" s="7" t="s">
        <v>2251</v>
      </c>
      <c r="D426" s="7" t="s">
        <v>12</v>
      </c>
      <c r="E426" s="7" t="s">
        <v>1016</v>
      </c>
      <c r="F426" s="7" t="s">
        <v>78</v>
      </c>
      <c r="G426" s="7" t="s">
        <v>26</v>
      </c>
      <c r="H426" s="7" t="s">
        <v>444</v>
      </c>
      <c r="I426" s="7" t="s">
        <v>1606</v>
      </c>
      <c r="J426" s="7" t="s">
        <v>2288</v>
      </c>
      <c r="K426" s="5">
        <f>SUMIF(BC!$E$6:$E$347,$A426,BC!$K$6:$K$347)</f>
        <v>0</v>
      </c>
      <c r="L426" s="5" t="e">
        <f>SUMIF(#REF!,$A426,#REF!)+SUMIF(#REF!,$A426,#REF!)</f>
        <v>#REF!</v>
      </c>
      <c r="M426" s="5" t="e">
        <f>SUMIF(#REF!,Casilleros!$A426,#REF!)+SUMIF(#REF!,Casilleros!$A426,#REF!)+SUMIF(#REF!,$A426,#REF!)</f>
        <v>#REF!</v>
      </c>
      <c r="N426" s="5" t="e">
        <f>SUMIF(#REF!,$A426,#REF!)</f>
        <v>#REF!</v>
      </c>
      <c r="O426" s="5" t="e">
        <f>SUMIF(#REF!,$A426,#REF!)+SUMIF(#REF!,$A426,#REF!)</f>
        <v>#REF!</v>
      </c>
      <c r="P426" s="5">
        <f>IFERROR(VLOOKUP($A426,#REF!,2,FALSE),0)</f>
        <v>0</v>
      </c>
      <c r="Q426" s="42" t="e">
        <f t="shared" si="6"/>
        <v>#REF!</v>
      </c>
    </row>
    <row r="427" spans="1:17">
      <c r="A427" s="56" t="s">
        <v>1030</v>
      </c>
      <c r="B427" s="7" t="s">
        <v>561</v>
      </c>
      <c r="C427" s="7" t="s">
        <v>2251</v>
      </c>
      <c r="D427" s="7" t="s">
        <v>12</v>
      </c>
      <c r="E427" s="7" t="s">
        <v>1029</v>
      </c>
      <c r="F427" s="7" t="s">
        <v>72</v>
      </c>
      <c r="G427" s="7" t="s">
        <v>25</v>
      </c>
      <c r="H427" s="7" t="s">
        <v>444</v>
      </c>
      <c r="I427" s="7" t="s">
        <v>1607</v>
      </c>
      <c r="J427" s="7" t="s">
        <v>2288</v>
      </c>
      <c r="K427" s="5">
        <f>SUMIF(BC!$E$6:$E$347,$A427,BC!$K$6:$K$347)</f>
        <v>0</v>
      </c>
      <c r="L427" s="5" t="e">
        <f>SUMIF(#REF!,$A427,#REF!)+SUMIF(#REF!,$A427,#REF!)</f>
        <v>#REF!</v>
      </c>
      <c r="M427" s="5" t="e">
        <f>SUMIF(#REF!,Casilleros!$A427,#REF!)+SUMIF(#REF!,Casilleros!$A427,#REF!)+SUMIF(#REF!,$A427,#REF!)</f>
        <v>#REF!</v>
      </c>
      <c r="N427" s="5" t="e">
        <f>SUMIF(#REF!,$A427,#REF!)</f>
        <v>#REF!</v>
      </c>
      <c r="O427" s="5" t="e">
        <f>SUMIF(#REF!,$A427,#REF!)+SUMIF(#REF!,$A427,#REF!)</f>
        <v>#REF!</v>
      </c>
      <c r="P427" s="5">
        <f>IFERROR(VLOOKUP($A427,#REF!,2,FALSE),0)</f>
        <v>0</v>
      </c>
      <c r="Q427" s="42" t="e">
        <f t="shared" si="6"/>
        <v>#REF!</v>
      </c>
    </row>
    <row r="428" spans="1:17">
      <c r="A428" s="56" t="s">
        <v>1033</v>
      </c>
      <c r="B428" s="7" t="s">
        <v>561</v>
      </c>
      <c r="C428" s="7" t="s">
        <v>2251</v>
      </c>
      <c r="D428" s="7" t="s">
        <v>12</v>
      </c>
      <c r="E428" s="7" t="s">
        <v>1029</v>
      </c>
      <c r="F428" s="7" t="s">
        <v>72</v>
      </c>
      <c r="G428" s="7" t="s">
        <v>26</v>
      </c>
      <c r="H428" s="7" t="s">
        <v>444</v>
      </c>
      <c r="I428" s="7" t="s">
        <v>1608</v>
      </c>
      <c r="J428" s="7" t="s">
        <v>2288</v>
      </c>
      <c r="K428" s="5">
        <f>SUMIF(BC!$E$6:$E$347,$A428,BC!$K$6:$K$347)</f>
        <v>0</v>
      </c>
      <c r="L428" s="5" t="e">
        <f>SUMIF(#REF!,$A428,#REF!)+SUMIF(#REF!,$A428,#REF!)</f>
        <v>#REF!</v>
      </c>
      <c r="M428" s="5" t="e">
        <f>SUMIF(#REF!,Casilleros!$A428,#REF!)+SUMIF(#REF!,Casilleros!$A428,#REF!)+SUMIF(#REF!,$A428,#REF!)</f>
        <v>#REF!</v>
      </c>
      <c r="N428" s="5" t="e">
        <f>SUMIF(#REF!,$A428,#REF!)</f>
        <v>#REF!</v>
      </c>
      <c r="O428" s="5" t="e">
        <f>SUMIF(#REF!,$A428,#REF!)+SUMIF(#REF!,$A428,#REF!)</f>
        <v>#REF!</v>
      </c>
      <c r="P428" s="5">
        <f>IFERROR(VLOOKUP($A428,#REF!,2,FALSE),0)</f>
        <v>0</v>
      </c>
      <c r="Q428" s="42" t="e">
        <f t="shared" si="6"/>
        <v>#REF!</v>
      </c>
    </row>
    <row r="429" spans="1:17">
      <c r="A429" s="56" t="s">
        <v>1036</v>
      </c>
      <c r="B429" s="7" t="s">
        <v>561</v>
      </c>
      <c r="C429" s="7" t="s">
        <v>2251</v>
      </c>
      <c r="D429" s="7" t="s">
        <v>12</v>
      </c>
      <c r="E429" s="7" t="s">
        <v>1029</v>
      </c>
      <c r="F429" s="7" t="s">
        <v>78</v>
      </c>
      <c r="G429" s="7" t="s">
        <v>25</v>
      </c>
      <c r="H429" s="7" t="s">
        <v>444</v>
      </c>
      <c r="I429" s="7" t="s">
        <v>1609</v>
      </c>
      <c r="J429" s="7" t="s">
        <v>2288</v>
      </c>
      <c r="K429" s="5">
        <f>SUMIF(BC!$E$6:$E$347,$A429,BC!$K$6:$K$347)</f>
        <v>0</v>
      </c>
      <c r="L429" s="5" t="e">
        <f>SUMIF(#REF!,$A429,#REF!)+SUMIF(#REF!,$A429,#REF!)</f>
        <v>#REF!</v>
      </c>
      <c r="M429" s="5" t="e">
        <f>SUMIF(#REF!,Casilleros!$A429,#REF!)+SUMIF(#REF!,Casilleros!$A429,#REF!)+SUMIF(#REF!,$A429,#REF!)</f>
        <v>#REF!</v>
      </c>
      <c r="N429" s="5" t="e">
        <f>SUMIF(#REF!,$A429,#REF!)</f>
        <v>#REF!</v>
      </c>
      <c r="O429" s="5" t="e">
        <f>SUMIF(#REF!,$A429,#REF!)+SUMIF(#REF!,$A429,#REF!)</f>
        <v>#REF!</v>
      </c>
      <c r="P429" s="5">
        <f>IFERROR(VLOOKUP($A429,#REF!,2,FALSE),0)</f>
        <v>0</v>
      </c>
      <c r="Q429" s="42" t="e">
        <f t="shared" si="6"/>
        <v>#REF!</v>
      </c>
    </row>
    <row r="430" spans="1:17">
      <c r="A430" s="56" t="s">
        <v>1039</v>
      </c>
      <c r="B430" s="7" t="s">
        <v>561</v>
      </c>
      <c r="C430" s="7" t="s">
        <v>2251</v>
      </c>
      <c r="D430" s="7" t="s">
        <v>12</v>
      </c>
      <c r="E430" s="7" t="s">
        <v>1029</v>
      </c>
      <c r="F430" s="7" t="s">
        <v>78</v>
      </c>
      <c r="G430" s="7" t="s">
        <v>26</v>
      </c>
      <c r="H430" s="7" t="s">
        <v>444</v>
      </c>
      <c r="I430" s="7" t="s">
        <v>1610</v>
      </c>
      <c r="J430" s="7" t="s">
        <v>2288</v>
      </c>
      <c r="K430" s="5">
        <f>SUMIF(BC!$E$6:$E$347,$A430,BC!$K$6:$K$347)</f>
        <v>0</v>
      </c>
      <c r="L430" s="5" t="e">
        <f>SUMIF(#REF!,$A430,#REF!)+SUMIF(#REF!,$A430,#REF!)</f>
        <v>#REF!</v>
      </c>
      <c r="M430" s="5" t="e">
        <f>SUMIF(#REF!,Casilleros!$A430,#REF!)+SUMIF(#REF!,Casilleros!$A430,#REF!)+SUMIF(#REF!,$A430,#REF!)</f>
        <v>#REF!</v>
      </c>
      <c r="N430" s="5" t="e">
        <f>SUMIF(#REF!,$A430,#REF!)</f>
        <v>#REF!</v>
      </c>
      <c r="O430" s="5" t="e">
        <f>SUMIF(#REF!,$A430,#REF!)+SUMIF(#REF!,$A430,#REF!)</f>
        <v>#REF!</v>
      </c>
      <c r="P430" s="5">
        <f>IFERROR(VLOOKUP($A430,#REF!,2,FALSE),0)</f>
        <v>0</v>
      </c>
      <c r="Q430" s="42" t="e">
        <f t="shared" si="6"/>
        <v>#REF!</v>
      </c>
    </row>
    <row r="431" spans="1:17">
      <c r="A431" s="56" t="s">
        <v>1043</v>
      </c>
      <c r="B431" s="7" t="s">
        <v>561</v>
      </c>
      <c r="C431" s="7" t="s">
        <v>2251</v>
      </c>
      <c r="D431" s="7" t="s">
        <v>12</v>
      </c>
      <c r="E431" s="7" t="s">
        <v>1042</v>
      </c>
      <c r="F431" s="7" t="s">
        <v>444</v>
      </c>
      <c r="G431" s="7" t="s">
        <v>444</v>
      </c>
      <c r="H431" s="7" t="s">
        <v>444</v>
      </c>
      <c r="I431" s="7" t="s">
        <v>1611</v>
      </c>
      <c r="J431" s="7" t="s">
        <v>2288</v>
      </c>
      <c r="K431" s="5">
        <f>SUMIF(BC!$E$6:$E$347,$A431,BC!$K$6:$K$347)</f>
        <v>0</v>
      </c>
      <c r="L431" s="5" t="e">
        <f>SUMIF(#REF!,$A431,#REF!)+SUMIF(#REF!,$A431,#REF!)</f>
        <v>#REF!</v>
      </c>
      <c r="M431" s="5" t="e">
        <f>SUMIF(#REF!,Casilleros!$A431,#REF!)+SUMIF(#REF!,Casilleros!$A431,#REF!)+SUMIF(#REF!,$A431,#REF!)</f>
        <v>#REF!</v>
      </c>
      <c r="N431" s="5" t="e">
        <f>SUMIF(#REF!,$A431,#REF!)</f>
        <v>#REF!</v>
      </c>
      <c r="O431" s="5" t="e">
        <f>SUMIF(#REF!,$A431,#REF!)+SUMIF(#REF!,$A431,#REF!)</f>
        <v>#REF!</v>
      </c>
      <c r="P431" s="5">
        <f>IFERROR(VLOOKUP($A431,#REF!,2,FALSE),0)</f>
        <v>0</v>
      </c>
      <c r="Q431" s="42" t="e">
        <f t="shared" si="6"/>
        <v>#REF!</v>
      </c>
    </row>
    <row r="432" spans="1:17">
      <c r="A432" s="56" t="s">
        <v>1047</v>
      </c>
      <c r="B432" s="7" t="s">
        <v>561</v>
      </c>
      <c r="C432" s="7" t="s">
        <v>2251</v>
      </c>
      <c r="D432" s="7" t="s">
        <v>12</v>
      </c>
      <c r="E432" s="7" t="s">
        <v>1046</v>
      </c>
      <c r="F432" s="7" t="s">
        <v>444</v>
      </c>
      <c r="G432" s="7" t="s">
        <v>444</v>
      </c>
      <c r="H432" s="7" t="s">
        <v>444</v>
      </c>
      <c r="I432" s="7" t="s">
        <v>1612</v>
      </c>
      <c r="J432" s="7" t="s">
        <v>2288</v>
      </c>
      <c r="K432" s="5">
        <f>SUMIF(BC!$E$6:$E$347,$A432,BC!$K$6:$K$347)</f>
        <v>0</v>
      </c>
      <c r="L432" s="5" t="e">
        <f>SUMIF(#REF!,$A432,#REF!)+SUMIF(#REF!,$A432,#REF!)</f>
        <v>#REF!</v>
      </c>
      <c r="M432" s="5" t="e">
        <f>SUMIF(#REF!,Casilleros!$A432,#REF!)+SUMIF(#REF!,Casilleros!$A432,#REF!)+SUMIF(#REF!,$A432,#REF!)</f>
        <v>#REF!</v>
      </c>
      <c r="N432" s="5" t="e">
        <f>SUMIF(#REF!,$A432,#REF!)</f>
        <v>#REF!</v>
      </c>
      <c r="O432" s="5" t="e">
        <f>SUMIF(#REF!,$A432,#REF!)+SUMIF(#REF!,$A432,#REF!)</f>
        <v>#REF!</v>
      </c>
      <c r="P432" s="5">
        <f>IFERROR(VLOOKUP($A432,#REF!,2,FALSE),0)</f>
        <v>0</v>
      </c>
      <c r="Q432" s="42" t="e">
        <f t="shared" si="6"/>
        <v>#REF!</v>
      </c>
    </row>
    <row r="433" spans="1:17">
      <c r="A433" s="56" t="s">
        <v>1051</v>
      </c>
      <c r="B433" s="7" t="s">
        <v>561</v>
      </c>
      <c r="C433" s="7" t="s">
        <v>2251</v>
      </c>
      <c r="D433" s="7" t="s">
        <v>12</v>
      </c>
      <c r="E433" s="7" t="s">
        <v>1050</v>
      </c>
      <c r="F433" s="7" t="s">
        <v>444</v>
      </c>
      <c r="G433" s="7" t="s">
        <v>444</v>
      </c>
      <c r="H433" s="7" t="s">
        <v>444</v>
      </c>
      <c r="I433" s="7" t="s">
        <v>1613</v>
      </c>
      <c r="J433" s="7" t="s">
        <v>2288</v>
      </c>
      <c r="K433" s="5">
        <f>SUMIF(BC!$E$6:$E$347,$A433,BC!$K$6:$K$347)</f>
        <v>0</v>
      </c>
      <c r="L433" s="5" t="e">
        <f>SUMIF(#REF!,$A433,#REF!)+SUMIF(#REF!,$A433,#REF!)</f>
        <v>#REF!</v>
      </c>
      <c r="M433" s="5" t="e">
        <f>SUMIF(#REF!,Casilleros!$A433,#REF!)+SUMIF(#REF!,Casilleros!$A433,#REF!)+SUMIF(#REF!,$A433,#REF!)</f>
        <v>#REF!</v>
      </c>
      <c r="N433" s="5" t="e">
        <f>SUMIF(#REF!,$A433,#REF!)</f>
        <v>#REF!</v>
      </c>
      <c r="O433" s="5" t="e">
        <f>SUMIF(#REF!,$A433,#REF!)+SUMIF(#REF!,$A433,#REF!)</f>
        <v>#REF!</v>
      </c>
      <c r="P433" s="5">
        <f>IFERROR(VLOOKUP($A433,#REF!,2,FALSE),0)</f>
        <v>0</v>
      </c>
      <c r="Q433" s="42" t="e">
        <f t="shared" si="6"/>
        <v>#REF!</v>
      </c>
    </row>
    <row r="434" spans="1:17">
      <c r="A434" s="56" t="s">
        <v>1057</v>
      </c>
      <c r="B434" s="7" t="s">
        <v>561</v>
      </c>
      <c r="C434" s="7" t="s">
        <v>2251</v>
      </c>
      <c r="D434" s="7" t="s">
        <v>12</v>
      </c>
      <c r="E434" s="7" t="s">
        <v>122</v>
      </c>
      <c r="F434" s="7" t="s">
        <v>444</v>
      </c>
      <c r="G434" s="7" t="s">
        <v>444</v>
      </c>
      <c r="H434" s="7" t="s">
        <v>444</v>
      </c>
      <c r="I434" s="7" t="s">
        <v>1614</v>
      </c>
      <c r="J434" s="7" t="s">
        <v>2288</v>
      </c>
      <c r="K434" s="5">
        <f>SUMIF(BC!$E$6:$E$347,$A434,BC!$K$6:$K$347)</f>
        <v>0</v>
      </c>
      <c r="L434" s="5" t="e">
        <f>SUMIF(#REF!,$A434,#REF!)+SUMIF(#REF!,$A434,#REF!)</f>
        <v>#REF!</v>
      </c>
      <c r="M434" s="5" t="e">
        <f>SUMIF(#REF!,Casilleros!$A434,#REF!)+SUMIF(#REF!,Casilleros!$A434,#REF!)+SUMIF(#REF!,$A434,#REF!)</f>
        <v>#REF!</v>
      </c>
      <c r="N434" s="5" t="e">
        <f>SUMIF(#REF!,$A434,#REF!)</f>
        <v>#REF!</v>
      </c>
      <c r="O434" s="5" t="e">
        <f>SUMIF(#REF!,$A434,#REF!)+SUMIF(#REF!,$A434,#REF!)</f>
        <v>#REF!</v>
      </c>
      <c r="P434" s="5">
        <f>IFERROR(VLOOKUP($A434,#REF!,2,FALSE),0)</f>
        <v>0</v>
      </c>
      <c r="Q434" s="42" t="e">
        <f t="shared" si="6"/>
        <v>#REF!</v>
      </c>
    </row>
    <row r="435" spans="1:17">
      <c r="A435" s="56" t="s">
        <v>1062</v>
      </c>
      <c r="B435" s="7" t="s">
        <v>561</v>
      </c>
      <c r="C435" s="7" t="s">
        <v>2252</v>
      </c>
      <c r="D435" s="7" t="s">
        <v>1060</v>
      </c>
      <c r="E435" s="7" t="s">
        <v>1061</v>
      </c>
      <c r="F435" s="7" t="s">
        <v>705</v>
      </c>
      <c r="G435" s="7" t="s">
        <v>72</v>
      </c>
      <c r="H435" s="7" t="s">
        <v>25</v>
      </c>
      <c r="I435" s="7" t="s">
        <v>1615</v>
      </c>
      <c r="J435" s="1" t="s">
        <v>2245</v>
      </c>
      <c r="K435" s="5">
        <f>SUMIF(BC!$E$6:$E$347,$A435,BC!$K$6:$K$347)</f>
        <v>0</v>
      </c>
      <c r="L435" s="5" t="e">
        <f>SUMIF(#REF!,$A435,#REF!)+SUMIF(#REF!,$A435,#REF!)</f>
        <v>#REF!</v>
      </c>
      <c r="M435" s="5" t="e">
        <f>SUMIF(#REF!,Casilleros!$A435,#REF!)+SUMIF(#REF!,Casilleros!$A435,#REF!)+SUMIF(#REF!,$A435,#REF!)</f>
        <v>#REF!</v>
      </c>
      <c r="N435" s="5" t="e">
        <f>SUMIF(#REF!,$A435,#REF!)</f>
        <v>#REF!</v>
      </c>
      <c r="O435" s="5" t="e">
        <f>SUMIF(#REF!,$A435,#REF!)+SUMIF(#REF!,$A435,#REF!)</f>
        <v>#REF!</v>
      </c>
      <c r="P435" s="5">
        <f>IFERROR(VLOOKUP($A435,#REF!,2,FALSE),0)</f>
        <v>0</v>
      </c>
      <c r="Q435" s="42" t="e">
        <f t="shared" si="6"/>
        <v>#REF!</v>
      </c>
    </row>
    <row r="436" spans="1:17">
      <c r="A436" s="56" t="s">
        <v>1064</v>
      </c>
      <c r="B436" s="7" t="s">
        <v>561</v>
      </c>
      <c r="C436" s="7" t="s">
        <v>2252</v>
      </c>
      <c r="D436" s="7" t="s">
        <v>1060</v>
      </c>
      <c r="E436" s="7" t="s">
        <v>1061</v>
      </c>
      <c r="F436" s="7" t="s">
        <v>705</v>
      </c>
      <c r="G436" s="7" t="s">
        <v>72</v>
      </c>
      <c r="H436" s="7" t="s">
        <v>26</v>
      </c>
      <c r="I436" s="7" t="s">
        <v>1616</v>
      </c>
      <c r="J436" s="1" t="s">
        <v>2245</v>
      </c>
      <c r="K436" s="5">
        <f>SUMIF(BC!$E$6:$E$347,$A436,BC!$K$6:$K$347)</f>
        <v>0</v>
      </c>
      <c r="L436" s="5" t="e">
        <f>SUMIF(#REF!,$A436,#REF!)+SUMIF(#REF!,$A436,#REF!)</f>
        <v>#REF!</v>
      </c>
      <c r="M436" s="5" t="e">
        <f>SUMIF(#REF!,Casilleros!$A436,#REF!)+SUMIF(#REF!,Casilleros!$A436,#REF!)+SUMIF(#REF!,$A436,#REF!)</f>
        <v>#REF!</v>
      </c>
      <c r="N436" s="5" t="e">
        <f>SUMIF(#REF!,$A436,#REF!)</f>
        <v>#REF!</v>
      </c>
      <c r="O436" s="5" t="e">
        <f>SUMIF(#REF!,$A436,#REF!)+SUMIF(#REF!,$A436,#REF!)</f>
        <v>#REF!</v>
      </c>
      <c r="P436" s="5">
        <f>IFERROR(VLOOKUP($A436,#REF!,2,FALSE),0)</f>
        <v>0</v>
      </c>
      <c r="Q436" s="42" t="e">
        <f t="shared" si="6"/>
        <v>#REF!</v>
      </c>
    </row>
    <row r="437" spans="1:17">
      <c r="A437" s="56" t="s">
        <v>1066</v>
      </c>
      <c r="B437" s="7" t="s">
        <v>561</v>
      </c>
      <c r="C437" s="7" t="s">
        <v>2252</v>
      </c>
      <c r="D437" s="7" t="s">
        <v>1060</v>
      </c>
      <c r="E437" s="7" t="s">
        <v>1061</v>
      </c>
      <c r="F437" s="7" t="s">
        <v>705</v>
      </c>
      <c r="G437" s="7" t="s">
        <v>78</v>
      </c>
      <c r="H437" s="7" t="s">
        <v>25</v>
      </c>
      <c r="I437" s="7" t="s">
        <v>1617</v>
      </c>
      <c r="J437" s="1" t="s">
        <v>2245</v>
      </c>
      <c r="K437" s="5">
        <f>SUMIF(BC!$E$6:$E$347,$A437,BC!$K$6:$K$347)</f>
        <v>0</v>
      </c>
      <c r="L437" s="5" t="e">
        <f>SUMIF(#REF!,$A437,#REF!)+SUMIF(#REF!,$A437,#REF!)</f>
        <v>#REF!</v>
      </c>
      <c r="M437" s="5" t="e">
        <f>SUMIF(#REF!,Casilleros!$A437,#REF!)+SUMIF(#REF!,Casilleros!$A437,#REF!)+SUMIF(#REF!,$A437,#REF!)</f>
        <v>#REF!</v>
      </c>
      <c r="N437" s="5" t="e">
        <f>SUMIF(#REF!,$A437,#REF!)</f>
        <v>#REF!</v>
      </c>
      <c r="O437" s="5" t="e">
        <f>SUMIF(#REF!,$A437,#REF!)+SUMIF(#REF!,$A437,#REF!)</f>
        <v>#REF!</v>
      </c>
      <c r="P437" s="5">
        <f>IFERROR(VLOOKUP($A437,#REF!,2,FALSE),0)</f>
        <v>0</v>
      </c>
      <c r="Q437" s="42" t="e">
        <f t="shared" si="6"/>
        <v>#REF!</v>
      </c>
    </row>
    <row r="438" spans="1:17">
      <c r="A438" s="56" t="s">
        <v>1068</v>
      </c>
      <c r="B438" s="7" t="s">
        <v>561</v>
      </c>
      <c r="C438" s="7" t="s">
        <v>2252</v>
      </c>
      <c r="D438" s="7" t="s">
        <v>1060</v>
      </c>
      <c r="E438" s="7" t="s">
        <v>1061</v>
      </c>
      <c r="F438" s="7" t="s">
        <v>705</v>
      </c>
      <c r="G438" s="7" t="s">
        <v>78</v>
      </c>
      <c r="H438" s="7" t="s">
        <v>26</v>
      </c>
      <c r="I438" s="7" t="s">
        <v>1618</v>
      </c>
      <c r="J438" s="1" t="s">
        <v>2245</v>
      </c>
      <c r="K438" s="5">
        <f>SUMIF(BC!$E$6:$E$347,$A438,BC!$K$6:$K$347)</f>
        <v>0</v>
      </c>
      <c r="L438" s="5" t="e">
        <f>SUMIF(#REF!,$A438,#REF!)+SUMIF(#REF!,$A438,#REF!)</f>
        <v>#REF!</v>
      </c>
      <c r="M438" s="5" t="e">
        <f>SUMIF(#REF!,Casilleros!$A438,#REF!)+SUMIF(#REF!,Casilleros!$A438,#REF!)+SUMIF(#REF!,$A438,#REF!)</f>
        <v>#REF!</v>
      </c>
      <c r="N438" s="5" t="e">
        <f>SUMIF(#REF!,$A438,#REF!)</f>
        <v>#REF!</v>
      </c>
      <c r="O438" s="5" t="e">
        <f>SUMIF(#REF!,$A438,#REF!)+SUMIF(#REF!,$A438,#REF!)</f>
        <v>#REF!</v>
      </c>
      <c r="P438" s="5">
        <f>IFERROR(VLOOKUP($A438,#REF!,2,FALSE),0)</f>
        <v>0</v>
      </c>
      <c r="Q438" s="42" t="e">
        <f t="shared" si="6"/>
        <v>#REF!</v>
      </c>
    </row>
    <row r="439" spans="1:17">
      <c r="A439" s="56" t="s">
        <v>1071</v>
      </c>
      <c r="B439" s="7" t="s">
        <v>561</v>
      </c>
      <c r="C439" s="7" t="s">
        <v>2252</v>
      </c>
      <c r="D439" s="7" t="s">
        <v>1060</v>
      </c>
      <c r="E439" s="7" t="s">
        <v>1061</v>
      </c>
      <c r="F439" s="7" t="s">
        <v>1070</v>
      </c>
      <c r="G439" s="7" t="s">
        <v>72</v>
      </c>
      <c r="H439" s="7" t="s">
        <v>25</v>
      </c>
      <c r="I439" s="7" t="s">
        <v>1619</v>
      </c>
      <c r="J439" s="1" t="s">
        <v>2245</v>
      </c>
      <c r="K439" s="5">
        <f>SUMIF(BC!$E$6:$E$347,$A439,BC!$K$6:$K$347)</f>
        <v>0</v>
      </c>
      <c r="L439" s="5" t="e">
        <f>SUMIF(#REF!,$A439,#REF!)+SUMIF(#REF!,$A439,#REF!)</f>
        <v>#REF!</v>
      </c>
      <c r="M439" s="5" t="e">
        <f>SUMIF(#REF!,Casilleros!$A439,#REF!)+SUMIF(#REF!,Casilleros!$A439,#REF!)+SUMIF(#REF!,$A439,#REF!)</f>
        <v>#REF!</v>
      </c>
      <c r="N439" s="5" t="e">
        <f>SUMIF(#REF!,$A439,#REF!)</f>
        <v>#REF!</v>
      </c>
      <c r="O439" s="5" t="e">
        <f>SUMIF(#REF!,$A439,#REF!)+SUMIF(#REF!,$A439,#REF!)</f>
        <v>#REF!</v>
      </c>
      <c r="P439" s="5">
        <f>IFERROR(VLOOKUP($A439,#REF!,2,FALSE),0)</f>
        <v>0</v>
      </c>
      <c r="Q439" s="42" t="e">
        <f t="shared" si="6"/>
        <v>#REF!</v>
      </c>
    </row>
    <row r="440" spans="1:17">
      <c r="A440" s="56" t="s">
        <v>1073</v>
      </c>
      <c r="B440" s="7" t="s">
        <v>561</v>
      </c>
      <c r="C440" s="7" t="s">
        <v>2252</v>
      </c>
      <c r="D440" s="7" t="s">
        <v>1060</v>
      </c>
      <c r="E440" s="7" t="s">
        <v>1061</v>
      </c>
      <c r="F440" s="7" t="s">
        <v>1070</v>
      </c>
      <c r="G440" s="7" t="s">
        <v>72</v>
      </c>
      <c r="H440" s="7" t="s">
        <v>26</v>
      </c>
      <c r="I440" s="7" t="s">
        <v>1620</v>
      </c>
      <c r="J440" s="1" t="s">
        <v>2245</v>
      </c>
      <c r="K440" s="5">
        <f>SUMIF(BC!$E$6:$E$347,$A440,BC!$K$6:$K$347)</f>
        <v>0</v>
      </c>
      <c r="L440" s="5" t="e">
        <f>SUMIF(#REF!,$A440,#REF!)+SUMIF(#REF!,$A440,#REF!)</f>
        <v>#REF!</v>
      </c>
      <c r="M440" s="5" t="e">
        <f>SUMIF(#REF!,Casilleros!$A440,#REF!)+SUMIF(#REF!,Casilleros!$A440,#REF!)+SUMIF(#REF!,$A440,#REF!)</f>
        <v>#REF!</v>
      </c>
      <c r="N440" s="5" t="e">
        <f>SUMIF(#REF!,$A440,#REF!)</f>
        <v>#REF!</v>
      </c>
      <c r="O440" s="5" t="e">
        <f>SUMIF(#REF!,$A440,#REF!)+SUMIF(#REF!,$A440,#REF!)</f>
        <v>#REF!</v>
      </c>
      <c r="P440" s="5">
        <f>IFERROR(VLOOKUP($A440,#REF!,2,FALSE),0)</f>
        <v>0</v>
      </c>
      <c r="Q440" s="42" t="e">
        <f t="shared" si="6"/>
        <v>#REF!</v>
      </c>
    </row>
    <row r="441" spans="1:17">
      <c r="A441" s="56" t="s">
        <v>1075</v>
      </c>
      <c r="B441" s="7" t="s">
        <v>561</v>
      </c>
      <c r="C441" s="7" t="s">
        <v>2252</v>
      </c>
      <c r="D441" s="7" t="s">
        <v>1060</v>
      </c>
      <c r="E441" s="7" t="s">
        <v>1061</v>
      </c>
      <c r="F441" s="7" t="s">
        <v>1070</v>
      </c>
      <c r="G441" s="7" t="s">
        <v>78</v>
      </c>
      <c r="H441" s="7" t="s">
        <v>25</v>
      </c>
      <c r="I441" s="7" t="s">
        <v>1621</v>
      </c>
      <c r="J441" s="1" t="s">
        <v>2245</v>
      </c>
      <c r="K441" s="5" t="e">
        <f>SUMIF(BC!$E$6:$E$347,$A441,BC!$K$6:$K$347)</f>
        <v>#REF!</v>
      </c>
      <c r="L441" s="5" t="e">
        <f>SUMIF(#REF!,$A441,#REF!)+SUMIF(#REF!,$A441,#REF!)</f>
        <v>#REF!</v>
      </c>
      <c r="M441" s="5" t="e">
        <f>SUMIF(#REF!,Casilleros!$A441,#REF!)+SUMIF(#REF!,Casilleros!$A441,#REF!)+SUMIF(#REF!,$A441,#REF!)</f>
        <v>#REF!</v>
      </c>
      <c r="N441" s="5" t="e">
        <f>SUMIF(#REF!,$A441,#REF!)</f>
        <v>#REF!</v>
      </c>
      <c r="O441" s="5" t="e">
        <f>SUMIF(#REF!,$A441,#REF!)+SUMIF(#REF!,$A441,#REF!)</f>
        <v>#REF!</v>
      </c>
      <c r="P441" s="5">
        <f>IFERROR(VLOOKUP($A441,#REF!,2,FALSE),0)</f>
        <v>0</v>
      </c>
      <c r="Q441" s="42" t="e">
        <f t="shared" si="6"/>
        <v>#REF!</v>
      </c>
    </row>
    <row r="442" spans="1:17">
      <c r="A442" s="56" t="s">
        <v>1077</v>
      </c>
      <c r="B442" s="7" t="s">
        <v>561</v>
      </c>
      <c r="C442" s="7" t="s">
        <v>2252</v>
      </c>
      <c r="D442" s="7" t="s">
        <v>1060</v>
      </c>
      <c r="E442" s="7" t="s">
        <v>1061</v>
      </c>
      <c r="F442" s="7" t="s">
        <v>1070</v>
      </c>
      <c r="G442" s="7" t="s">
        <v>78</v>
      </c>
      <c r="H442" s="7" t="s">
        <v>26</v>
      </c>
      <c r="I442" s="7" t="s">
        <v>1622</v>
      </c>
      <c r="J442" s="1" t="s">
        <v>2245</v>
      </c>
      <c r="K442" s="5">
        <f>SUMIF(BC!$E$6:$E$347,$A442,BC!$K$6:$K$347)</f>
        <v>0</v>
      </c>
      <c r="L442" s="5" t="e">
        <f>SUMIF(#REF!,$A442,#REF!)+SUMIF(#REF!,$A442,#REF!)</f>
        <v>#REF!</v>
      </c>
      <c r="M442" s="5" t="e">
        <f>SUMIF(#REF!,Casilleros!$A442,#REF!)+SUMIF(#REF!,Casilleros!$A442,#REF!)+SUMIF(#REF!,$A442,#REF!)</f>
        <v>#REF!</v>
      </c>
      <c r="N442" s="5" t="e">
        <f>SUMIF(#REF!,$A442,#REF!)</f>
        <v>#REF!</v>
      </c>
      <c r="O442" s="5" t="e">
        <f>SUMIF(#REF!,$A442,#REF!)+SUMIF(#REF!,$A442,#REF!)</f>
        <v>#REF!</v>
      </c>
      <c r="P442" s="5">
        <f>IFERROR(VLOOKUP($A442,#REF!,2,FALSE),0)</f>
        <v>0</v>
      </c>
      <c r="Q442" s="42" t="e">
        <f t="shared" si="6"/>
        <v>#REF!</v>
      </c>
    </row>
    <row r="443" spans="1:17">
      <c r="A443" s="56" t="s">
        <v>1079</v>
      </c>
      <c r="B443" s="7" t="s">
        <v>561</v>
      </c>
      <c r="C443" s="7" t="s">
        <v>2252</v>
      </c>
      <c r="D443" s="7" t="s">
        <v>1060</v>
      </c>
      <c r="E443" s="7" t="s">
        <v>1061</v>
      </c>
      <c r="F443" s="7" t="s">
        <v>723</v>
      </c>
      <c r="G443" s="7" t="s">
        <v>72</v>
      </c>
      <c r="H443" s="7" t="s">
        <v>25</v>
      </c>
      <c r="I443" s="7" t="s">
        <v>1623</v>
      </c>
      <c r="J443" s="1" t="s">
        <v>2245</v>
      </c>
      <c r="K443" s="5">
        <f>SUMIF(BC!$E$6:$E$347,$A443,BC!$K$6:$K$347)</f>
        <v>0</v>
      </c>
      <c r="L443" s="5" t="e">
        <f>SUMIF(#REF!,$A443,#REF!)+SUMIF(#REF!,$A443,#REF!)</f>
        <v>#REF!</v>
      </c>
      <c r="M443" s="5" t="e">
        <f>SUMIF(#REF!,Casilleros!$A443,#REF!)+SUMIF(#REF!,Casilleros!$A443,#REF!)+SUMIF(#REF!,$A443,#REF!)</f>
        <v>#REF!</v>
      </c>
      <c r="N443" s="5" t="e">
        <f>SUMIF(#REF!,$A443,#REF!)</f>
        <v>#REF!</v>
      </c>
      <c r="O443" s="5" t="e">
        <f>SUMIF(#REF!,$A443,#REF!)+SUMIF(#REF!,$A443,#REF!)</f>
        <v>#REF!</v>
      </c>
      <c r="P443" s="5">
        <f>IFERROR(VLOOKUP($A443,#REF!,2,FALSE),0)</f>
        <v>0</v>
      </c>
      <c r="Q443" s="42" t="e">
        <f t="shared" si="6"/>
        <v>#REF!</v>
      </c>
    </row>
    <row r="444" spans="1:17">
      <c r="A444" s="56" t="s">
        <v>1081</v>
      </c>
      <c r="B444" s="7" t="s">
        <v>561</v>
      </c>
      <c r="C444" s="7" t="s">
        <v>2252</v>
      </c>
      <c r="D444" s="7" t="s">
        <v>1060</v>
      </c>
      <c r="E444" s="7" t="s">
        <v>1061</v>
      </c>
      <c r="F444" s="7" t="s">
        <v>723</v>
      </c>
      <c r="G444" s="7" t="s">
        <v>72</v>
      </c>
      <c r="H444" s="7" t="s">
        <v>26</v>
      </c>
      <c r="I444" s="7" t="s">
        <v>1624</v>
      </c>
      <c r="J444" s="1" t="s">
        <v>2245</v>
      </c>
      <c r="K444" s="5">
        <f>SUMIF(BC!$E$6:$E$347,$A444,BC!$K$6:$K$347)</f>
        <v>0</v>
      </c>
      <c r="L444" s="5" t="e">
        <f>SUMIF(#REF!,$A444,#REF!)+SUMIF(#REF!,$A444,#REF!)</f>
        <v>#REF!</v>
      </c>
      <c r="M444" s="5" t="e">
        <f>SUMIF(#REF!,Casilleros!$A444,#REF!)+SUMIF(#REF!,Casilleros!$A444,#REF!)+SUMIF(#REF!,$A444,#REF!)</f>
        <v>#REF!</v>
      </c>
      <c r="N444" s="5" t="e">
        <f>SUMIF(#REF!,$A444,#REF!)</f>
        <v>#REF!</v>
      </c>
      <c r="O444" s="5" t="e">
        <f>SUMIF(#REF!,$A444,#REF!)+SUMIF(#REF!,$A444,#REF!)</f>
        <v>#REF!</v>
      </c>
      <c r="P444" s="5">
        <f>IFERROR(VLOOKUP($A444,#REF!,2,FALSE),0)</f>
        <v>0</v>
      </c>
      <c r="Q444" s="42" t="e">
        <f t="shared" si="6"/>
        <v>#REF!</v>
      </c>
    </row>
    <row r="445" spans="1:17">
      <c r="A445" s="56" t="s">
        <v>1083</v>
      </c>
      <c r="B445" s="7" t="s">
        <v>561</v>
      </c>
      <c r="C445" s="7" t="s">
        <v>2252</v>
      </c>
      <c r="D445" s="7" t="s">
        <v>1060</v>
      </c>
      <c r="E445" s="7" t="s">
        <v>1061</v>
      </c>
      <c r="F445" s="7" t="s">
        <v>723</v>
      </c>
      <c r="G445" s="7" t="s">
        <v>78</v>
      </c>
      <c r="H445" s="7" t="s">
        <v>25</v>
      </c>
      <c r="I445" s="7" t="s">
        <v>1625</v>
      </c>
      <c r="J445" s="1" t="s">
        <v>2245</v>
      </c>
      <c r="K445" s="5">
        <f>SUMIF(BC!$E$6:$E$347,$A445,BC!$K$6:$K$347)</f>
        <v>0</v>
      </c>
      <c r="L445" s="5" t="e">
        <f>SUMIF(#REF!,$A445,#REF!)+SUMIF(#REF!,$A445,#REF!)</f>
        <v>#REF!</v>
      </c>
      <c r="M445" s="5" t="e">
        <f>SUMIF(#REF!,Casilleros!$A445,#REF!)+SUMIF(#REF!,Casilleros!$A445,#REF!)+SUMIF(#REF!,$A445,#REF!)</f>
        <v>#REF!</v>
      </c>
      <c r="N445" s="5" t="e">
        <f>SUMIF(#REF!,$A445,#REF!)</f>
        <v>#REF!</v>
      </c>
      <c r="O445" s="5" t="e">
        <f>SUMIF(#REF!,$A445,#REF!)+SUMIF(#REF!,$A445,#REF!)</f>
        <v>#REF!</v>
      </c>
      <c r="P445" s="5">
        <f>IFERROR(VLOOKUP($A445,#REF!,2,FALSE),0)</f>
        <v>0</v>
      </c>
      <c r="Q445" s="42" t="e">
        <f t="shared" si="6"/>
        <v>#REF!</v>
      </c>
    </row>
    <row r="446" spans="1:17">
      <c r="A446" s="56" t="s">
        <v>1085</v>
      </c>
      <c r="B446" s="7" t="s">
        <v>561</v>
      </c>
      <c r="C446" s="7" t="s">
        <v>2252</v>
      </c>
      <c r="D446" s="7" t="s">
        <v>1060</v>
      </c>
      <c r="E446" s="7" t="s">
        <v>1061</v>
      </c>
      <c r="F446" s="7" t="s">
        <v>723</v>
      </c>
      <c r="G446" s="7" t="s">
        <v>78</v>
      </c>
      <c r="H446" s="7" t="s">
        <v>26</v>
      </c>
      <c r="I446" s="7" t="s">
        <v>1626</v>
      </c>
      <c r="J446" s="1" t="s">
        <v>2245</v>
      </c>
      <c r="K446" s="5">
        <f>SUMIF(BC!$E$6:$E$347,$A446,BC!$K$6:$K$347)</f>
        <v>0</v>
      </c>
      <c r="L446" s="5" t="e">
        <f>SUMIF(#REF!,$A446,#REF!)+SUMIF(#REF!,$A446,#REF!)</f>
        <v>#REF!</v>
      </c>
      <c r="M446" s="5" t="e">
        <f>SUMIF(#REF!,Casilleros!$A446,#REF!)+SUMIF(#REF!,Casilleros!$A446,#REF!)+SUMIF(#REF!,$A446,#REF!)</f>
        <v>#REF!</v>
      </c>
      <c r="N446" s="5" t="e">
        <f>SUMIF(#REF!,$A446,#REF!)</f>
        <v>#REF!</v>
      </c>
      <c r="O446" s="5" t="e">
        <f>SUMIF(#REF!,$A446,#REF!)+SUMIF(#REF!,$A446,#REF!)</f>
        <v>#REF!</v>
      </c>
      <c r="P446" s="5">
        <f>IFERROR(VLOOKUP($A446,#REF!,2,FALSE),0)</f>
        <v>0</v>
      </c>
      <c r="Q446" s="42" t="e">
        <f t="shared" si="6"/>
        <v>#REF!</v>
      </c>
    </row>
    <row r="447" spans="1:17">
      <c r="A447" s="56" t="s">
        <v>1088</v>
      </c>
      <c r="B447" s="7" t="s">
        <v>561</v>
      </c>
      <c r="C447" s="7" t="s">
        <v>2252</v>
      </c>
      <c r="D447" s="7" t="s">
        <v>1060</v>
      </c>
      <c r="E447" s="7" t="s">
        <v>1061</v>
      </c>
      <c r="F447" s="7" t="s">
        <v>1087</v>
      </c>
      <c r="G447" s="7" t="s">
        <v>72</v>
      </c>
      <c r="H447" s="7" t="s">
        <v>25</v>
      </c>
      <c r="I447" s="7" t="s">
        <v>1627</v>
      </c>
      <c r="J447" s="1" t="s">
        <v>2245</v>
      </c>
      <c r="K447" s="5">
        <f>SUMIF(BC!$E$6:$E$347,$A447,BC!$K$6:$K$347)</f>
        <v>0</v>
      </c>
      <c r="L447" s="5" t="e">
        <f>SUMIF(#REF!,$A447,#REF!)+SUMIF(#REF!,$A447,#REF!)</f>
        <v>#REF!</v>
      </c>
      <c r="M447" s="5" t="e">
        <f>SUMIF(#REF!,Casilleros!$A447,#REF!)+SUMIF(#REF!,Casilleros!$A447,#REF!)+SUMIF(#REF!,$A447,#REF!)</f>
        <v>#REF!</v>
      </c>
      <c r="N447" s="5" t="e">
        <f>SUMIF(#REF!,$A447,#REF!)</f>
        <v>#REF!</v>
      </c>
      <c r="O447" s="5" t="e">
        <f>SUMIF(#REF!,$A447,#REF!)+SUMIF(#REF!,$A447,#REF!)</f>
        <v>#REF!</v>
      </c>
      <c r="P447" s="5">
        <f>IFERROR(VLOOKUP($A447,#REF!,2,FALSE),0)</f>
        <v>0</v>
      </c>
      <c r="Q447" s="42" t="e">
        <f t="shared" si="6"/>
        <v>#REF!</v>
      </c>
    </row>
    <row r="448" spans="1:17">
      <c r="A448" s="56" t="s">
        <v>1090</v>
      </c>
      <c r="B448" s="7" t="s">
        <v>561</v>
      </c>
      <c r="C448" s="7" t="s">
        <v>2252</v>
      </c>
      <c r="D448" s="7" t="s">
        <v>1060</v>
      </c>
      <c r="E448" s="7" t="s">
        <v>1061</v>
      </c>
      <c r="F448" s="7" t="s">
        <v>1087</v>
      </c>
      <c r="G448" s="7" t="s">
        <v>72</v>
      </c>
      <c r="H448" s="7" t="s">
        <v>26</v>
      </c>
      <c r="I448" s="7" t="s">
        <v>1628</v>
      </c>
      <c r="J448" s="1" t="s">
        <v>2245</v>
      </c>
      <c r="K448" s="5">
        <f>SUMIF(BC!$E$6:$E$347,$A448,BC!$K$6:$K$347)</f>
        <v>0</v>
      </c>
      <c r="L448" s="5" t="e">
        <f>SUMIF(#REF!,$A448,#REF!)+SUMIF(#REF!,$A448,#REF!)</f>
        <v>#REF!</v>
      </c>
      <c r="M448" s="5" t="e">
        <f>SUMIF(#REF!,Casilleros!$A448,#REF!)+SUMIF(#REF!,Casilleros!$A448,#REF!)+SUMIF(#REF!,$A448,#REF!)</f>
        <v>#REF!</v>
      </c>
      <c r="N448" s="5" t="e">
        <f>SUMIF(#REF!,$A448,#REF!)</f>
        <v>#REF!</v>
      </c>
      <c r="O448" s="5" t="e">
        <f>SUMIF(#REF!,$A448,#REF!)+SUMIF(#REF!,$A448,#REF!)</f>
        <v>#REF!</v>
      </c>
      <c r="P448" s="5">
        <f>IFERROR(VLOOKUP($A448,#REF!,2,FALSE),0)</f>
        <v>0</v>
      </c>
      <c r="Q448" s="42" t="e">
        <f t="shared" si="6"/>
        <v>#REF!</v>
      </c>
    </row>
    <row r="449" spans="1:17">
      <c r="A449" s="56" t="s">
        <v>1092</v>
      </c>
      <c r="B449" s="7" t="s">
        <v>561</v>
      </c>
      <c r="C449" s="7" t="s">
        <v>2252</v>
      </c>
      <c r="D449" s="7" t="s">
        <v>1060</v>
      </c>
      <c r="E449" s="7" t="s">
        <v>1061</v>
      </c>
      <c r="F449" s="7" t="s">
        <v>1087</v>
      </c>
      <c r="G449" s="7" t="s">
        <v>78</v>
      </c>
      <c r="H449" s="7" t="s">
        <v>25</v>
      </c>
      <c r="I449" s="7" t="s">
        <v>1629</v>
      </c>
      <c r="J449" s="1" t="s">
        <v>2245</v>
      </c>
      <c r="K449" s="5">
        <f>SUMIF(BC!$E$6:$E$347,$A449,BC!$K$6:$K$347)</f>
        <v>0</v>
      </c>
      <c r="L449" s="5" t="e">
        <f>SUMIF(#REF!,$A449,#REF!)+SUMIF(#REF!,$A449,#REF!)</f>
        <v>#REF!</v>
      </c>
      <c r="M449" s="5" t="e">
        <f>SUMIF(#REF!,Casilleros!$A449,#REF!)+SUMIF(#REF!,Casilleros!$A449,#REF!)+SUMIF(#REF!,$A449,#REF!)</f>
        <v>#REF!</v>
      </c>
      <c r="N449" s="5" t="e">
        <f>SUMIF(#REF!,$A449,#REF!)</f>
        <v>#REF!</v>
      </c>
      <c r="O449" s="5" t="e">
        <f>SUMIF(#REF!,$A449,#REF!)+SUMIF(#REF!,$A449,#REF!)</f>
        <v>#REF!</v>
      </c>
      <c r="P449" s="5">
        <f>IFERROR(VLOOKUP($A449,#REF!,2,FALSE),0)</f>
        <v>0</v>
      </c>
      <c r="Q449" s="42" t="e">
        <f t="shared" si="6"/>
        <v>#REF!</v>
      </c>
    </row>
    <row r="450" spans="1:17">
      <c r="A450" s="56" t="s">
        <v>1094</v>
      </c>
      <c r="B450" s="7" t="s">
        <v>561</v>
      </c>
      <c r="C450" s="7" t="s">
        <v>2252</v>
      </c>
      <c r="D450" s="7" t="s">
        <v>1060</v>
      </c>
      <c r="E450" s="7" t="s">
        <v>1061</v>
      </c>
      <c r="F450" s="7" t="s">
        <v>1087</v>
      </c>
      <c r="G450" s="7" t="s">
        <v>78</v>
      </c>
      <c r="H450" s="7" t="s">
        <v>26</v>
      </c>
      <c r="I450" s="7" t="s">
        <v>1630</v>
      </c>
      <c r="J450" s="1" t="s">
        <v>2245</v>
      </c>
      <c r="K450" s="5">
        <f>SUMIF(BC!$E$6:$E$347,$A450,BC!$K$6:$K$347)</f>
        <v>0</v>
      </c>
      <c r="L450" s="5" t="e">
        <f>SUMIF(#REF!,$A450,#REF!)+SUMIF(#REF!,$A450,#REF!)</f>
        <v>#REF!</v>
      </c>
      <c r="M450" s="5" t="e">
        <f>SUMIF(#REF!,Casilleros!$A450,#REF!)+SUMIF(#REF!,Casilleros!$A450,#REF!)+SUMIF(#REF!,$A450,#REF!)</f>
        <v>#REF!</v>
      </c>
      <c r="N450" s="5" t="e">
        <f>SUMIF(#REF!,$A450,#REF!)</f>
        <v>#REF!</v>
      </c>
      <c r="O450" s="5" t="e">
        <f>SUMIF(#REF!,$A450,#REF!)+SUMIF(#REF!,$A450,#REF!)</f>
        <v>#REF!</v>
      </c>
      <c r="P450" s="5">
        <f>IFERROR(VLOOKUP($A450,#REF!,2,FALSE),0)</f>
        <v>0</v>
      </c>
      <c r="Q450" s="42" t="e">
        <f t="shared" si="6"/>
        <v>#REF!</v>
      </c>
    </row>
    <row r="451" spans="1:17">
      <c r="A451" s="56" t="s">
        <v>1097</v>
      </c>
      <c r="B451" s="7" t="s">
        <v>561</v>
      </c>
      <c r="C451" s="7" t="s">
        <v>2252</v>
      </c>
      <c r="D451" s="7" t="s">
        <v>1060</v>
      </c>
      <c r="E451" s="7" t="s">
        <v>1061</v>
      </c>
      <c r="F451" s="7" t="s">
        <v>1096</v>
      </c>
      <c r="G451" s="7" t="s">
        <v>444</v>
      </c>
      <c r="H451" s="7" t="s">
        <v>444</v>
      </c>
      <c r="I451" s="7" t="s">
        <v>1631</v>
      </c>
      <c r="J451" s="1" t="s">
        <v>2245</v>
      </c>
      <c r="K451" s="5">
        <f>SUMIF(BC!$E$6:$E$347,$A451,BC!$K$6:$K$347)</f>
        <v>0</v>
      </c>
      <c r="L451" s="5" t="e">
        <f>SUMIF(#REF!,$A451,#REF!)+SUMIF(#REF!,$A451,#REF!)</f>
        <v>#REF!</v>
      </c>
      <c r="M451" s="5" t="e">
        <f>SUMIF(#REF!,Casilleros!$A451,#REF!)+SUMIF(#REF!,Casilleros!$A451,#REF!)+SUMIF(#REF!,$A451,#REF!)</f>
        <v>#REF!</v>
      </c>
      <c r="N451" s="5" t="e">
        <f>SUMIF(#REF!,$A451,#REF!)</f>
        <v>#REF!</v>
      </c>
      <c r="O451" s="5" t="e">
        <f>SUMIF(#REF!,$A451,#REF!)+SUMIF(#REF!,$A451,#REF!)</f>
        <v>#REF!</v>
      </c>
      <c r="P451" s="5">
        <f>IFERROR(VLOOKUP($A451,#REF!,2,FALSE),0)</f>
        <v>0</v>
      </c>
      <c r="Q451" s="42" t="e">
        <f t="shared" si="6"/>
        <v>#REF!</v>
      </c>
    </row>
    <row r="452" spans="1:17">
      <c r="A452" s="56" t="s">
        <v>1100</v>
      </c>
      <c r="B452" s="7" t="s">
        <v>561</v>
      </c>
      <c r="C452" s="7" t="s">
        <v>2252</v>
      </c>
      <c r="D452" s="7" t="s">
        <v>1060</v>
      </c>
      <c r="E452" s="7" t="s">
        <v>1061</v>
      </c>
      <c r="F452" s="7" t="s">
        <v>1099</v>
      </c>
      <c r="G452" s="7" t="s">
        <v>444</v>
      </c>
      <c r="H452" s="7" t="s">
        <v>444</v>
      </c>
      <c r="I452" s="7" t="s">
        <v>1632</v>
      </c>
      <c r="J452" s="1" t="s">
        <v>2245</v>
      </c>
      <c r="K452" s="5">
        <f>SUMIF(BC!$E$6:$E$347,$A452,BC!$K$6:$K$347)</f>
        <v>0</v>
      </c>
      <c r="L452" s="5" t="e">
        <f>SUMIF(#REF!,$A452,#REF!)+SUMIF(#REF!,$A452,#REF!)</f>
        <v>#REF!</v>
      </c>
      <c r="M452" s="5" t="e">
        <f>SUMIF(#REF!,Casilleros!$A452,#REF!)+SUMIF(#REF!,Casilleros!$A452,#REF!)+SUMIF(#REF!,$A452,#REF!)</f>
        <v>#REF!</v>
      </c>
      <c r="N452" s="5" t="e">
        <f>SUMIF(#REF!,$A452,#REF!)</f>
        <v>#REF!</v>
      </c>
      <c r="O452" s="5" t="e">
        <f>SUMIF(#REF!,$A452,#REF!)+SUMIF(#REF!,$A452,#REF!)</f>
        <v>#REF!</v>
      </c>
      <c r="P452" s="5">
        <f>IFERROR(VLOOKUP($A452,#REF!,2,FALSE),0)</f>
        <v>0</v>
      </c>
      <c r="Q452" s="42" t="e">
        <f t="shared" si="6"/>
        <v>#REF!</v>
      </c>
    </row>
    <row r="453" spans="1:17">
      <c r="A453" s="56" t="s">
        <v>1102</v>
      </c>
      <c r="B453" s="7" t="s">
        <v>561</v>
      </c>
      <c r="C453" s="7" t="s">
        <v>2252</v>
      </c>
      <c r="D453" s="7" t="s">
        <v>1060</v>
      </c>
      <c r="E453" s="7" t="s">
        <v>1061</v>
      </c>
      <c r="F453" s="7" t="s">
        <v>122</v>
      </c>
      <c r="G453" s="7" t="s">
        <v>444</v>
      </c>
      <c r="H453" s="7" t="s">
        <v>444</v>
      </c>
      <c r="I453" s="7" t="s">
        <v>1633</v>
      </c>
      <c r="J453" s="1" t="s">
        <v>2245</v>
      </c>
      <c r="K453" s="5">
        <f>SUMIF(BC!$E$6:$E$347,$A453,BC!$K$6:$K$347)</f>
        <v>0</v>
      </c>
      <c r="L453" s="5" t="e">
        <f>SUMIF(#REF!,$A453,#REF!)+SUMIF(#REF!,$A453,#REF!)</f>
        <v>#REF!</v>
      </c>
      <c r="M453" s="5" t="e">
        <f>SUMIF(#REF!,Casilleros!$A453,#REF!)+SUMIF(#REF!,Casilleros!$A453,#REF!)+SUMIF(#REF!,$A453,#REF!)</f>
        <v>#REF!</v>
      </c>
      <c r="N453" s="5" t="e">
        <f>SUMIF(#REF!,$A453,#REF!)</f>
        <v>#REF!</v>
      </c>
      <c r="O453" s="5" t="e">
        <f>SUMIF(#REF!,$A453,#REF!)+SUMIF(#REF!,$A453,#REF!)</f>
        <v>#REF!</v>
      </c>
      <c r="P453" s="5">
        <f>IFERROR(VLOOKUP($A453,#REF!,2,FALSE),0)</f>
        <v>0</v>
      </c>
      <c r="Q453" s="42" t="e">
        <f t="shared" si="6"/>
        <v>#REF!</v>
      </c>
    </row>
    <row r="454" spans="1:17">
      <c r="A454" s="56" t="s">
        <v>1105</v>
      </c>
      <c r="B454" s="7" t="s">
        <v>561</v>
      </c>
      <c r="C454" s="7" t="s">
        <v>2252</v>
      </c>
      <c r="D454" s="7" t="s">
        <v>1060</v>
      </c>
      <c r="E454" s="7" t="s">
        <v>1104</v>
      </c>
      <c r="F454" s="7" t="s">
        <v>444</v>
      </c>
      <c r="G454" s="7" t="s">
        <v>444</v>
      </c>
      <c r="H454" s="7" t="s">
        <v>444</v>
      </c>
      <c r="I454" s="7" t="s">
        <v>1634</v>
      </c>
      <c r="J454" s="1" t="s">
        <v>2245</v>
      </c>
      <c r="K454" s="5">
        <f>SUMIF(BC!$E$6:$E$347,$A454,BC!$K$6:$K$347)</f>
        <v>0</v>
      </c>
      <c r="L454" s="5" t="e">
        <f>SUMIF(#REF!,$A454,#REF!)+SUMIF(#REF!,$A454,#REF!)</f>
        <v>#REF!</v>
      </c>
      <c r="M454" s="5" t="e">
        <f>SUMIF(#REF!,Casilleros!$A454,#REF!)+SUMIF(#REF!,Casilleros!$A454,#REF!)+SUMIF(#REF!,$A454,#REF!)</f>
        <v>#REF!</v>
      </c>
      <c r="N454" s="5" t="e">
        <f>SUMIF(#REF!,$A454,#REF!)</f>
        <v>#REF!</v>
      </c>
      <c r="O454" s="5" t="e">
        <f>SUMIF(#REF!,$A454,#REF!)+SUMIF(#REF!,$A454,#REF!)</f>
        <v>#REF!</v>
      </c>
      <c r="P454" s="5">
        <f>IFERROR(VLOOKUP($A454,#REF!,2,FALSE),0)</f>
        <v>0</v>
      </c>
      <c r="Q454" s="42" t="e">
        <f t="shared" ref="Q454:Q517" si="7">SUM(K454:P454)</f>
        <v>#REF!</v>
      </c>
    </row>
    <row r="455" spans="1:17">
      <c r="A455" s="56" t="s">
        <v>1107</v>
      </c>
      <c r="B455" s="7" t="s">
        <v>561</v>
      </c>
      <c r="C455" s="7" t="s">
        <v>2252</v>
      </c>
      <c r="D455" s="7" t="s">
        <v>1060</v>
      </c>
      <c r="E455" s="7" t="s">
        <v>122</v>
      </c>
      <c r="F455" s="7" t="s">
        <v>444</v>
      </c>
      <c r="G455" s="7" t="s">
        <v>444</v>
      </c>
      <c r="H455" s="7" t="s">
        <v>444</v>
      </c>
      <c r="I455" s="7" t="s">
        <v>1635</v>
      </c>
      <c r="J455" s="1" t="s">
        <v>2245</v>
      </c>
      <c r="K455" s="5">
        <f>SUMIF(BC!$E$6:$E$347,$A455,BC!$K$6:$K$347)</f>
        <v>0</v>
      </c>
      <c r="L455" s="5" t="e">
        <f>SUMIF(#REF!,$A455,#REF!)+SUMIF(#REF!,$A455,#REF!)</f>
        <v>#REF!</v>
      </c>
      <c r="M455" s="5" t="e">
        <f>SUMIF(#REF!,Casilleros!$A455,#REF!)+SUMIF(#REF!,Casilleros!$A455,#REF!)+SUMIF(#REF!,$A455,#REF!)</f>
        <v>#REF!</v>
      </c>
      <c r="N455" s="5" t="e">
        <f>SUMIF(#REF!,$A455,#REF!)</f>
        <v>#REF!</v>
      </c>
      <c r="O455" s="5" t="e">
        <f>SUMIF(#REF!,$A455,#REF!)+SUMIF(#REF!,$A455,#REF!)</f>
        <v>#REF!</v>
      </c>
      <c r="P455" s="5">
        <f>IFERROR(VLOOKUP($A455,#REF!,2,FALSE),0)</f>
        <v>0</v>
      </c>
      <c r="Q455" s="42" t="e">
        <f t="shared" si="7"/>
        <v>#REF!</v>
      </c>
    </row>
    <row r="456" spans="1:17">
      <c r="A456" s="56" t="s">
        <v>1110</v>
      </c>
      <c r="B456" s="7" t="s">
        <v>561</v>
      </c>
      <c r="C456" s="7" t="s">
        <v>2252</v>
      </c>
      <c r="D456" s="7" t="s">
        <v>1109</v>
      </c>
      <c r="E456" s="7" t="s">
        <v>444</v>
      </c>
      <c r="F456" s="7" t="s">
        <v>444</v>
      </c>
      <c r="G456" s="7" t="s">
        <v>444</v>
      </c>
      <c r="H456" s="7" t="s">
        <v>444</v>
      </c>
      <c r="I456" s="7" t="s">
        <v>1636</v>
      </c>
      <c r="J456" s="1" t="s">
        <v>2246</v>
      </c>
      <c r="K456" s="5">
        <f>SUMIF(BC!$E$6:$E$347,$A456,BC!$K$6:$K$347)</f>
        <v>0</v>
      </c>
      <c r="L456" s="5" t="e">
        <f>SUMIF(#REF!,$A456,#REF!)+SUMIF(#REF!,$A456,#REF!)</f>
        <v>#REF!</v>
      </c>
      <c r="M456" s="5" t="e">
        <f>SUMIF(#REF!,Casilleros!$A456,#REF!)+SUMIF(#REF!,Casilleros!$A456,#REF!)+SUMIF(#REF!,$A456,#REF!)</f>
        <v>#REF!</v>
      </c>
      <c r="N456" s="5" t="e">
        <f>SUMIF(#REF!,$A456,#REF!)</f>
        <v>#REF!</v>
      </c>
      <c r="O456" s="5" t="e">
        <f>SUMIF(#REF!,$A456,#REF!)+SUMIF(#REF!,$A456,#REF!)</f>
        <v>#REF!</v>
      </c>
      <c r="P456" s="5">
        <f>IFERROR(VLOOKUP($A456,#REF!,2,FALSE),0)</f>
        <v>0</v>
      </c>
      <c r="Q456" s="42" t="e">
        <f t="shared" si="7"/>
        <v>#REF!</v>
      </c>
    </row>
    <row r="457" spans="1:17">
      <c r="A457" s="56" t="s">
        <v>1113</v>
      </c>
      <c r="B457" s="7" t="s">
        <v>561</v>
      </c>
      <c r="C457" s="7" t="s">
        <v>1112</v>
      </c>
      <c r="D457" s="7" t="s">
        <v>444</v>
      </c>
      <c r="E457" s="7" t="s">
        <v>444</v>
      </c>
      <c r="F457" s="7" t="s">
        <v>444</v>
      </c>
      <c r="G457" s="7" t="s">
        <v>444</v>
      </c>
      <c r="H457" s="7" t="s">
        <v>444</v>
      </c>
      <c r="I457" s="7" t="s">
        <v>1112</v>
      </c>
      <c r="K457" s="5">
        <f>SUMIF(BC!$E$6:$E$347,$A457,BC!$K$6:$K$347)</f>
        <v>0</v>
      </c>
      <c r="L457" s="5" t="e">
        <f>SUMIF(#REF!,$A457,#REF!)+SUMIF(#REF!,$A457,#REF!)</f>
        <v>#REF!</v>
      </c>
      <c r="M457" s="5" t="e">
        <f>SUMIF(#REF!,Casilleros!$A457,#REF!)+SUMIF(#REF!,Casilleros!$A457,#REF!)+SUMIF(#REF!,$A457,#REF!)</f>
        <v>#REF!</v>
      </c>
      <c r="N457" s="5" t="e">
        <f>SUMIF(#REF!,$A457,#REF!)</f>
        <v>#REF!</v>
      </c>
      <c r="O457" s="5" t="e">
        <f>SUMIF(#REF!,$A457,#REF!)+SUMIF(#REF!,$A457,#REF!)</f>
        <v>#REF!</v>
      </c>
      <c r="P457" s="5">
        <f>IFERROR(VLOOKUP($A457,#REF!,2,FALSE),0)</f>
        <v>0</v>
      </c>
      <c r="Q457" s="42" t="e">
        <f t="shared" si="7"/>
        <v>#REF!</v>
      </c>
    </row>
    <row r="458" spans="1:17">
      <c r="A458" s="56" t="s">
        <v>1115</v>
      </c>
      <c r="B458" s="7" t="s">
        <v>561</v>
      </c>
      <c r="C458" s="7" t="s">
        <v>1114</v>
      </c>
      <c r="D458" s="7" t="s">
        <v>444</v>
      </c>
      <c r="E458" s="7" t="s">
        <v>444</v>
      </c>
      <c r="F458" s="7" t="s">
        <v>444</v>
      </c>
      <c r="G458" s="7" t="s">
        <v>444</v>
      </c>
      <c r="H458" s="7" t="s">
        <v>444</v>
      </c>
      <c r="I458" s="7" t="s">
        <v>1114</v>
      </c>
      <c r="K458" s="5">
        <f>SUMIF(BC!$E$6:$E$347,$A458,BC!$K$6:$K$347)</f>
        <v>0</v>
      </c>
      <c r="L458" s="5" t="e">
        <f>SUMIF(#REF!,$A458,#REF!)+SUMIF(#REF!,$A458,#REF!)</f>
        <v>#REF!</v>
      </c>
      <c r="M458" s="5" t="e">
        <f>SUMIF(#REF!,Casilleros!$A458,#REF!)+SUMIF(#REF!,Casilleros!$A458,#REF!)+SUMIF(#REF!,$A458,#REF!)</f>
        <v>#REF!</v>
      </c>
      <c r="N458" s="5" t="e">
        <f>SUMIF(#REF!,$A458,#REF!)</f>
        <v>#REF!</v>
      </c>
      <c r="O458" s="5" t="e">
        <f>SUMIF(#REF!,$A458,#REF!)+SUMIF(#REF!,$A458,#REF!)</f>
        <v>#REF!</v>
      </c>
      <c r="P458" s="5">
        <f>IFERROR(VLOOKUP($A458,#REF!,2,FALSE),0)</f>
        <v>0</v>
      </c>
      <c r="Q458" s="42" t="e">
        <f t="shared" si="7"/>
        <v>#REF!</v>
      </c>
    </row>
    <row r="459" spans="1:17">
      <c r="A459" s="56" t="s">
        <v>1117</v>
      </c>
      <c r="B459" s="7" t="s">
        <v>561</v>
      </c>
      <c r="C459" s="7" t="s">
        <v>1116</v>
      </c>
      <c r="D459" s="7" t="s">
        <v>444</v>
      </c>
      <c r="E459" s="7" t="s">
        <v>444</v>
      </c>
      <c r="F459" s="7" t="s">
        <v>444</v>
      </c>
      <c r="G459" s="7" t="s">
        <v>444</v>
      </c>
      <c r="H459" s="7" t="s">
        <v>444</v>
      </c>
      <c r="I459" s="7" t="s">
        <v>1116</v>
      </c>
      <c r="K459" s="5">
        <f>SUMIF(BC!$E$6:$E$347,$A459,BC!$K$6:$K$347)</f>
        <v>0</v>
      </c>
      <c r="L459" s="5" t="e">
        <f>SUMIF(#REF!,$A459,#REF!)+SUMIF(#REF!,$A459,#REF!)</f>
        <v>#REF!</v>
      </c>
      <c r="M459" s="5" t="e">
        <f>SUMIF(#REF!,Casilleros!$A459,#REF!)+SUMIF(#REF!,Casilleros!$A459,#REF!)+SUMIF(#REF!,$A459,#REF!)</f>
        <v>#REF!</v>
      </c>
      <c r="N459" s="5" t="e">
        <f>SUMIF(#REF!,$A459,#REF!)</f>
        <v>#REF!</v>
      </c>
      <c r="O459" s="5" t="e">
        <f>SUMIF(#REF!,$A459,#REF!)+SUMIF(#REF!,$A459,#REF!)</f>
        <v>#REF!</v>
      </c>
      <c r="P459" s="5">
        <f>IFERROR(VLOOKUP($A459,#REF!,2,FALSE),0)</f>
        <v>0</v>
      </c>
      <c r="Q459" s="42" t="e">
        <f t="shared" si="7"/>
        <v>#REF!</v>
      </c>
    </row>
    <row r="460" spans="1:17">
      <c r="A460" s="56" t="s">
        <v>1119</v>
      </c>
      <c r="B460" s="7" t="s">
        <v>561</v>
      </c>
      <c r="C460" s="7" t="s">
        <v>1118</v>
      </c>
      <c r="D460" s="7" t="s">
        <v>444</v>
      </c>
      <c r="E460" s="7" t="s">
        <v>444</v>
      </c>
      <c r="F460" s="7" t="s">
        <v>444</v>
      </c>
      <c r="G460" s="7" t="s">
        <v>444</v>
      </c>
      <c r="H460" s="7" t="s">
        <v>444</v>
      </c>
      <c r="I460" s="7" t="s">
        <v>1118</v>
      </c>
      <c r="K460" s="5">
        <f>SUMIF(BC!$E$6:$E$347,$A460,BC!$K$6:$K$347)</f>
        <v>0</v>
      </c>
      <c r="L460" s="5" t="e">
        <f>SUMIF(#REF!,$A460,#REF!)+SUMIF(#REF!,$A460,#REF!)</f>
        <v>#REF!</v>
      </c>
      <c r="M460" s="5" t="e">
        <f>SUMIF(#REF!,Casilleros!$A460,#REF!)+SUMIF(#REF!,Casilleros!$A460,#REF!)+SUMIF(#REF!,$A460,#REF!)</f>
        <v>#REF!</v>
      </c>
      <c r="N460" s="5" t="e">
        <f>SUMIF(#REF!,$A460,#REF!)</f>
        <v>#REF!</v>
      </c>
      <c r="O460" s="5" t="e">
        <f>SUMIF(#REF!,$A460,#REF!)+SUMIF(#REF!,$A460,#REF!)</f>
        <v>#REF!</v>
      </c>
      <c r="P460" s="5">
        <f>IFERROR(VLOOKUP($A460,#REF!,2,FALSE),0)</f>
        <v>0</v>
      </c>
      <c r="Q460" s="42" t="e">
        <f t="shared" si="7"/>
        <v>#REF!</v>
      </c>
    </row>
    <row r="461" spans="1:17">
      <c r="A461" s="56" t="s">
        <v>1121</v>
      </c>
      <c r="B461" s="7" t="s">
        <v>561</v>
      </c>
      <c r="C461" s="7" t="s">
        <v>1120</v>
      </c>
      <c r="D461" s="7" t="s">
        <v>444</v>
      </c>
      <c r="E461" s="7" t="s">
        <v>444</v>
      </c>
      <c r="F461" s="7" t="s">
        <v>444</v>
      </c>
      <c r="G461" s="7" t="s">
        <v>444</v>
      </c>
      <c r="H461" s="7" t="s">
        <v>444</v>
      </c>
      <c r="I461" s="7" t="s">
        <v>1120</v>
      </c>
      <c r="K461" s="5">
        <f>SUMIF(BC!$E$6:$E$347,$A461,BC!$K$6:$K$347)</f>
        <v>0</v>
      </c>
      <c r="L461" s="5" t="e">
        <f>SUMIF(#REF!,$A461,#REF!)+SUMIF(#REF!,$A461,#REF!)</f>
        <v>#REF!</v>
      </c>
      <c r="M461" s="5" t="e">
        <f>SUMIF(#REF!,Casilleros!$A461,#REF!)+SUMIF(#REF!,Casilleros!$A461,#REF!)+SUMIF(#REF!,$A461,#REF!)</f>
        <v>#REF!</v>
      </c>
      <c r="N461" s="5" t="e">
        <f>SUMIF(#REF!,$A461,#REF!)</f>
        <v>#REF!</v>
      </c>
      <c r="O461" s="5" t="e">
        <f>SUMIF(#REF!,$A461,#REF!)+SUMIF(#REF!,$A461,#REF!)</f>
        <v>#REF!</v>
      </c>
      <c r="P461" s="5">
        <f>IFERROR(VLOOKUP($A461,#REF!,2,FALSE),0)</f>
        <v>0</v>
      </c>
      <c r="Q461" s="42" t="e">
        <f t="shared" si="7"/>
        <v>#REF!</v>
      </c>
    </row>
    <row r="462" spans="1:17">
      <c r="A462" s="56" t="s">
        <v>1123</v>
      </c>
      <c r="B462" s="7" t="s">
        <v>561</v>
      </c>
      <c r="C462" s="7" t="s">
        <v>1122</v>
      </c>
      <c r="D462" s="7" t="s">
        <v>444</v>
      </c>
      <c r="E462" s="7" t="s">
        <v>444</v>
      </c>
      <c r="F462" s="7" t="s">
        <v>444</v>
      </c>
      <c r="G462" s="7" t="s">
        <v>444</v>
      </c>
      <c r="H462" s="7" t="s">
        <v>444</v>
      </c>
      <c r="I462" s="7" t="s">
        <v>1122</v>
      </c>
      <c r="K462" s="5">
        <f>SUMIF(BC!$E$6:$E$347,$A462,BC!$K$6:$K$347)</f>
        <v>0</v>
      </c>
      <c r="L462" s="5" t="e">
        <f>SUMIF(#REF!,$A462,#REF!)+SUMIF(#REF!,$A462,#REF!)</f>
        <v>#REF!</v>
      </c>
      <c r="M462" s="5" t="e">
        <f>SUMIF(#REF!,Casilleros!$A462,#REF!)+SUMIF(#REF!,Casilleros!$A462,#REF!)+SUMIF(#REF!,$A462,#REF!)</f>
        <v>#REF!</v>
      </c>
      <c r="N462" s="5" t="e">
        <f>SUMIF(#REF!,$A462,#REF!)</f>
        <v>#REF!</v>
      </c>
      <c r="O462" s="5" t="e">
        <f>SUMIF(#REF!,$A462,#REF!)+SUMIF(#REF!,$A462,#REF!)</f>
        <v>#REF!</v>
      </c>
      <c r="P462" s="5">
        <f>IFERROR(VLOOKUP($A462,#REF!,2,FALSE),0)</f>
        <v>0</v>
      </c>
      <c r="Q462" s="42" t="e">
        <f t="shared" si="7"/>
        <v>#REF!</v>
      </c>
    </row>
    <row r="463" spans="1:17">
      <c r="A463" s="56" t="s">
        <v>1125</v>
      </c>
      <c r="B463" s="7" t="s">
        <v>561</v>
      </c>
      <c r="C463" s="7" t="s">
        <v>1124</v>
      </c>
      <c r="D463" s="7" t="s">
        <v>444</v>
      </c>
      <c r="E463" s="7" t="s">
        <v>444</v>
      </c>
      <c r="F463" s="7" t="s">
        <v>444</v>
      </c>
      <c r="G463" s="7" t="s">
        <v>444</v>
      </c>
      <c r="H463" s="7" t="s">
        <v>444</v>
      </c>
      <c r="I463" s="7" t="s">
        <v>1124</v>
      </c>
      <c r="K463" s="5">
        <f>SUMIF(BC!$E$6:$E$347,$A463,BC!$K$6:$K$347)</f>
        <v>0</v>
      </c>
      <c r="L463" s="5" t="e">
        <f>SUMIF(#REF!,$A463,#REF!)+SUMIF(#REF!,$A463,#REF!)</f>
        <v>#REF!</v>
      </c>
      <c r="M463" s="5" t="e">
        <f>SUMIF(#REF!,Casilleros!$A463,#REF!)+SUMIF(#REF!,Casilleros!$A463,#REF!)+SUMIF(#REF!,$A463,#REF!)</f>
        <v>#REF!</v>
      </c>
      <c r="N463" s="5" t="e">
        <f>SUMIF(#REF!,$A463,#REF!)</f>
        <v>#REF!</v>
      </c>
      <c r="O463" s="5" t="e">
        <f>SUMIF(#REF!,$A463,#REF!)+SUMIF(#REF!,$A463,#REF!)</f>
        <v>#REF!</v>
      </c>
      <c r="P463" s="5">
        <f>IFERROR(VLOOKUP($A463,#REF!,2,FALSE),0)</f>
        <v>0</v>
      </c>
      <c r="Q463" s="42" t="e">
        <f t="shared" si="7"/>
        <v>#REF!</v>
      </c>
    </row>
    <row r="464" spans="1:17">
      <c r="A464" s="56" t="s">
        <v>1127</v>
      </c>
      <c r="B464" s="7" t="s">
        <v>561</v>
      </c>
      <c r="C464" s="7" t="s">
        <v>1126</v>
      </c>
      <c r="D464" s="7" t="s">
        <v>444</v>
      </c>
      <c r="E464" s="7" t="s">
        <v>444</v>
      </c>
      <c r="F464" s="7" t="s">
        <v>444</v>
      </c>
      <c r="G464" s="7" t="s">
        <v>444</v>
      </c>
      <c r="H464" s="7" t="s">
        <v>444</v>
      </c>
      <c r="I464" s="7" t="s">
        <v>1126</v>
      </c>
      <c r="K464" s="5">
        <f>SUMIF(BC!$E$6:$E$347,$A464,BC!$K$6:$K$347)</f>
        <v>0</v>
      </c>
      <c r="L464" s="5" t="e">
        <f>SUMIF(#REF!,$A464,#REF!)+SUMIF(#REF!,$A464,#REF!)</f>
        <v>#REF!</v>
      </c>
      <c r="M464" s="5" t="e">
        <f>SUMIF(#REF!,Casilleros!$A464,#REF!)+SUMIF(#REF!,Casilleros!$A464,#REF!)+SUMIF(#REF!,$A464,#REF!)</f>
        <v>#REF!</v>
      </c>
      <c r="N464" s="5" t="e">
        <f>SUMIF(#REF!,$A464,#REF!)</f>
        <v>#REF!</v>
      </c>
      <c r="O464" s="5" t="e">
        <f>SUMIF(#REF!,$A464,#REF!)+SUMIF(#REF!,$A464,#REF!)</f>
        <v>#REF!</v>
      </c>
      <c r="P464" s="5">
        <f>IFERROR(VLOOKUP($A464,#REF!,2,FALSE),0)</f>
        <v>0</v>
      </c>
      <c r="Q464" s="42" t="e">
        <f t="shared" si="7"/>
        <v>#REF!</v>
      </c>
    </row>
    <row r="465" spans="1:17">
      <c r="A465" s="56" t="s">
        <v>1129</v>
      </c>
      <c r="B465" s="7" t="s">
        <v>561</v>
      </c>
      <c r="C465" s="7" t="s">
        <v>1128</v>
      </c>
      <c r="D465" s="7" t="s">
        <v>444</v>
      </c>
      <c r="E465" s="7" t="s">
        <v>444</v>
      </c>
      <c r="F465" s="7" t="s">
        <v>444</v>
      </c>
      <c r="G465" s="7" t="s">
        <v>444</v>
      </c>
      <c r="H465" s="7" t="s">
        <v>444</v>
      </c>
      <c r="I465" s="7" t="s">
        <v>1128</v>
      </c>
      <c r="K465" s="5">
        <f>SUMIF(BC!$E$6:$E$347,$A465,BC!$K$6:$K$347)</f>
        <v>0</v>
      </c>
      <c r="L465" s="5" t="e">
        <f>SUMIF(#REF!,$A465,#REF!)+SUMIF(#REF!,$A465,#REF!)</f>
        <v>#REF!</v>
      </c>
      <c r="M465" s="5" t="e">
        <f>SUMIF(#REF!,Casilleros!$A465,#REF!)+SUMIF(#REF!,Casilleros!$A465,#REF!)+SUMIF(#REF!,$A465,#REF!)</f>
        <v>#REF!</v>
      </c>
      <c r="N465" s="5" t="e">
        <f>SUMIF(#REF!,$A465,#REF!)</f>
        <v>#REF!</v>
      </c>
      <c r="O465" s="5" t="e">
        <f>SUMIF(#REF!,$A465,#REF!)+SUMIF(#REF!,$A465,#REF!)</f>
        <v>#REF!</v>
      </c>
      <c r="P465" s="5">
        <f>IFERROR(VLOOKUP($A465,#REF!,2,FALSE),0)</f>
        <v>0</v>
      </c>
      <c r="Q465" s="42" t="e">
        <f t="shared" si="7"/>
        <v>#REF!</v>
      </c>
    </row>
    <row r="466" spans="1:17">
      <c r="A466" s="56" t="s">
        <v>1131</v>
      </c>
      <c r="B466" s="7" t="s">
        <v>561</v>
      </c>
      <c r="C466" s="7" t="s">
        <v>1130</v>
      </c>
      <c r="D466" s="7" t="s">
        <v>444</v>
      </c>
      <c r="E466" s="7" t="s">
        <v>444</v>
      </c>
      <c r="F466" s="7" t="s">
        <v>444</v>
      </c>
      <c r="G466" s="7" t="s">
        <v>444</v>
      </c>
      <c r="H466" s="7" t="s">
        <v>444</v>
      </c>
      <c r="I466" s="7" t="s">
        <v>1130</v>
      </c>
      <c r="K466" s="5">
        <f>SUMIF(BC!$E$6:$E$347,$A466,BC!$K$6:$K$347)</f>
        <v>0</v>
      </c>
      <c r="L466" s="5" t="e">
        <f>SUMIF(#REF!,$A466,#REF!)+SUMIF(#REF!,$A466,#REF!)</f>
        <v>#REF!</v>
      </c>
      <c r="M466" s="5" t="e">
        <f>SUMIF(#REF!,Casilleros!$A466,#REF!)+SUMIF(#REF!,Casilleros!$A466,#REF!)+SUMIF(#REF!,$A466,#REF!)</f>
        <v>#REF!</v>
      </c>
      <c r="N466" s="5" t="e">
        <f>SUMIF(#REF!,$A466,#REF!)</f>
        <v>#REF!</v>
      </c>
      <c r="O466" s="5" t="e">
        <f>SUMIF(#REF!,$A466,#REF!)+SUMIF(#REF!,$A466,#REF!)</f>
        <v>#REF!</v>
      </c>
      <c r="P466" s="5">
        <f>IFERROR(VLOOKUP($A466,#REF!,2,FALSE),0)</f>
        <v>0</v>
      </c>
      <c r="Q466" s="42" t="e">
        <f t="shared" si="7"/>
        <v>#REF!</v>
      </c>
    </row>
    <row r="467" spans="1:17">
      <c r="A467" s="56" t="s">
        <v>1133</v>
      </c>
      <c r="B467" s="7" t="s">
        <v>561</v>
      </c>
      <c r="C467" s="7" t="s">
        <v>1132</v>
      </c>
      <c r="D467" s="7" t="s">
        <v>444</v>
      </c>
      <c r="E467" s="7" t="s">
        <v>444</v>
      </c>
      <c r="F467" s="7" t="s">
        <v>444</v>
      </c>
      <c r="G467" s="7" t="s">
        <v>444</v>
      </c>
      <c r="H467" s="7" t="s">
        <v>444</v>
      </c>
      <c r="I467" s="7" t="s">
        <v>1132</v>
      </c>
      <c r="K467" s="5">
        <f>SUMIF(BC!$E$6:$E$347,$A467,BC!$K$6:$K$347)</f>
        <v>0</v>
      </c>
      <c r="L467" s="5" t="e">
        <f>SUMIF(#REF!,$A467,#REF!)+SUMIF(#REF!,$A467,#REF!)</f>
        <v>#REF!</v>
      </c>
      <c r="M467" s="5" t="e">
        <f>SUMIF(#REF!,Casilleros!$A467,#REF!)+SUMIF(#REF!,Casilleros!$A467,#REF!)+SUMIF(#REF!,$A467,#REF!)</f>
        <v>#REF!</v>
      </c>
      <c r="N467" s="5" t="e">
        <f>SUMIF(#REF!,$A467,#REF!)</f>
        <v>#REF!</v>
      </c>
      <c r="O467" s="5" t="e">
        <f>SUMIF(#REF!,$A467,#REF!)+SUMIF(#REF!,$A467,#REF!)</f>
        <v>#REF!</v>
      </c>
      <c r="P467" s="5">
        <f>IFERROR(VLOOKUP($A467,#REF!,2,FALSE),0)</f>
        <v>0</v>
      </c>
      <c r="Q467" s="42" t="e">
        <f t="shared" si="7"/>
        <v>#REF!</v>
      </c>
    </row>
    <row r="468" spans="1:17">
      <c r="A468" s="56" t="s">
        <v>1134</v>
      </c>
      <c r="B468" s="7" t="s">
        <v>28</v>
      </c>
      <c r="C468" s="7" t="s">
        <v>9</v>
      </c>
      <c r="D468" s="7" t="s">
        <v>444</v>
      </c>
      <c r="E468" s="7" t="s">
        <v>444</v>
      </c>
      <c r="F468" s="7" t="s">
        <v>444</v>
      </c>
      <c r="G468" s="7" t="s">
        <v>444</v>
      </c>
      <c r="H468" s="7" t="s">
        <v>444</v>
      </c>
      <c r="I468" s="7" t="s">
        <v>9</v>
      </c>
      <c r="K468" s="5">
        <f>SUMIF(BC!$E$6:$E$347,$A468,BC!$K$6:$K$347)</f>
        <v>0</v>
      </c>
      <c r="L468" s="5" t="e">
        <f>SUMIF(#REF!,$A468,#REF!)+SUMIF(#REF!,$A468,#REF!)</f>
        <v>#REF!</v>
      </c>
      <c r="M468" s="5" t="e">
        <f>SUMIF(#REF!,Casilleros!$A468,#REF!)+SUMIF(#REF!,Casilleros!$A468,#REF!)+SUMIF(#REF!,$A468,#REF!)</f>
        <v>#REF!</v>
      </c>
      <c r="N468" s="5" t="e">
        <f>SUMIF(#REF!,$A468,#REF!)</f>
        <v>#REF!</v>
      </c>
      <c r="O468" s="5" t="e">
        <f>SUMIF(#REF!,$A468,#REF!)+SUMIF(#REF!,$A468,#REF!)</f>
        <v>#REF!</v>
      </c>
      <c r="P468" s="5">
        <f>IFERROR(VLOOKUP($A468,#REF!,2,FALSE),0)</f>
        <v>0</v>
      </c>
      <c r="Q468" s="42" t="e">
        <f t="shared" si="7"/>
        <v>#REF!</v>
      </c>
    </row>
    <row r="469" spans="1:17">
      <c r="A469" s="56" t="s">
        <v>1136</v>
      </c>
      <c r="B469" s="7" t="s">
        <v>28</v>
      </c>
      <c r="C469" s="7" t="s">
        <v>1135</v>
      </c>
      <c r="D469" s="7" t="s">
        <v>444</v>
      </c>
      <c r="E469" s="7" t="s">
        <v>444</v>
      </c>
      <c r="F469" s="7" t="s">
        <v>444</v>
      </c>
      <c r="G469" s="7" t="s">
        <v>444</v>
      </c>
      <c r="H469" s="7" t="s">
        <v>444</v>
      </c>
      <c r="I469" s="7" t="s">
        <v>1135</v>
      </c>
      <c r="K469" s="5">
        <f>SUMIF(BC!$E$6:$E$347,$A469,BC!$K$6:$K$347)</f>
        <v>0</v>
      </c>
      <c r="L469" s="5" t="e">
        <f>SUMIF(#REF!,$A469,#REF!)+SUMIF(#REF!,$A469,#REF!)</f>
        <v>#REF!</v>
      </c>
      <c r="M469" s="5" t="e">
        <f>SUMIF(#REF!,Casilleros!$A469,#REF!)+SUMIF(#REF!,Casilleros!$A469,#REF!)+SUMIF(#REF!,$A469,#REF!)</f>
        <v>#REF!</v>
      </c>
      <c r="N469" s="5" t="e">
        <f>SUMIF(#REF!,$A469,#REF!)</f>
        <v>#REF!</v>
      </c>
      <c r="O469" s="5" t="e">
        <f>SUMIF(#REF!,$A469,#REF!)+SUMIF(#REF!,$A469,#REF!)</f>
        <v>#REF!</v>
      </c>
      <c r="P469" s="5">
        <f>IFERROR(VLOOKUP($A469,#REF!,2,FALSE),0)</f>
        <v>0</v>
      </c>
      <c r="Q469" s="42" t="e">
        <f t="shared" si="7"/>
        <v>#REF!</v>
      </c>
    </row>
    <row r="470" spans="1:17">
      <c r="A470" s="56" t="s">
        <v>1140</v>
      </c>
      <c r="B470" s="7" t="s">
        <v>28</v>
      </c>
      <c r="C470" s="7" t="s">
        <v>1369</v>
      </c>
      <c r="D470" s="7" t="s">
        <v>21</v>
      </c>
      <c r="E470" s="7" t="s">
        <v>1139</v>
      </c>
      <c r="F470" s="7" t="s">
        <v>444</v>
      </c>
      <c r="G470" s="7" t="s">
        <v>444</v>
      </c>
      <c r="H470" s="7" t="s">
        <v>444</v>
      </c>
      <c r="I470" s="7" t="s">
        <v>1457</v>
      </c>
      <c r="K470" s="5">
        <f>SUMIF(BC!$E$6:$E$347,$A470,BC!$K$6:$K$347)</f>
        <v>0</v>
      </c>
      <c r="L470" s="5" t="e">
        <f>SUMIF(#REF!,$A470,#REF!)+SUMIF(#REF!,$A470,#REF!)</f>
        <v>#REF!</v>
      </c>
      <c r="M470" s="5" t="e">
        <f>SUMIF(#REF!,Casilleros!$A470,#REF!)+SUMIF(#REF!,Casilleros!$A470,#REF!)+SUMIF(#REF!,$A470,#REF!)</f>
        <v>#REF!</v>
      </c>
      <c r="N470" s="5" t="e">
        <f>SUMIF(#REF!,$A470,#REF!)</f>
        <v>#REF!</v>
      </c>
      <c r="O470" s="5" t="e">
        <f>SUMIF(#REF!,$A470,#REF!)+SUMIF(#REF!,$A470,#REF!)</f>
        <v>#REF!</v>
      </c>
      <c r="P470" s="5">
        <f>IFERROR(VLOOKUP($A470,#REF!,2,FALSE),0)</f>
        <v>0</v>
      </c>
      <c r="Q470" s="42" t="e">
        <f t="shared" si="7"/>
        <v>#REF!</v>
      </c>
    </row>
    <row r="471" spans="1:17">
      <c r="A471" s="56" t="s">
        <v>1143</v>
      </c>
      <c r="B471" s="7" t="s">
        <v>28</v>
      </c>
      <c r="C471" s="7" t="s">
        <v>1369</v>
      </c>
      <c r="D471" s="7" t="s">
        <v>21</v>
      </c>
      <c r="E471" s="7" t="s">
        <v>1142</v>
      </c>
      <c r="F471" s="7" t="s">
        <v>444</v>
      </c>
      <c r="G471" s="7" t="s">
        <v>444</v>
      </c>
      <c r="H471" s="7" t="s">
        <v>444</v>
      </c>
      <c r="I471" s="7" t="s">
        <v>1458</v>
      </c>
      <c r="K471" s="5">
        <f>SUMIF(BC!$E$6:$E$347,$A471,BC!$K$6:$K$347)</f>
        <v>0</v>
      </c>
      <c r="L471" s="5" t="e">
        <f>SUMIF(#REF!,$A471,#REF!)+SUMIF(#REF!,$A471,#REF!)</f>
        <v>#REF!</v>
      </c>
      <c r="M471" s="5" t="e">
        <f>SUMIF(#REF!,Casilleros!$A471,#REF!)+SUMIF(#REF!,Casilleros!$A471,#REF!)+SUMIF(#REF!,$A471,#REF!)</f>
        <v>#REF!</v>
      </c>
      <c r="N471" s="5" t="e">
        <f>SUMIF(#REF!,$A471,#REF!)</f>
        <v>#REF!</v>
      </c>
      <c r="O471" s="5" t="e">
        <f>SUMIF(#REF!,$A471,#REF!)+SUMIF(#REF!,$A471,#REF!)</f>
        <v>#REF!</v>
      </c>
      <c r="P471" s="5">
        <f>IFERROR(VLOOKUP($A471,#REF!,2,FALSE),0)</f>
        <v>0</v>
      </c>
      <c r="Q471" s="42" t="e">
        <f t="shared" si="7"/>
        <v>#REF!</v>
      </c>
    </row>
    <row r="472" spans="1:17">
      <c r="A472" s="56" t="s">
        <v>23</v>
      </c>
      <c r="B472" s="7" t="s">
        <v>28</v>
      </c>
      <c r="C472" s="7" t="s">
        <v>1369</v>
      </c>
      <c r="D472" s="7" t="s">
        <v>21</v>
      </c>
      <c r="E472" s="7" t="s">
        <v>22</v>
      </c>
      <c r="F472" s="7" t="s">
        <v>444</v>
      </c>
      <c r="G472" s="7" t="s">
        <v>444</v>
      </c>
      <c r="H472" s="7" t="s">
        <v>444</v>
      </c>
      <c r="I472" s="7" t="s">
        <v>1902</v>
      </c>
      <c r="K472" s="5">
        <f>SUMIF(BC!$E$6:$E$347,$A472,BC!$K$6:$K$347)</f>
        <v>0</v>
      </c>
      <c r="L472" s="5" t="e">
        <f>SUMIF(#REF!,$A472,#REF!)+SUMIF(#REF!,$A472,#REF!)</f>
        <v>#REF!</v>
      </c>
      <c r="M472" s="5" t="e">
        <f>SUMIF(#REF!,Casilleros!$A472,#REF!)+SUMIF(#REF!,Casilleros!$A472,#REF!)+SUMIF(#REF!,$A472,#REF!)</f>
        <v>#REF!</v>
      </c>
      <c r="N472" s="5" t="e">
        <f>SUMIF(#REF!,$A472,#REF!)</f>
        <v>#REF!</v>
      </c>
      <c r="O472" s="5" t="e">
        <f>SUMIF(#REF!,$A472,#REF!)+SUMIF(#REF!,$A472,#REF!)</f>
        <v>#REF!</v>
      </c>
      <c r="P472" s="5">
        <f>IFERROR(VLOOKUP($A472,#REF!,2,FALSE),0)</f>
        <v>0</v>
      </c>
      <c r="Q472" s="42" t="e">
        <f t="shared" si="7"/>
        <v>#REF!</v>
      </c>
    </row>
    <row r="473" spans="1:17">
      <c r="A473" s="56" t="s">
        <v>1147</v>
      </c>
      <c r="B473" s="7" t="s">
        <v>28</v>
      </c>
      <c r="C473" s="7" t="s">
        <v>1369</v>
      </c>
      <c r="D473" s="7" t="s">
        <v>1145</v>
      </c>
      <c r="E473" s="7" t="s">
        <v>1146</v>
      </c>
      <c r="F473" s="7" t="s">
        <v>444</v>
      </c>
      <c r="G473" s="7" t="s">
        <v>444</v>
      </c>
      <c r="H473" s="7" t="s">
        <v>444</v>
      </c>
      <c r="I473" s="7" t="s">
        <v>1903</v>
      </c>
      <c r="K473" s="5" t="e">
        <f>SUMIF(BC!$E$6:$E$347,$A473,BC!$K$6:$K$347)</f>
        <v>#REF!</v>
      </c>
      <c r="L473" s="5" t="e">
        <f>SUMIF(#REF!,$A473,#REF!)+SUMIF(#REF!,$A473,#REF!)</f>
        <v>#REF!</v>
      </c>
      <c r="M473" s="5" t="e">
        <f>SUMIF(#REF!,Casilleros!$A473,#REF!)+SUMIF(#REF!,Casilleros!$A473,#REF!)+SUMIF(#REF!,$A473,#REF!)</f>
        <v>#REF!</v>
      </c>
      <c r="N473" s="5" t="e">
        <f>SUMIF(#REF!,$A473,#REF!)</f>
        <v>#REF!</v>
      </c>
      <c r="O473" s="5" t="e">
        <f>SUMIF(#REF!,$A473,#REF!)+SUMIF(#REF!,$A473,#REF!)</f>
        <v>#REF!</v>
      </c>
      <c r="P473" s="5">
        <f>IFERROR(VLOOKUP($A473,#REF!,2,FALSE),0)</f>
        <v>0</v>
      </c>
      <c r="Q473" s="42" t="e">
        <f t="shared" si="7"/>
        <v>#REF!</v>
      </c>
    </row>
    <row r="474" spans="1:17">
      <c r="A474" s="56" t="s">
        <v>1149</v>
      </c>
      <c r="B474" s="7" t="s">
        <v>28</v>
      </c>
      <c r="C474" s="7" t="s">
        <v>1369</v>
      </c>
      <c r="D474" s="7" t="s">
        <v>1145</v>
      </c>
      <c r="E474" s="7" t="s">
        <v>1148</v>
      </c>
      <c r="F474" s="7" t="s">
        <v>444</v>
      </c>
      <c r="G474" s="7" t="s">
        <v>444</v>
      </c>
      <c r="H474" s="7" t="s">
        <v>444</v>
      </c>
      <c r="I474" s="7" t="s">
        <v>1904</v>
      </c>
      <c r="K474" s="5">
        <f>SUMIF(BC!$E$6:$E$347,$A474,BC!$K$6:$K$347)</f>
        <v>0</v>
      </c>
      <c r="L474" s="5" t="e">
        <f>SUMIF(#REF!,$A474,#REF!)+SUMIF(#REF!,$A474,#REF!)</f>
        <v>#REF!</v>
      </c>
      <c r="M474" s="5" t="e">
        <f>SUMIF(#REF!,Casilleros!$A474,#REF!)+SUMIF(#REF!,Casilleros!$A474,#REF!)+SUMIF(#REF!,$A474,#REF!)</f>
        <v>#REF!</v>
      </c>
      <c r="N474" s="5" t="e">
        <f>SUMIF(#REF!,$A474,#REF!)</f>
        <v>#REF!</v>
      </c>
      <c r="O474" s="5" t="e">
        <f>SUMIF(#REF!,$A474,#REF!)+SUMIF(#REF!,$A474,#REF!)</f>
        <v>#REF!</v>
      </c>
      <c r="P474" s="5">
        <f>IFERROR(VLOOKUP($A474,#REF!,2,FALSE),0)</f>
        <v>0</v>
      </c>
      <c r="Q474" s="42" t="e">
        <f t="shared" si="7"/>
        <v>#REF!</v>
      </c>
    </row>
    <row r="475" spans="1:17">
      <c r="A475" s="56" t="s">
        <v>1151</v>
      </c>
      <c r="B475" s="7" t="s">
        <v>28</v>
      </c>
      <c r="C475" s="7" t="s">
        <v>1369</v>
      </c>
      <c r="D475" s="7" t="s">
        <v>1145</v>
      </c>
      <c r="E475" s="7" t="s">
        <v>1150</v>
      </c>
      <c r="F475" s="7" t="s">
        <v>444</v>
      </c>
      <c r="G475" s="7" t="s">
        <v>444</v>
      </c>
      <c r="H475" s="7" t="s">
        <v>444</v>
      </c>
      <c r="I475" s="7" t="s">
        <v>1905</v>
      </c>
      <c r="K475" s="5">
        <f>SUMIF(BC!$E$6:$E$347,$A475,BC!$K$6:$K$347)</f>
        <v>0</v>
      </c>
      <c r="L475" s="5" t="e">
        <f>SUMIF(#REF!,$A475,#REF!)+SUMIF(#REF!,$A475,#REF!)</f>
        <v>#REF!</v>
      </c>
      <c r="M475" s="5" t="e">
        <f>SUMIF(#REF!,Casilleros!$A475,#REF!)+SUMIF(#REF!,Casilleros!$A475,#REF!)+SUMIF(#REF!,$A475,#REF!)</f>
        <v>#REF!</v>
      </c>
      <c r="N475" s="5" t="e">
        <f>SUMIF(#REF!,$A475,#REF!)</f>
        <v>#REF!</v>
      </c>
      <c r="O475" s="5" t="e">
        <f>SUMIF(#REF!,$A475,#REF!)+SUMIF(#REF!,$A475,#REF!)</f>
        <v>#REF!</v>
      </c>
      <c r="P475" s="5">
        <f>IFERROR(VLOOKUP($A475,#REF!,2,FALSE),0)</f>
        <v>0</v>
      </c>
      <c r="Q475" s="42" t="e">
        <f t="shared" si="7"/>
        <v>#REF!</v>
      </c>
    </row>
    <row r="476" spans="1:17">
      <c r="A476" s="56" t="s">
        <v>1153</v>
      </c>
      <c r="B476" s="7" t="s">
        <v>28</v>
      </c>
      <c r="C476" s="7" t="s">
        <v>1369</v>
      </c>
      <c r="D476" s="7" t="s">
        <v>1145</v>
      </c>
      <c r="E476" s="7" t="s">
        <v>1152</v>
      </c>
      <c r="F476" s="7" t="s">
        <v>444</v>
      </c>
      <c r="G476" s="7" t="s">
        <v>444</v>
      </c>
      <c r="H476" s="7" t="s">
        <v>444</v>
      </c>
      <c r="I476" s="7" t="s">
        <v>1906</v>
      </c>
      <c r="K476" s="5">
        <f>SUMIF(BC!$E$6:$E$347,$A476,BC!$K$6:$K$347)</f>
        <v>0</v>
      </c>
      <c r="L476" s="5" t="e">
        <f>SUMIF(#REF!,$A476,#REF!)+SUMIF(#REF!,$A476,#REF!)</f>
        <v>#REF!</v>
      </c>
      <c r="M476" s="5" t="e">
        <f>SUMIF(#REF!,Casilleros!$A476,#REF!)+SUMIF(#REF!,Casilleros!$A476,#REF!)+SUMIF(#REF!,$A476,#REF!)</f>
        <v>#REF!</v>
      </c>
      <c r="N476" s="5" t="e">
        <f>SUMIF(#REF!,$A476,#REF!)</f>
        <v>#REF!</v>
      </c>
      <c r="O476" s="5" t="e">
        <f>SUMIF(#REF!,$A476,#REF!)+SUMIF(#REF!,$A476,#REF!)</f>
        <v>#REF!</v>
      </c>
      <c r="P476" s="5">
        <f>IFERROR(VLOOKUP($A476,#REF!,2,FALSE),0)</f>
        <v>0</v>
      </c>
      <c r="Q476" s="42" t="e">
        <f t="shared" si="7"/>
        <v>#REF!</v>
      </c>
    </row>
    <row r="477" spans="1:17">
      <c r="A477" s="56" t="s">
        <v>1155</v>
      </c>
      <c r="B477" s="7" t="s">
        <v>28</v>
      </c>
      <c r="C477" s="7" t="s">
        <v>1369</v>
      </c>
      <c r="D477" s="7" t="s">
        <v>1145</v>
      </c>
      <c r="E477" s="7" t="s">
        <v>1154</v>
      </c>
      <c r="F477" s="7" t="s">
        <v>444</v>
      </c>
      <c r="G477" s="7" t="s">
        <v>444</v>
      </c>
      <c r="H477" s="7" t="s">
        <v>444</v>
      </c>
      <c r="I477" s="7" t="s">
        <v>1907</v>
      </c>
      <c r="K477" s="5">
        <f>SUMIF(BC!$E$6:$E$347,$A477,BC!$K$6:$K$347)</f>
        <v>0</v>
      </c>
      <c r="L477" s="5" t="e">
        <f>SUMIF(#REF!,$A477,#REF!)+SUMIF(#REF!,$A477,#REF!)</f>
        <v>#REF!</v>
      </c>
      <c r="M477" s="5" t="e">
        <f>SUMIF(#REF!,Casilleros!$A477,#REF!)+SUMIF(#REF!,Casilleros!$A477,#REF!)+SUMIF(#REF!,$A477,#REF!)</f>
        <v>#REF!</v>
      </c>
      <c r="N477" s="5" t="e">
        <f>SUMIF(#REF!,$A477,#REF!)</f>
        <v>#REF!</v>
      </c>
      <c r="O477" s="5" t="e">
        <f>SUMIF(#REF!,$A477,#REF!)+SUMIF(#REF!,$A477,#REF!)</f>
        <v>#REF!</v>
      </c>
      <c r="P477" s="5">
        <f>IFERROR(VLOOKUP($A477,#REF!,2,FALSE),0)</f>
        <v>0</v>
      </c>
      <c r="Q477" s="42" t="e">
        <f t="shared" si="7"/>
        <v>#REF!</v>
      </c>
    </row>
    <row r="478" spans="1:17">
      <c r="A478" s="56" t="s">
        <v>1157</v>
      </c>
      <c r="B478" s="7" t="s">
        <v>28</v>
      </c>
      <c r="C478" s="7" t="s">
        <v>1369</v>
      </c>
      <c r="D478" s="7" t="s">
        <v>1145</v>
      </c>
      <c r="E478" s="7" t="s">
        <v>1156</v>
      </c>
      <c r="F478" s="7" t="s">
        <v>444</v>
      </c>
      <c r="G478" s="7" t="s">
        <v>444</v>
      </c>
      <c r="H478" s="7" t="s">
        <v>444</v>
      </c>
      <c r="I478" s="7" t="s">
        <v>1908</v>
      </c>
      <c r="K478" s="5">
        <f>SUMIF(BC!$E$6:$E$347,$A478,BC!$K$6:$K$347)</f>
        <v>0</v>
      </c>
      <c r="L478" s="5" t="e">
        <f>SUMIF(#REF!,$A478,#REF!)+SUMIF(#REF!,$A478,#REF!)</f>
        <v>#REF!</v>
      </c>
      <c r="M478" s="5" t="e">
        <f>SUMIF(#REF!,Casilleros!$A478,#REF!)+SUMIF(#REF!,Casilleros!$A478,#REF!)+SUMIF(#REF!,$A478,#REF!)</f>
        <v>#REF!</v>
      </c>
      <c r="N478" s="5" t="e">
        <f>SUMIF(#REF!,$A478,#REF!)</f>
        <v>#REF!</v>
      </c>
      <c r="O478" s="5" t="e">
        <f>SUMIF(#REF!,$A478,#REF!)+SUMIF(#REF!,$A478,#REF!)</f>
        <v>#REF!</v>
      </c>
      <c r="P478" s="5">
        <f>IFERROR(VLOOKUP($A478,#REF!,2,FALSE),0)</f>
        <v>0</v>
      </c>
      <c r="Q478" s="42" t="e">
        <f t="shared" si="7"/>
        <v>#REF!</v>
      </c>
    </row>
    <row r="479" spans="1:17">
      <c r="A479" s="56" t="s">
        <v>1159</v>
      </c>
      <c r="B479" s="7" t="s">
        <v>28</v>
      </c>
      <c r="C479" s="7" t="s">
        <v>1369</v>
      </c>
      <c r="D479" s="7" t="s">
        <v>1145</v>
      </c>
      <c r="E479" s="7" t="s">
        <v>1158</v>
      </c>
      <c r="F479" s="7" t="s">
        <v>444</v>
      </c>
      <c r="G479" s="7" t="s">
        <v>444</v>
      </c>
      <c r="H479" s="7" t="s">
        <v>444</v>
      </c>
      <c r="I479" s="7" t="s">
        <v>1909</v>
      </c>
      <c r="K479" s="5">
        <f>SUMIF(BC!$E$6:$E$347,$A479,BC!$K$6:$K$347)</f>
        <v>0</v>
      </c>
      <c r="L479" s="5" t="e">
        <f>SUMIF(#REF!,$A479,#REF!)+SUMIF(#REF!,$A479,#REF!)</f>
        <v>#REF!</v>
      </c>
      <c r="M479" s="5" t="e">
        <f>SUMIF(#REF!,Casilleros!$A479,#REF!)+SUMIF(#REF!,Casilleros!$A479,#REF!)+SUMIF(#REF!,$A479,#REF!)</f>
        <v>#REF!</v>
      </c>
      <c r="N479" s="5" t="e">
        <f>SUMIF(#REF!,$A479,#REF!)</f>
        <v>#REF!</v>
      </c>
      <c r="O479" s="5" t="e">
        <f>SUMIF(#REF!,$A479,#REF!)+SUMIF(#REF!,$A479,#REF!)</f>
        <v>#REF!</v>
      </c>
      <c r="P479" s="5">
        <f>IFERROR(VLOOKUP($A479,#REF!,2,FALSE),0)</f>
        <v>0</v>
      </c>
      <c r="Q479" s="42" t="e">
        <f t="shared" si="7"/>
        <v>#REF!</v>
      </c>
    </row>
    <row r="480" spans="1:17">
      <c r="A480" s="56" t="s">
        <v>1160</v>
      </c>
      <c r="B480" s="7" t="s">
        <v>28</v>
      </c>
      <c r="C480" s="7" t="s">
        <v>1369</v>
      </c>
      <c r="D480" s="7" t="s">
        <v>1145</v>
      </c>
      <c r="E480" s="7" t="s">
        <v>30</v>
      </c>
      <c r="F480" s="7" t="s">
        <v>444</v>
      </c>
      <c r="G480" s="7" t="s">
        <v>444</v>
      </c>
      <c r="H480" s="7" t="s">
        <v>444</v>
      </c>
      <c r="I480" s="7" t="s">
        <v>1910</v>
      </c>
      <c r="K480" s="5">
        <f>SUMIF(BC!$E$6:$E$347,$A480,BC!$K$6:$K$347)</f>
        <v>0</v>
      </c>
      <c r="L480" s="5" t="e">
        <f>SUMIF(#REF!,$A480,#REF!)+SUMIF(#REF!,$A480,#REF!)</f>
        <v>#REF!</v>
      </c>
      <c r="M480" s="5" t="e">
        <f>SUMIF(#REF!,Casilleros!$A480,#REF!)+SUMIF(#REF!,Casilleros!$A480,#REF!)+SUMIF(#REF!,$A480,#REF!)</f>
        <v>#REF!</v>
      </c>
      <c r="N480" s="5" t="e">
        <f>SUMIF(#REF!,$A480,#REF!)</f>
        <v>#REF!</v>
      </c>
      <c r="O480" s="5" t="e">
        <f>SUMIF(#REF!,$A480,#REF!)+SUMIF(#REF!,$A480,#REF!)</f>
        <v>#REF!</v>
      </c>
      <c r="P480" s="5">
        <f>IFERROR(VLOOKUP($A480,#REF!,2,FALSE),0)</f>
        <v>0</v>
      </c>
      <c r="Q480" s="42" t="e">
        <f t="shared" si="7"/>
        <v>#REF!</v>
      </c>
    </row>
    <row r="481" spans="1:17">
      <c r="A481" s="56" t="s">
        <v>1162</v>
      </c>
      <c r="B481" s="7" t="s">
        <v>28</v>
      </c>
      <c r="C481" s="7" t="s">
        <v>1369</v>
      </c>
      <c r="D481" s="7" t="s">
        <v>1145</v>
      </c>
      <c r="E481" s="7" t="s">
        <v>1161</v>
      </c>
      <c r="F481" s="7" t="s">
        <v>444</v>
      </c>
      <c r="G481" s="7" t="s">
        <v>444</v>
      </c>
      <c r="H481" s="7" t="s">
        <v>444</v>
      </c>
      <c r="I481" s="7" t="s">
        <v>1911</v>
      </c>
      <c r="K481" s="5">
        <f>SUMIF(BC!$E$6:$E$347,$A481,BC!$K$6:$K$347)</f>
        <v>0</v>
      </c>
      <c r="L481" s="5" t="e">
        <f>SUMIF(#REF!,$A481,#REF!)+SUMIF(#REF!,$A481,#REF!)</f>
        <v>#REF!</v>
      </c>
      <c r="M481" s="5" t="e">
        <f>SUMIF(#REF!,Casilleros!$A481,#REF!)+SUMIF(#REF!,Casilleros!$A481,#REF!)+SUMIF(#REF!,$A481,#REF!)</f>
        <v>#REF!</v>
      </c>
      <c r="N481" s="5" t="e">
        <f>SUMIF(#REF!,$A481,#REF!)</f>
        <v>#REF!</v>
      </c>
      <c r="O481" s="5" t="e">
        <f>SUMIF(#REF!,$A481,#REF!)+SUMIF(#REF!,$A481,#REF!)</f>
        <v>#REF!</v>
      </c>
      <c r="P481" s="5">
        <f>IFERROR(VLOOKUP($A481,#REF!,2,FALSE),0)</f>
        <v>0</v>
      </c>
      <c r="Q481" s="42" t="e">
        <f t="shared" si="7"/>
        <v>#REF!</v>
      </c>
    </row>
    <row r="482" spans="1:17">
      <c r="A482" s="56" t="s">
        <v>1164</v>
      </c>
      <c r="B482" s="7" t="s">
        <v>28</v>
      </c>
      <c r="C482" s="7" t="s">
        <v>1369</v>
      </c>
      <c r="D482" s="7" t="s">
        <v>1145</v>
      </c>
      <c r="E482" s="7" t="s">
        <v>1163</v>
      </c>
      <c r="F482" s="7" t="s">
        <v>444</v>
      </c>
      <c r="G482" s="7" t="s">
        <v>444</v>
      </c>
      <c r="H482" s="7" t="s">
        <v>444</v>
      </c>
      <c r="I482" s="7" t="s">
        <v>1912</v>
      </c>
      <c r="K482" s="5">
        <f>SUMIF(BC!$E$6:$E$347,$A482,BC!$K$6:$K$347)</f>
        <v>0</v>
      </c>
      <c r="L482" s="5" t="e">
        <f>SUMIF(#REF!,$A482,#REF!)+SUMIF(#REF!,$A482,#REF!)</f>
        <v>#REF!</v>
      </c>
      <c r="M482" s="5" t="e">
        <f>SUMIF(#REF!,Casilleros!$A482,#REF!)+SUMIF(#REF!,Casilleros!$A482,#REF!)+SUMIF(#REF!,$A482,#REF!)</f>
        <v>#REF!</v>
      </c>
      <c r="N482" s="5" t="e">
        <f>SUMIF(#REF!,$A482,#REF!)</f>
        <v>#REF!</v>
      </c>
      <c r="O482" s="5" t="e">
        <f>SUMIF(#REF!,$A482,#REF!)+SUMIF(#REF!,$A482,#REF!)</f>
        <v>#REF!</v>
      </c>
      <c r="P482" s="5">
        <f>IFERROR(VLOOKUP($A482,#REF!,2,FALSE),0)</f>
        <v>0</v>
      </c>
      <c r="Q482" s="42" t="e">
        <f t="shared" si="7"/>
        <v>#REF!</v>
      </c>
    </row>
    <row r="483" spans="1:17">
      <c r="A483" s="56" t="s">
        <v>1166</v>
      </c>
      <c r="B483" s="7" t="s">
        <v>28</v>
      </c>
      <c r="C483" s="7" t="s">
        <v>1369</v>
      </c>
      <c r="D483" s="7" t="s">
        <v>1145</v>
      </c>
      <c r="E483" s="7" t="s">
        <v>1165</v>
      </c>
      <c r="F483" s="7" t="s">
        <v>444</v>
      </c>
      <c r="G483" s="7" t="s">
        <v>444</v>
      </c>
      <c r="H483" s="7" t="s">
        <v>444</v>
      </c>
      <c r="I483" s="7" t="s">
        <v>1913</v>
      </c>
      <c r="K483" s="5">
        <f>SUMIF(BC!$E$6:$E$347,$A483,BC!$K$6:$K$347)</f>
        <v>0</v>
      </c>
      <c r="L483" s="5" t="e">
        <f>SUMIF(#REF!,$A483,#REF!)+SUMIF(#REF!,$A483,#REF!)</f>
        <v>#REF!</v>
      </c>
      <c r="M483" s="5" t="e">
        <f>SUMIF(#REF!,Casilleros!$A483,#REF!)+SUMIF(#REF!,Casilleros!$A483,#REF!)+SUMIF(#REF!,$A483,#REF!)</f>
        <v>#REF!</v>
      </c>
      <c r="N483" s="5" t="e">
        <f>SUMIF(#REF!,$A483,#REF!)</f>
        <v>#REF!</v>
      </c>
      <c r="O483" s="5" t="e">
        <f>SUMIF(#REF!,$A483,#REF!)+SUMIF(#REF!,$A483,#REF!)</f>
        <v>#REF!</v>
      </c>
      <c r="P483" s="5">
        <f>IFERROR(VLOOKUP($A483,#REF!,2,FALSE),0)</f>
        <v>0</v>
      </c>
      <c r="Q483" s="42" t="e">
        <f t="shared" si="7"/>
        <v>#REF!</v>
      </c>
    </row>
    <row r="484" spans="1:17">
      <c r="A484" s="56" t="s">
        <v>1169</v>
      </c>
      <c r="B484" s="7" t="s">
        <v>28</v>
      </c>
      <c r="C484" s="7" t="s">
        <v>1369</v>
      </c>
      <c r="D484" s="7" t="s">
        <v>1167</v>
      </c>
      <c r="E484" s="7" t="s">
        <v>1168</v>
      </c>
      <c r="F484" s="7" t="s">
        <v>444</v>
      </c>
      <c r="G484" s="7" t="s">
        <v>444</v>
      </c>
      <c r="H484" s="7" t="s">
        <v>444</v>
      </c>
      <c r="I484" s="7" t="s">
        <v>1471</v>
      </c>
      <c r="K484" s="5">
        <f>SUMIF(BC!$E$6:$E$347,$A484,BC!$K$6:$K$347)</f>
        <v>0</v>
      </c>
      <c r="L484" s="5" t="e">
        <f>SUMIF(#REF!,$A484,#REF!)+SUMIF(#REF!,$A484,#REF!)</f>
        <v>#REF!</v>
      </c>
      <c r="M484" s="5" t="e">
        <f>SUMIF(#REF!,Casilleros!$A484,#REF!)+SUMIF(#REF!,Casilleros!$A484,#REF!)+SUMIF(#REF!,$A484,#REF!)</f>
        <v>#REF!</v>
      </c>
      <c r="N484" s="5" t="e">
        <f>SUMIF(#REF!,$A484,#REF!)</f>
        <v>#REF!</v>
      </c>
      <c r="O484" s="5" t="e">
        <f>SUMIF(#REF!,$A484,#REF!)+SUMIF(#REF!,$A484,#REF!)</f>
        <v>#REF!</v>
      </c>
      <c r="P484" s="5">
        <f>IFERROR(VLOOKUP($A484,#REF!,2,FALSE),0)</f>
        <v>0</v>
      </c>
      <c r="Q484" s="42" t="e">
        <f t="shared" si="7"/>
        <v>#REF!</v>
      </c>
    </row>
    <row r="485" spans="1:17">
      <c r="A485" s="56" t="s">
        <v>1172</v>
      </c>
      <c r="B485" s="7" t="s">
        <v>28</v>
      </c>
      <c r="C485" s="7" t="s">
        <v>1369</v>
      </c>
      <c r="D485" s="7" t="s">
        <v>1167</v>
      </c>
      <c r="E485" s="7" t="s">
        <v>1171</v>
      </c>
      <c r="F485" s="7" t="s">
        <v>444</v>
      </c>
      <c r="G485" s="7" t="s">
        <v>444</v>
      </c>
      <c r="H485" s="7" t="s">
        <v>444</v>
      </c>
      <c r="I485" s="7" t="s">
        <v>1470</v>
      </c>
      <c r="K485" s="5">
        <f>SUMIF(BC!$E$6:$E$347,$A485,BC!$K$6:$K$347)</f>
        <v>0</v>
      </c>
      <c r="L485" s="5" t="e">
        <f>SUMIF(#REF!,$A485,#REF!)+SUMIF(#REF!,$A485,#REF!)</f>
        <v>#REF!</v>
      </c>
      <c r="M485" s="5" t="e">
        <f>SUMIF(#REF!,Casilleros!$A485,#REF!)+SUMIF(#REF!,Casilleros!$A485,#REF!)+SUMIF(#REF!,$A485,#REF!)</f>
        <v>#REF!</v>
      </c>
      <c r="N485" s="5" t="e">
        <f>SUMIF(#REF!,$A485,#REF!)</f>
        <v>#REF!</v>
      </c>
      <c r="O485" s="5" t="e">
        <f>SUMIF(#REF!,$A485,#REF!)+SUMIF(#REF!,$A485,#REF!)</f>
        <v>#REF!</v>
      </c>
      <c r="P485" s="5">
        <f>IFERROR(VLOOKUP($A485,#REF!,2,FALSE),0)</f>
        <v>0</v>
      </c>
      <c r="Q485" s="42" t="e">
        <f t="shared" si="7"/>
        <v>#REF!</v>
      </c>
    </row>
    <row r="486" spans="1:17">
      <c r="A486" s="56" t="s">
        <v>1175</v>
      </c>
      <c r="B486" s="7" t="s">
        <v>28</v>
      </c>
      <c r="C486" s="7" t="s">
        <v>1369</v>
      </c>
      <c r="D486" s="7" t="s">
        <v>1167</v>
      </c>
      <c r="E486" s="7" t="s">
        <v>1174</v>
      </c>
      <c r="F486" s="7" t="s">
        <v>444</v>
      </c>
      <c r="G486" s="7" t="s">
        <v>444</v>
      </c>
      <c r="H486" s="7" t="s">
        <v>444</v>
      </c>
      <c r="I486" s="7" t="s">
        <v>1469</v>
      </c>
      <c r="K486" s="5">
        <f>SUMIF(BC!$E$6:$E$347,$A486,BC!$K$6:$K$347)</f>
        <v>0</v>
      </c>
      <c r="L486" s="5" t="e">
        <f>SUMIF(#REF!,$A486,#REF!)+SUMIF(#REF!,$A486,#REF!)</f>
        <v>#REF!</v>
      </c>
      <c r="M486" s="5" t="e">
        <f>SUMIF(#REF!,Casilleros!$A486,#REF!)+SUMIF(#REF!,Casilleros!$A486,#REF!)+SUMIF(#REF!,$A486,#REF!)</f>
        <v>#REF!</v>
      </c>
      <c r="N486" s="5" t="e">
        <f>SUMIF(#REF!,$A486,#REF!)</f>
        <v>#REF!</v>
      </c>
      <c r="O486" s="5" t="e">
        <f>SUMIF(#REF!,$A486,#REF!)+SUMIF(#REF!,$A486,#REF!)</f>
        <v>#REF!</v>
      </c>
      <c r="P486" s="5">
        <f>IFERROR(VLOOKUP($A486,#REF!,2,FALSE),0)</f>
        <v>0</v>
      </c>
      <c r="Q486" s="42" t="e">
        <f t="shared" si="7"/>
        <v>#REF!</v>
      </c>
    </row>
    <row r="487" spans="1:17">
      <c r="A487" s="56" t="s">
        <v>1178</v>
      </c>
      <c r="B487" s="7" t="s">
        <v>28</v>
      </c>
      <c r="C487" s="7" t="s">
        <v>1369</v>
      </c>
      <c r="D487" s="7" t="s">
        <v>1167</v>
      </c>
      <c r="E487" s="7" t="s">
        <v>1177</v>
      </c>
      <c r="F487" s="7" t="s">
        <v>444</v>
      </c>
      <c r="G487" s="7" t="s">
        <v>444</v>
      </c>
      <c r="H487" s="7" t="s">
        <v>444</v>
      </c>
      <c r="I487" s="7" t="s">
        <v>1468</v>
      </c>
      <c r="K487" s="5">
        <f>SUMIF(BC!$E$6:$E$347,$A487,BC!$K$6:$K$347)</f>
        <v>0</v>
      </c>
      <c r="L487" s="5" t="e">
        <f>SUMIF(#REF!,$A487,#REF!)+SUMIF(#REF!,$A487,#REF!)</f>
        <v>#REF!</v>
      </c>
      <c r="M487" s="5" t="e">
        <f>SUMIF(#REF!,Casilleros!$A487,#REF!)+SUMIF(#REF!,Casilleros!$A487,#REF!)+SUMIF(#REF!,$A487,#REF!)</f>
        <v>#REF!</v>
      </c>
      <c r="N487" s="5" t="e">
        <f>SUMIF(#REF!,$A487,#REF!)</f>
        <v>#REF!</v>
      </c>
      <c r="O487" s="5" t="e">
        <f>SUMIF(#REF!,$A487,#REF!)+SUMIF(#REF!,$A487,#REF!)</f>
        <v>#REF!</v>
      </c>
      <c r="P487" s="5">
        <f>IFERROR(VLOOKUP($A487,#REF!,2,FALSE),0)</f>
        <v>0</v>
      </c>
      <c r="Q487" s="42" t="e">
        <f t="shared" si="7"/>
        <v>#REF!</v>
      </c>
    </row>
    <row r="488" spans="1:17">
      <c r="A488" s="56" t="s">
        <v>1181</v>
      </c>
      <c r="B488" s="7" t="s">
        <v>28</v>
      </c>
      <c r="C488" s="7" t="s">
        <v>1369</v>
      </c>
      <c r="D488" s="7" t="s">
        <v>1167</v>
      </c>
      <c r="E488" s="7" t="s">
        <v>1180</v>
      </c>
      <c r="F488" s="7" t="s">
        <v>444</v>
      </c>
      <c r="G488" s="7" t="s">
        <v>444</v>
      </c>
      <c r="H488" s="7" t="s">
        <v>444</v>
      </c>
      <c r="I488" s="7" t="s">
        <v>1467</v>
      </c>
      <c r="K488" s="5">
        <f>SUMIF(BC!$E$6:$E$347,$A488,BC!$K$6:$K$347)</f>
        <v>0</v>
      </c>
      <c r="L488" s="5" t="e">
        <f>SUMIF(#REF!,$A488,#REF!)+SUMIF(#REF!,$A488,#REF!)</f>
        <v>#REF!</v>
      </c>
      <c r="M488" s="5" t="e">
        <f>SUMIF(#REF!,Casilleros!$A488,#REF!)+SUMIF(#REF!,Casilleros!$A488,#REF!)+SUMIF(#REF!,$A488,#REF!)</f>
        <v>#REF!</v>
      </c>
      <c r="N488" s="5" t="e">
        <f>SUMIF(#REF!,$A488,#REF!)</f>
        <v>#REF!</v>
      </c>
      <c r="O488" s="5" t="e">
        <f>SUMIF(#REF!,$A488,#REF!)+SUMIF(#REF!,$A488,#REF!)</f>
        <v>#REF!</v>
      </c>
      <c r="P488" s="5">
        <f>IFERROR(VLOOKUP($A488,#REF!,2,FALSE),0)</f>
        <v>0</v>
      </c>
      <c r="Q488" s="42" t="e">
        <f t="shared" si="7"/>
        <v>#REF!</v>
      </c>
    </row>
    <row r="489" spans="1:17">
      <c r="A489" s="56" t="s">
        <v>1184</v>
      </c>
      <c r="B489" s="7" t="s">
        <v>28</v>
      </c>
      <c r="C489" s="7" t="s">
        <v>1369</v>
      </c>
      <c r="D489" s="7" t="s">
        <v>1167</v>
      </c>
      <c r="E489" s="7" t="s">
        <v>1183</v>
      </c>
      <c r="F489" s="7" t="s">
        <v>444</v>
      </c>
      <c r="G489" s="7" t="s">
        <v>444</v>
      </c>
      <c r="H489" s="7" t="s">
        <v>444</v>
      </c>
      <c r="I489" s="7" t="s">
        <v>1466</v>
      </c>
      <c r="K489" s="5">
        <f>SUMIF(BC!$E$6:$E$347,$A489,BC!$K$6:$K$347)</f>
        <v>0</v>
      </c>
      <c r="L489" s="5" t="e">
        <f>SUMIF(#REF!,$A489,#REF!)+SUMIF(#REF!,$A489,#REF!)</f>
        <v>#REF!</v>
      </c>
      <c r="M489" s="5" t="e">
        <f>SUMIF(#REF!,Casilleros!$A489,#REF!)+SUMIF(#REF!,Casilleros!$A489,#REF!)+SUMIF(#REF!,$A489,#REF!)</f>
        <v>#REF!</v>
      </c>
      <c r="N489" s="5" t="e">
        <f>SUMIF(#REF!,$A489,#REF!)</f>
        <v>#REF!</v>
      </c>
      <c r="O489" s="5" t="e">
        <f>SUMIF(#REF!,$A489,#REF!)+SUMIF(#REF!,$A489,#REF!)</f>
        <v>#REF!</v>
      </c>
      <c r="P489" s="5">
        <f>IFERROR(VLOOKUP($A489,#REF!,2,FALSE),0)</f>
        <v>0</v>
      </c>
      <c r="Q489" s="42" t="e">
        <f t="shared" si="7"/>
        <v>#REF!</v>
      </c>
    </row>
    <row r="490" spans="1:17">
      <c r="A490" s="56" t="s">
        <v>1187</v>
      </c>
      <c r="B490" s="7" t="s">
        <v>28</v>
      </c>
      <c r="C490" s="7" t="s">
        <v>1369</v>
      </c>
      <c r="D490" s="7" t="s">
        <v>1167</v>
      </c>
      <c r="E490" s="7" t="s">
        <v>1186</v>
      </c>
      <c r="F490" s="7" t="s">
        <v>444</v>
      </c>
      <c r="G490" s="7" t="s">
        <v>444</v>
      </c>
      <c r="H490" s="7" t="s">
        <v>444</v>
      </c>
      <c r="I490" s="7" t="s">
        <v>1465</v>
      </c>
      <c r="K490" s="5">
        <f>SUMIF(BC!$E$6:$E$347,$A490,BC!$K$6:$K$347)</f>
        <v>0</v>
      </c>
      <c r="L490" s="5" t="e">
        <f>SUMIF(#REF!,$A490,#REF!)+SUMIF(#REF!,$A490,#REF!)</f>
        <v>#REF!</v>
      </c>
      <c r="M490" s="5" t="e">
        <f>SUMIF(#REF!,Casilleros!$A490,#REF!)+SUMIF(#REF!,Casilleros!$A490,#REF!)+SUMIF(#REF!,$A490,#REF!)</f>
        <v>#REF!</v>
      </c>
      <c r="N490" s="5" t="e">
        <f>SUMIF(#REF!,$A490,#REF!)</f>
        <v>#REF!</v>
      </c>
      <c r="O490" s="5" t="e">
        <f>SUMIF(#REF!,$A490,#REF!)+SUMIF(#REF!,$A490,#REF!)</f>
        <v>#REF!</v>
      </c>
      <c r="P490" s="5">
        <f>IFERROR(VLOOKUP($A490,#REF!,2,FALSE),0)</f>
        <v>0</v>
      </c>
      <c r="Q490" s="42" t="e">
        <f t="shared" si="7"/>
        <v>#REF!</v>
      </c>
    </row>
    <row r="491" spans="1:17">
      <c r="A491" s="56" t="s">
        <v>1191</v>
      </c>
      <c r="B491" s="7" t="s">
        <v>28</v>
      </c>
      <c r="C491" s="7" t="s">
        <v>1369</v>
      </c>
      <c r="D491" s="7" t="s">
        <v>1167</v>
      </c>
      <c r="E491" s="7" t="s">
        <v>1189</v>
      </c>
      <c r="F491" s="7" t="s">
        <v>1190</v>
      </c>
      <c r="G491" s="7" t="s">
        <v>444</v>
      </c>
      <c r="H491" s="7" t="s">
        <v>444</v>
      </c>
      <c r="I491" s="7" t="s">
        <v>1464</v>
      </c>
      <c r="K491" s="5">
        <f>SUMIF(BC!$E$6:$E$347,$A491,BC!$K$6:$K$347)</f>
        <v>0</v>
      </c>
      <c r="L491" s="5" t="e">
        <f>SUMIF(#REF!,$A491,#REF!)+SUMIF(#REF!,$A491,#REF!)</f>
        <v>#REF!</v>
      </c>
      <c r="M491" s="5" t="e">
        <f>SUMIF(#REF!,Casilleros!$A491,#REF!)+SUMIF(#REF!,Casilleros!$A491,#REF!)+SUMIF(#REF!,$A491,#REF!)</f>
        <v>#REF!</v>
      </c>
      <c r="N491" s="5" t="e">
        <f>SUMIF(#REF!,$A491,#REF!)</f>
        <v>#REF!</v>
      </c>
      <c r="O491" s="5" t="e">
        <f>SUMIF(#REF!,$A491,#REF!)+SUMIF(#REF!,$A491,#REF!)</f>
        <v>#REF!</v>
      </c>
      <c r="P491" s="5">
        <f>IFERROR(VLOOKUP($A491,#REF!,2,FALSE),0)</f>
        <v>0</v>
      </c>
      <c r="Q491" s="42" t="e">
        <f t="shared" si="7"/>
        <v>#REF!</v>
      </c>
    </row>
    <row r="492" spans="1:17">
      <c r="A492" s="56" t="s">
        <v>1194</v>
      </c>
      <c r="B492" s="7" t="s">
        <v>28</v>
      </c>
      <c r="C492" s="7" t="s">
        <v>1369</v>
      </c>
      <c r="D492" s="7" t="s">
        <v>1167</v>
      </c>
      <c r="E492" s="7" t="s">
        <v>1189</v>
      </c>
      <c r="F492" s="7" t="s">
        <v>1193</v>
      </c>
      <c r="G492" s="7" t="s">
        <v>444</v>
      </c>
      <c r="H492" s="7" t="s">
        <v>444</v>
      </c>
      <c r="I492" s="7" t="s">
        <v>1463</v>
      </c>
      <c r="K492" s="5">
        <f>SUMIF(BC!$E$6:$E$347,$A492,BC!$K$6:$K$347)</f>
        <v>0</v>
      </c>
      <c r="L492" s="5" t="e">
        <f>SUMIF(#REF!,$A492,#REF!)+SUMIF(#REF!,$A492,#REF!)</f>
        <v>#REF!</v>
      </c>
      <c r="M492" s="5" t="e">
        <f>SUMIF(#REF!,Casilleros!$A492,#REF!)+SUMIF(#REF!,Casilleros!$A492,#REF!)+SUMIF(#REF!,$A492,#REF!)</f>
        <v>#REF!</v>
      </c>
      <c r="N492" s="5" t="e">
        <f>SUMIF(#REF!,$A492,#REF!)</f>
        <v>#REF!</v>
      </c>
      <c r="O492" s="5" t="e">
        <f>SUMIF(#REF!,$A492,#REF!)+SUMIF(#REF!,$A492,#REF!)</f>
        <v>#REF!</v>
      </c>
      <c r="P492" s="5">
        <f>IFERROR(VLOOKUP($A492,#REF!,2,FALSE),0)</f>
        <v>0</v>
      </c>
      <c r="Q492" s="42" t="e">
        <f t="shared" si="7"/>
        <v>#REF!</v>
      </c>
    </row>
    <row r="493" spans="1:17">
      <c r="A493" s="56" t="s">
        <v>1199</v>
      </c>
      <c r="B493" s="7" t="s">
        <v>28</v>
      </c>
      <c r="C493" s="7" t="s">
        <v>1369</v>
      </c>
      <c r="D493" s="7" t="s">
        <v>1167</v>
      </c>
      <c r="E493" s="7" t="s">
        <v>1198</v>
      </c>
      <c r="F493" s="7" t="s">
        <v>444</v>
      </c>
      <c r="G493" s="7" t="s">
        <v>444</v>
      </c>
      <c r="H493" s="7" t="s">
        <v>444</v>
      </c>
      <c r="I493" s="7" t="s">
        <v>1462</v>
      </c>
      <c r="K493" s="5">
        <f>SUMIF(BC!$E$6:$E$347,$A493,BC!$K$6:$K$347)</f>
        <v>0</v>
      </c>
      <c r="L493" s="5" t="e">
        <f>SUMIF(#REF!,$A493,#REF!)+SUMIF(#REF!,$A493,#REF!)</f>
        <v>#REF!</v>
      </c>
      <c r="M493" s="5" t="e">
        <f>SUMIF(#REF!,Casilleros!$A493,#REF!)+SUMIF(#REF!,Casilleros!$A493,#REF!)+SUMIF(#REF!,$A493,#REF!)</f>
        <v>#REF!</v>
      </c>
      <c r="N493" s="5" t="e">
        <f>SUMIF(#REF!,$A493,#REF!)</f>
        <v>#REF!</v>
      </c>
      <c r="O493" s="5" t="e">
        <f>SUMIF(#REF!,$A493,#REF!)+SUMIF(#REF!,$A493,#REF!)</f>
        <v>#REF!</v>
      </c>
      <c r="P493" s="5">
        <f>IFERROR(VLOOKUP($A493,#REF!,2,FALSE),0)</f>
        <v>0</v>
      </c>
      <c r="Q493" s="42" t="e">
        <f t="shared" si="7"/>
        <v>#REF!</v>
      </c>
    </row>
    <row r="494" spans="1:17">
      <c r="A494" s="56" t="s">
        <v>1207</v>
      </c>
      <c r="B494" s="7" t="s">
        <v>28</v>
      </c>
      <c r="C494" s="7" t="s">
        <v>1369</v>
      </c>
      <c r="D494" s="7" t="s">
        <v>1205</v>
      </c>
      <c r="E494" s="7" t="s">
        <v>1206</v>
      </c>
      <c r="F494" s="7" t="s">
        <v>444</v>
      </c>
      <c r="G494" s="7" t="s">
        <v>444</v>
      </c>
      <c r="H494" s="7" t="s">
        <v>444</v>
      </c>
      <c r="I494" s="7" t="s">
        <v>1914</v>
      </c>
      <c r="K494" s="5">
        <f>SUMIF(BC!$E$6:$E$347,$A494,BC!$K$6:$K$347)</f>
        <v>0</v>
      </c>
      <c r="L494" s="5" t="e">
        <f>SUMIF(#REF!,$A494,#REF!)+SUMIF(#REF!,$A494,#REF!)</f>
        <v>#REF!</v>
      </c>
      <c r="M494" s="5" t="e">
        <f>SUMIF(#REF!,Casilleros!$A494,#REF!)+SUMIF(#REF!,Casilleros!$A494,#REF!)+SUMIF(#REF!,$A494,#REF!)</f>
        <v>#REF!</v>
      </c>
      <c r="N494" s="5" t="e">
        <f>SUMIF(#REF!,$A494,#REF!)</f>
        <v>#REF!</v>
      </c>
      <c r="O494" s="5" t="e">
        <f>SUMIF(#REF!,$A494,#REF!)+SUMIF(#REF!,$A494,#REF!)</f>
        <v>#REF!</v>
      </c>
      <c r="P494" s="5">
        <f>IFERROR(VLOOKUP($A494,#REF!,2,FALSE),0)</f>
        <v>0</v>
      </c>
      <c r="Q494" s="42" t="e">
        <f t="shared" si="7"/>
        <v>#REF!</v>
      </c>
    </row>
    <row r="495" spans="1:17">
      <c r="A495" s="56" t="s">
        <v>1209</v>
      </c>
      <c r="B495" s="7" t="s">
        <v>28</v>
      </c>
      <c r="C495" s="7" t="s">
        <v>1369</v>
      </c>
      <c r="D495" s="7" t="s">
        <v>1205</v>
      </c>
      <c r="E495" s="7" t="s">
        <v>1208</v>
      </c>
      <c r="F495" s="7" t="s">
        <v>444</v>
      </c>
      <c r="G495" s="7" t="s">
        <v>444</v>
      </c>
      <c r="H495" s="7" t="s">
        <v>444</v>
      </c>
      <c r="I495" s="7" t="s">
        <v>1915</v>
      </c>
      <c r="K495" s="5">
        <f>SUMIF(BC!$E$6:$E$347,$A495,BC!$K$6:$K$347)</f>
        <v>0</v>
      </c>
      <c r="L495" s="5" t="e">
        <f>SUMIF(#REF!,$A495,#REF!)+SUMIF(#REF!,$A495,#REF!)</f>
        <v>#REF!</v>
      </c>
      <c r="M495" s="5" t="e">
        <f>SUMIF(#REF!,Casilleros!$A495,#REF!)+SUMIF(#REF!,Casilleros!$A495,#REF!)+SUMIF(#REF!,$A495,#REF!)</f>
        <v>#REF!</v>
      </c>
      <c r="N495" s="5" t="e">
        <f>SUMIF(#REF!,$A495,#REF!)</f>
        <v>#REF!</v>
      </c>
      <c r="O495" s="5" t="e">
        <f>SUMIF(#REF!,$A495,#REF!)+SUMIF(#REF!,$A495,#REF!)</f>
        <v>#REF!</v>
      </c>
      <c r="P495" s="5">
        <f>IFERROR(VLOOKUP($A495,#REF!,2,FALSE),0)</f>
        <v>0</v>
      </c>
      <c r="Q495" s="42" t="e">
        <f t="shared" si="7"/>
        <v>#REF!</v>
      </c>
    </row>
    <row r="496" spans="1:17">
      <c r="A496" s="56" t="s">
        <v>1211</v>
      </c>
      <c r="B496" s="7" t="s">
        <v>28</v>
      </c>
      <c r="C496" s="7" t="s">
        <v>1369</v>
      </c>
      <c r="D496" s="7" t="s">
        <v>1205</v>
      </c>
      <c r="E496" s="7" t="s">
        <v>1210</v>
      </c>
      <c r="F496" s="7" t="s">
        <v>444</v>
      </c>
      <c r="G496" s="7" t="s">
        <v>444</v>
      </c>
      <c r="H496" s="7" t="s">
        <v>444</v>
      </c>
      <c r="I496" s="7" t="s">
        <v>1916</v>
      </c>
      <c r="K496" s="5">
        <f>SUMIF(BC!$E$6:$E$347,$A496,BC!$K$6:$K$347)</f>
        <v>0</v>
      </c>
      <c r="L496" s="5" t="e">
        <f>SUMIF(#REF!,$A496,#REF!)+SUMIF(#REF!,$A496,#REF!)</f>
        <v>#REF!</v>
      </c>
      <c r="M496" s="5" t="e">
        <f>SUMIF(#REF!,Casilleros!$A496,#REF!)+SUMIF(#REF!,Casilleros!$A496,#REF!)+SUMIF(#REF!,$A496,#REF!)</f>
        <v>#REF!</v>
      </c>
      <c r="N496" s="5" t="e">
        <f>SUMIF(#REF!,$A496,#REF!)</f>
        <v>#REF!</v>
      </c>
      <c r="O496" s="5" t="e">
        <f>SUMIF(#REF!,$A496,#REF!)+SUMIF(#REF!,$A496,#REF!)</f>
        <v>#REF!</v>
      </c>
      <c r="P496" s="5">
        <f>IFERROR(VLOOKUP($A496,#REF!,2,FALSE),0)</f>
        <v>0</v>
      </c>
      <c r="Q496" s="42" t="e">
        <f t="shared" si="7"/>
        <v>#REF!</v>
      </c>
    </row>
    <row r="497" spans="1:17">
      <c r="A497" s="56" t="s">
        <v>1214</v>
      </c>
      <c r="B497" s="7" t="s">
        <v>28</v>
      </c>
      <c r="C497" s="7" t="s">
        <v>1369</v>
      </c>
      <c r="D497" s="7" t="s">
        <v>1212</v>
      </c>
      <c r="E497" s="7" t="s">
        <v>1213</v>
      </c>
      <c r="F497" s="7" t="s">
        <v>444</v>
      </c>
      <c r="G497" s="7" t="s">
        <v>444</v>
      </c>
      <c r="H497" s="7" t="s">
        <v>444</v>
      </c>
      <c r="I497" s="7" t="s">
        <v>1917</v>
      </c>
      <c r="K497" s="5">
        <f>SUMIF(BC!$E$6:$E$347,$A497,BC!$K$6:$K$347)</f>
        <v>0</v>
      </c>
      <c r="L497" s="5" t="e">
        <f>SUMIF(#REF!,$A497,#REF!)+SUMIF(#REF!,$A497,#REF!)</f>
        <v>#REF!</v>
      </c>
      <c r="M497" s="5" t="e">
        <f>SUMIF(#REF!,Casilleros!$A497,#REF!)+SUMIF(#REF!,Casilleros!$A497,#REF!)+SUMIF(#REF!,$A497,#REF!)</f>
        <v>#REF!</v>
      </c>
      <c r="N497" s="5" t="e">
        <f>SUMIF(#REF!,$A497,#REF!)</f>
        <v>#REF!</v>
      </c>
      <c r="O497" s="5" t="e">
        <f>SUMIF(#REF!,$A497,#REF!)+SUMIF(#REF!,$A497,#REF!)</f>
        <v>#REF!</v>
      </c>
      <c r="P497" s="5">
        <f>IFERROR(VLOOKUP($A497,#REF!,2,FALSE),0)</f>
        <v>0</v>
      </c>
      <c r="Q497" s="42" t="e">
        <f t="shared" si="7"/>
        <v>#REF!</v>
      </c>
    </row>
    <row r="498" spans="1:17">
      <c r="A498" s="56" t="s">
        <v>1218</v>
      </c>
      <c r="B498" s="7" t="s">
        <v>28</v>
      </c>
      <c r="C498" s="7" t="s">
        <v>1369</v>
      </c>
      <c r="D498" s="7" t="s">
        <v>1212</v>
      </c>
      <c r="E498" s="7" t="s">
        <v>1215</v>
      </c>
      <c r="F498" s="7" t="s">
        <v>1201</v>
      </c>
      <c r="G498" s="7" t="s">
        <v>444</v>
      </c>
      <c r="H498" s="7" t="s">
        <v>444</v>
      </c>
      <c r="I498" s="7" t="s">
        <v>1484</v>
      </c>
      <c r="K498" s="5">
        <f>SUMIF(BC!$E$6:$E$347,$A498,BC!$K$6:$K$347)</f>
        <v>0</v>
      </c>
      <c r="L498" s="5" t="e">
        <f>SUMIF(#REF!,$A498,#REF!)+SUMIF(#REF!,$A498,#REF!)</f>
        <v>#REF!</v>
      </c>
      <c r="M498" s="5" t="e">
        <f>SUMIF(#REF!,Casilleros!$A498,#REF!)+SUMIF(#REF!,Casilleros!$A498,#REF!)+SUMIF(#REF!,$A498,#REF!)</f>
        <v>#REF!</v>
      </c>
      <c r="N498" s="5" t="e">
        <f>SUMIF(#REF!,$A498,#REF!)</f>
        <v>#REF!</v>
      </c>
      <c r="O498" s="5" t="e">
        <f>SUMIF(#REF!,$A498,#REF!)+SUMIF(#REF!,$A498,#REF!)</f>
        <v>#REF!</v>
      </c>
      <c r="P498" s="5">
        <f>IFERROR(VLOOKUP($A498,#REF!,2,FALSE),0)</f>
        <v>0</v>
      </c>
      <c r="Q498" s="42" t="e">
        <f t="shared" si="7"/>
        <v>#REF!</v>
      </c>
    </row>
    <row r="499" spans="1:17">
      <c r="A499" s="56" t="s">
        <v>1220</v>
      </c>
      <c r="B499" s="7" t="s">
        <v>28</v>
      </c>
      <c r="C499" s="7" t="s">
        <v>1369</v>
      </c>
      <c r="D499" s="7" t="s">
        <v>1212</v>
      </c>
      <c r="E499" s="7" t="s">
        <v>1215</v>
      </c>
      <c r="F499" s="7" t="s">
        <v>1203</v>
      </c>
      <c r="G499" s="7" t="s">
        <v>444</v>
      </c>
      <c r="H499" s="7" t="s">
        <v>444</v>
      </c>
      <c r="I499" s="7" t="s">
        <v>1485</v>
      </c>
      <c r="K499" s="5">
        <f>SUMIF(BC!$E$6:$E$347,$A499,BC!$K$6:$K$347)</f>
        <v>0</v>
      </c>
      <c r="L499" s="5" t="e">
        <f>SUMIF(#REF!,$A499,#REF!)+SUMIF(#REF!,$A499,#REF!)</f>
        <v>#REF!</v>
      </c>
      <c r="M499" s="5" t="e">
        <f>SUMIF(#REF!,Casilleros!$A499,#REF!)+SUMIF(#REF!,Casilleros!$A499,#REF!)+SUMIF(#REF!,$A499,#REF!)</f>
        <v>#REF!</v>
      </c>
      <c r="N499" s="5" t="e">
        <f>SUMIF(#REF!,$A499,#REF!)</f>
        <v>#REF!</v>
      </c>
      <c r="O499" s="5" t="e">
        <f>SUMIF(#REF!,$A499,#REF!)+SUMIF(#REF!,$A499,#REF!)</f>
        <v>#REF!</v>
      </c>
      <c r="P499" s="5">
        <f>IFERROR(VLOOKUP($A499,#REF!,2,FALSE),0)</f>
        <v>0</v>
      </c>
      <c r="Q499" s="42" t="e">
        <f t="shared" si="7"/>
        <v>#REF!</v>
      </c>
    </row>
    <row r="500" spans="1:17">
      <c r="A500" s="56" t="s">
        <v>1223</v>
      </c>
      <c r="B500" s="7" t="s">
        <v>28</v>
      </c>
      <c r="C500" s="7" t="s">
        <v>1369</v>
      </c>
      <c r="D500" s="7" t="s">
        <v>1212</v>
      </c>
      <c r="E500" s="7" t="s">
        <v>1222</v>
      </c>
      <c r="F500" s="7" t="s">
        <v>444</v>
      </c>
      <c r="G500" s="7" t="s">
        <v>444</v>
      </c>
      <c r="H500" s="7" t="s">
        <v>444</v>
      </c>
      <c r="I500" s="7" t="s">
        <v>1486</v>
      </c>
      <c r="K500" s="5">
        <f>SUMIF(BC!$E$6:$E$347,$A500,BC!$K$6:$K$347)</f>
        <v>0</v>
      </c>
      <c r="L500" s="5" t="e">
        <f>SUMIF(#REF!,$A500,#REF!)+SUMIF(#REF!,$A500,#REF!)</f>
        <v>#REF!</v>
      </c>
      <c r="M500" s="5" t="e">
        <f>SUMIF(#REF!,Casilleros!$A500,#REF!)+SUMIF(#REF!,Casilleros!$A500,#REF!)+SUMIF(#REF!,$A500,#REF!)</f>
        <v>#REF!</v>
      </c>
      <c r="N500" s="5" t="e">
        <f>SUMIF(#REF!,$A500,#REF!)</f>
        <v>#REF!</v>
      </c>
      <c r="O500" s="5" t="e">
        <f>SUMIF(#REF!,$A500,#REF!)+SUMIF(#REF!,$A500,#REF!)</f>
        <v>#REF!</v>
      </c>
      <c r="P500" s="5">
        <f>IFERROR(VLOOKUP($A500,#REF!,2,FALSE),0)</f>
        <v>0</v>
      </c>
      <c r="Q500" s="42" t="e">
        <f t="shared" si="7"/>
        <v>#REF!</v>
      </c>
    </row>
    <row r="501" spans="1:17">
      <c r="A501" s="56" t="s">
        <v>1226</v>
      </c>
      <c r="B501" s="7" t="s">
        <v>28</v>
      </c>
      <c r="C501" s="7" t="s">
        <v>1369</v>
      </c>
      <c r="D501" s="7" t="s">
        <v>1212</v>
      </c>
      <c r="E501" s="7" t="s">
        <v>1225</v>
      </c>
      <c r="F501" s="7" t="s">
        <v>444</v>
      </c>
      <c r="G501" s="7" t="s">
        <v>444</v>
      </c>
      <c r="H501" s="7" t="s">
        <v>444</v>
      </c>
      <c r="I501" s="7" t="s">
        <v>1487</v>
      </c>
      <c r="K501" s="5">
        <f>SUMIF(BC!$E$6:$E$347,$A501,BC!$K$6:$K$347)</f>
        <v>0</v>
      </c>
      <c r="L501" s="5" t="e">
        <f>SUMIF(#REF!,$A501,#REF!)+SUMIF(#REF!,$A501,#REF!)</f>
        <v>#REF!</v>
      </c>
      <c r="M501" s="5" t="e">
        <f>SUMIF(#REF!,Casilleros!$A501,#REF!)+SUMIF(#REF!,Casilleros!$A501,#REF!)+SUMIF(#REF!,$A501,#REF!)</f>
        <v>#REF!</v>
      </c>
      <c r="N501" s="5" t="e">
        <f>SUMIF(#REF!,$A501,#REF!)</f>
        <v>#REF!</v>
      </c>
      <c r="O501" s="5" t="e">
        <f>SUMIF(#REF!,$A501,#REF!)+SUMIF(#REF!,$A501,#REF!)</f>
        <v>#REF!</v>
      </c>
      <c r="P501" s="5">
        <f>IFERROR(VLOOKUP($A501,#REF!,2,FALSE),0)</f>
        <v>0</v>
      </c>
      <c r="Q501" s="42" t="e">
        <f t="shared" si="7"/>
        <v>#REF!</v>
      </c>
    </row>
    <row r="502" spans="1:17">
      <c r="A502" s="56" t="s">
        <v>1229</v>
      </c>
      <c r="B502" s="7" t="s">
        <v>28</v>
      </c>
      <c r="C502" s="7" t="s">
        <v>1369</v>
      </c>
      <c r="D502" s="7" t="s">
        <v>1228</v>
      </c>
      <c r="E502" s="7" t="s">
        <v>444</v>
      </c>
      <c r="F502" s="7" t="s">
        <v>444</v>
      </c>
      <c r="G502" s="7" t="s">
        <v>444</v>
      </c>
      <c r="H502" s="7" t="s">
        <v>444</v>
      </c>
      <c r="I502" s="7" t="s">
        <v>1918</v>
      </c>
      <c r="K502" s="5">
        <f>SUMIF(BC!$E$6:$E$347,$A502,BC!$K$6:$K$347)</f>
        <v>0</v>
      </c>
      <c r="L502" s="5" t="e">
        <f>SUMIF(#REF!,$A502,#REF!)+SUMIF(#REF!,$A502,#REF!)</f>
        <v>#REF!</v>
      </c>
      <c r="M502" s="5" t="e">
        <f>SUMIF(#REF!,Casilleros!$A502,#REF!)+SUMIF(#REF!,Casilleros!$A502,#REF!)+SUMIF(#REF!,$A502,#REF!)</f>
        <v>#REF!</v>
      </c>
      <c r="N502" s="5" t="e">
        <f>SUMIF(#REF!,$A502,#REF!)</f>
        <v>#REF!</v>
      </c>
      <c r="O502" s="5" t="e">
        <f>SUMIF(#REF!,$A502,#REF!)+SUMIF(#REF!,$A502,#REF!)</f>
        <v>#REF!</v>
      </c>
      <c r="P502" s="5">
        <f>IFERROR(VLOOKUP($A502,#REF!,2,FALSE),0)</f>
        <v>0</v>
      </c>
      <c r="Q502" s="42" t="e">
        <f t="shared" si="7"/>
        <v>#REF!</v>
      </c>
    </row>
    <row r="503" spans="1:17">
      <c r="A503" s="56" t="s">
        <v>1231</v>
      </c>
      <c r="B503" s="7" t="s">
        <v>28</v>
      </c>
      <c r="C503" s="7" t="s">
        <v>1369</v>
      </c>
      <c r="D503" s="7" t="s">
        <v>1230</v>
      </c>
      <c r="E503" s="7" t="s">
        <v>444</v>
      </c>
      <c r="F503" s="7" t="s">
        <v>444</v>
      </c>
      <c r="G503" s="7" t="s">
        <v>444</v>
      </c>
      <c r="H503" s="7" t="s">
        <v>444</v>
      </c>
      <c r="I503" s="7" t="s">
        <v>1919</v>
      </c>
      <c r="K503" s="5">
        <f>SUMIF(BC!$E$6:$E$347,$A503,BC!$K$6:$K$347)</f>
        <v>0</v>
      </c>
      <c r="L503" s="5" t="e">
        <f>SUMIF(#REF!,$A503,#REF!)+SUMIF(#REF!,$A503,#REF!)</f>
        <v>#REF!</v>
      </c>
      <c r="M503" s="5" t="e">
        <f>SUMIF(#REF!,Casilleros!$A503,#REF!)+SUMIF(#REF!,Casilleros!$A503,#REF!)+SUMIF(#REF!,$A503,#REF!)</f>
        <v>#REF!</v>
      </c>
      <c r="N503" s="5" t="e">
        <f>SUMIF(#REF!,$A503,#REF!)</f>
        <v>#REF!</v>
      </c>
      <c r="O503" s="5" t="e">
        <f>SUMIF(#REF!,$A503,#REF!)+SUMIF(#REF!,$A503,#REF!)</f>
        <v>#REF!</v>
      </c>
      <c r="P503" s="5">
        <f>IFERROR(VLOOKUP($A503,#REF!,2,FALSE),0)</f>
        <v>0</v>
      </c>
      <c r="Q503" s="42" t="e">
        <f t="shared" si="7"/>
        <v>#REF!</v>
      </c>
    </row>
    <row r="504" spans="1:17">
      <c r="A504" s="56" t="s">
        <v>1233</v>
      </c>
      <c r="B504" s="7" t="s">
        <v>28</v>
      </c>
      <c r="C504" s="7" t="s">
        <v>1369</v>
      </c>
      <c r="D504" s="7" t="s">
        <v>1232</v>
      </c>
      <c r="E504" s="7" t="s">
        <v>444</v>
      </c>
      <c r="F504" s="7" t="s">
        <v>444</v>
      </c>
      <c r="G504" s="7" t="s">
        <v>444</v>
      </c>
      <c r="H504" s="7" t="s">
        <v>444</v>
      </c>
      <c r="I504" s="7" t="s">
        <v>1920</v>
      </c>
      <c r="K504" s="5">
        <f>SUMIF(BC!$E$6:$E$347,$A504,BC!$K$6:$K$347)</f>
        <v>0</v>
      </c>
      <c r="L504" s="5" t="e">
        <f>SUMIF(#REF!,$A504,#REF!)+SUMIF(#REF!,$A504,#REF!)</f>
        <v>#REF!</v>
      </c>
      <c r="M504" s="5" t="e">
        <f>SUMIF(#REF!,Casilleros!$A504,#REF!)+SUMIF(#REF!,Casilleros!$A504,#REF!)+SUMIF(#REF!,$A504,#REF!)</f>
        <v>#REF!</v>
      </c>
      <c r="N504" s="5" t="e">
        <f>SUMIF(#REF!,$A504,#REF!)</f>
        <v>#REF!</v>
      </c>
      <c r="O504" s="5" t="e">
        <f>SUMIF(#REF!,$A504,#REF!)+SUMIF(#REF!,$A504,#REF!)</f>
        <v>#REF!</v>
      </c>
      <c r="P504" s="5">
        <f>IFERROR(VLOOKUP($A504,#REF!,2,FALSE),0)</f>
        <v>0</v>
      </c>
      <c r="Q504" s="42" t="e">
        <f t="shared" si="7"/>
        <v>#REF!</v>
      </c>
    </row>
    <row r="505" spans="1:17">
      <c r="A505" s="56" t="s">
        <v>1235</v>
      </c>
      <c r="B505" s="7" t="s">
        <v>28</v>
      </c>
      <c r="C505" s="7" t="s">
        <v>1369</v>
      </c>
      <c r="D505" s="7" t="s">
        <v>1234</v>
      </c>
      <c r="E505" s="7" t="s">
        <v>444</v>
      </c>
      <c r="F505" s="7" t="s">
        <v>444</v>
      </c>
      <c r="G505" s="7" t="s">
        <v>444</v>
      </c>
      <c r="H505" s="7" t="s">
        <v>444</v>
      </c>
      <c r="I505" s="7" t="s">
        <v>1921</v>
      </c>
      <c r="K505" s="5">
        <f>SUMIF(BC!$E$6:$E$347,$A505,BC!$K$6:$K$347)</f>
        <v>0</v>
      </c>
      <c r="L505" s="5" t="e">
        <f>SUMIF(#REF!,$A505,#REF!)+SUMIF(#REF!,$A505,#REF!)</f>
        <v>#REF!</v>
      </c>
      <c r="M505" s="5" t="e">
        <f>SUMIF(#REF!,Casilleros!$A505,#REF!)+SUMIF(#REF!,Casilleros!$A505,#REF!)+SUMIF(#REF!,$A505,#REF!)</f>
        <v>#REF!</v>
      </c>
      <c r="N505" s="5" t="e">
        <f>SUMIF(#REF!,$A505,#REF!)</f>
        <v>#REF!</v>
      </c>
      <c r="O505" s="5" t="e">
        <f>SUMIF(#REF!,$A505,#REF!)+SUMIF(#REF!,$A505,#REF!)</f>
        <v>#REF!</v>
      </c>
      <c r="P505" s="5">
        <f>IFERROR(VLOOKUP($A505,#REF!,2,FALSE),0)</f>
        <v>0</v>
      </c>
      <c r="Q505" s="42" t="e">
        <f t="shared" si="7"/>
        <v>#REF!</v>
      </c>
    </row>
    <row r="506" spans="1:17">
      <c r="A506" s="56" t="s">
        <v>1237</v>
      </c>
      <c r="B506" s="7" t="s">
        <v>28</v>
      </c>
      <c r="C506" s="7" t="s">
        <v>1369</v>
      </c>
      <c r="D506" s="7" t="s">
        <v>1236</v>
      </c>
      <c r="E506" s="7" t="s">
        <v>444</v>
      </c>
      <c r="F506" s="7" t="s">
        <v>444</v>
      </c>
      <c r="G506" s="7" t="s">
        <v>444</v>
      </c>
      <c r="H506" s="7" t="s">
        <v>444</v>
      </c>
      <c r="I506" s="7" t="s">
        <v>1922</v>
      </c>
      <c r="K506" s="5">
        <f>SUMIF(BC!$E$6:$E$347,$A506,BC!$K$6:$K$347)</f>
        <v>0</v>
      </c>
      <c r="L506" s="5" t="e">
        <f>SUMIF(#REF!,$A506,#REF!)+SUMIF(#REF!,$A506,#REF!)</f>
        <v>#REF!</v>
      </c>
      <c r="M506" s="5" t="e">
        <f>SUMIF(#REF!,Casilleros!$A506,#REF!)+SUMIF(#REF!,Casilleros!$A506,#REF!)+SUMIF(#REF!,$A506,#REF!)</f>
        <v>#REF!</v>
      </c>
      <c r="N506" s="5" t="e">
        <f>SUMIF(#REF!,$A506,#REF!)</f>
        <v>#REF!</v>
      </c>
      <c r="O506" s="5" t="e">
        <f>SUMIF(#REF!,$A506,#REF!)+SUMIF(#REF!,$A506,#REF!)</f>
        <v>#REF!</v>
      </c>
      <c r="P506" s="5">
        <f>IFERROR(VLOOKUP($A506,#REF!,2,FALSE),0)</f>
        <v>0</v>
      </c>
      <c r="Q506" s="42" t="e">
        <f t="shared" si="7"/>
        <v>#REF!</v>
      </c>
    </row>
    <row r="507" spans="1:17">
      <c r="A507" s="56" t="s">
        <v>1239</v>
      </c>
      <c r="B507" s="7" t="s">
        <v>28</v>
      </c>
      <c r="C507" s="7" t="s">
        <v>1369</v>
      </c>
      <c r="D507" s="7" t="s">
        <v>1238</v>
      </c>
      <c r="E507" s="7" t="s">
        <v>444</v>
      </c>
      <c r="F507" s="7" t="s">
        <v>444</v>
      </c>
      <c r="G507" s="7" t="s">
        <v>444</v>
      </c>
      <c r="H507" s="7" t="s">
        <v>444</v>
      </c>
      <c r="I507" s="7" t="s">
        <v>1923</v>
      </c>
      <c r="K507" s="5">
        <f>SUMIF(BC!$E$6:$E$347,$A507,BC!$K$6:$K$347)</f>
        <v>0</v>
      </c>
      <c r="L507" s="5" t="e">
        <f>SUMIF(#REF!,$A507,#REF!)+SUMIF(#REF!,$A507,#REF!)</f>
        <v>#REF!</v>
      </c>
      <c r="M507" s="5" t="e">
        <f>SUMIF(#REF!,Casilleros!$A507,#REF!)+SUMIF(#REF!,Casilleros!$A507,#REF!)+SUMIF(#REF!,$A507,#REF!)</f>
        <v>#REF!</v>
      </c>
      <c r="N507" s="5" t="e">
        <f>SUMIF(#REF!,$A507,#REF!)</f>
        <v>#REF!</v>
      </c>
      <c r="O507" s="5" t="e">
        <f>SUMIF(#REF!,$A507,#REF!)+SUMIF(#REF!,$A507,#REF!)</f>
        <v>#REF!</v>
      </c>
      <c r="P507" s="5">
        <f>IFERROR(VLOOKUP($A507,#REF!,2,FALSE),0)</f>
        <v>0</v>
      </c>
      <c r="Q507" s="42" t="e">
        <f t="shared" si="7"/>
        <v>#REF!</v>
      </c>
    </row>
    <row r="508" spans="1:17">
      <c r="A508" s="56" t="s">
        <v>1241</v>
      </c>
      <c r="B508" s="7" t="s">
        <v>28</v>
      </c>
      <c r="C508" s="7" t="s">
        <v>1369</v>
      </c>
      <c r="D508" s="7" t="s">
        <v>1240</v>
      </c>
      <c r="E508" s="7" t="s">
        <v>444</v>
      </c>
      <c r="F508" s="7" t="s">
        <v>444</v>
      </c>
      <c r="G508" s="7" t="s">
        <v>444</v>
      </c>
      <c r="H508" s="7" t="s">
        <v>444</v>
      </c>
      <c r="I508" s="7" t="s">
        <v>1924</v>
      </c>
      <c r="K508" s="5">
        <f>SUMIF(BC!$E$6:$E$347,$A508,BC!$K$6:$K$347)</f>
        <v>0</v>
      </c>
      <c r="L508" s="5" t="e">
        <f>SUMIF(#REF!,$A508,#REF!)+SUMIF(#REF!,$A508,#REF!)</f>
        <v>#REF!</v>
      </c>
      <c r="M508" s="5" t="e">
        <f>SUMIF(#REF!,Casilleros!$A508,#REF!)+SUMIF(#REF!,Casilleros!$A508,#REF!)+SUMIF(#REF!,$A508,#REF!)</f>
        <v>#REF!</v>
      </c>
      <c r="N508" s="5" t="e">
        <f>SUMIF(#REF!,$A508,#REF!)</f>
        <v>#REF!</v>
      </c>
      <c r="O508" s="5" t="e">
        <f>SUMIF(#REF!,$A508,#REF!)+SUMIF(#REF!,$A508,#REF!)</f>
        <v>#REF!</v>
      </c>
      <c r="P508" s="5">
        <f>IFERROR(VLOOKUP($A508,#REF!,2,FALSE),0)</f>
        <v>0</v>
      </c>
      <c r="Q508" s="42" t="e">
        <f t="shared" si="7"/>
        <v>#REF!</v>
      </c>
    </row>
    <row r="509" spans="1:17">
      <c r="A509" s="56" t="s">
        <v>1243</v>
      </c>
      <c r="B509" s="7" t="s">
        <v>28</v>
      </c>
      <c r="C509" s="7" t="s">
        <v>1369</v>
      </c>
      <c r="D509" s="7" t="s">
        <v>1242</v>
      </c>
      <c r="E509" s="7" t="s">
        <v>444</v>
      </c>
      <c r="F509" s="7" t="s">
        <v>444</v>
      </c>
      <c r="G509" s="7" t="s">
        <v>444</v>
      </c>
      <c r="H509" s="7" t="s">
        <v>444</v>
      </c>
      <c r="I509" s="7" t="s">
        <v>1925</v>
      </c>
      <c r="K509" s="5">
        <f>SUMIF(BC!$E$6:$E$347,$A509,BC!$K$6:$K$347)</f>
        <v>0</v>
      </c>
      <c r="L509" s="5" t="e">
        <f>SUMIF(#REF!,$A509,#REF!)+SUMIF(#REF!,$A509,#REF!)</f>
        <v>#REF!</v>
      </c>
      <c r="M509" s="5" t="e">
        <f>SUMIF(#REF!,Casilleros!$A509,#REF!)+SUMIF(#REF!,Casilleros!$A509,#REF!)+SUMIF(#REF!,$A509,#REF!)</f>
        <v>#REF!</v>
      </c>
      <c r="N509" s="5" t="e">
        <f>SUMIF(#REF!,$A509,#REF!)</f>
        <v>#REF!</v>
      </c>
      <c r="O509" s="5" t="e">
        <f>SUMIF(#REF!,$A509,#REF!)+SUMIF(#REF!,$A509,#REF!)</f>
        <v>#REF!</v>
      </c>
      <c r="P509" s="5">
        <f>IFERROR(VLOOKUP($A509,#REF!,2,FALSE),0)</f>
        <v>0</v>
      </c>
      <c r="Q509" s="42" t="e">
        <f t="shared" si="7"/>
        <v>#REF!</v>
      </c>
    </row>
    <row r="510" spans="1:17">
      <c r="A510" s="56" t="s">
        <v>1245</v>
      </c>
      <c r="B510" s="7" t="s">
        <v>28</v>
      </c>
      <c r="C510" s="7" t="s">
        <v>1369</v>
      </c>
      <c r="D510" s="7" t="s">
        <v>1244</v>
      </c>
      <c r="E510" s="7" t="s">
        <v>444</v>
      </c>
      <c r="F510" s="7" t="s">
        <v>444</v>
      </c>
      <c r="G510" s="7" t="s">
        <v>444</v>
      </c>
      <c r="H510" s="7" t="s">
        <v>444</v>
      </c>
      <c r="I510" s="7" t="s">
        <v>1926</v>
      </c>
      <c r="K510" s="5">
        <f>SUMIF(BC!$E$6:$E$347,$A510,BC!$K$6:$K$347)</f>
        <v>0</v>
      </c>
      <c r="L510" s="5" t="e">
        <f>SUMIF(#REF!,$A510,#REF!)+SUMIF(#REF!,$A510,#REF!)</f>
        <v>#REF!</v>
      </c>
      <c r="M510" s="5" t="e">
        <f>SUMIF(#REF!,Casilleros!$A510,#REF!)+SUMIF(#REF!,Casilleros!$A510,#REF!)+SUMIF(#REF!,$A510,#REF!)</f>
        <v>#REF!</v>
      </c>
      <c r="N510" s="5" t="e">
        <f>SUMIF(#REF!,$A510,#REF!)</f>
        <v>#REF!</v>
      </c>
      <c r="O510" s="5" t="e">
        <f>SUMIF(#REF!,$A510,#REF!)+SUMIF(#REF!,$A510,#REF!)</f>
        <v>#REF!</v>
      </c>
      <c r="P510" s="5">
        <f>IFERROR(VLOOKUP($A510,#REF!,2,FALSE),0)</f>
        <v>0</v>
      </c>
      <c r="Q510" s="42" t="e">
        <f t="shared" si="7"/>
        <v>#REF!</v>
      </c>
    </row>
    <row r="511" spans="1:17">
      <c r="A511" s="56" t="s">
        <v>1247</v>
      </c>
      <c r="B511" s="7" t="s">
        <v>28</v>
      </c>
      <c r="C511" s="7" t="s">
        <v>1369</v>
      </c>
      <c r="D511" s="7" t="s">
        <v>1246</v>
      </c>
      <c r="E511" s="7" t="s">
        <v>444</v>
      </c>
      <c r="F511" s="7" t="s">
        <v>444</v>
      </c>
      <c r="G511" s="7" t="s">
        <v>444</v>
      </c>
      <c r="H511" s="7" t="s">
        <v>444</v>
      </c>
      <c r="I511" s="7" t="s">
        <v>1927</v>
      </c>
      <c r="K511" s="5">
        <f>SUMIF(BC!$E$6:$E$347,$A511,BC!$K$6:$K$347)</f>
        <v>0</v>
      </c>
      <c r="L511" s="5" t="e">
        <f>SUMIF(#REF!,$A511,#REF!)+SUMIF(#REF!,$A511,#REF!)</f>
        <v>#REF!</v>
      </c>
      <c r="M511" s="5" t="e">
        <f>SUMIF(#REF!,Casilleros!$A511,#REF!)+SUMIF(#REF!,Casilleros!$A511,#REF!)+SUMIF(#REF!,$A511,#REF!)</f>
        <v>#REF!</v>
      </c>
      <c r="N511" s="5" t="e">
        <f>SUMIF(#REF!,$A511,#REF!)</f>
        <v>#REF!</v>
      </c>
      <c r="O511" s="5" t="e">
        <f>SUMIF(#REF!,$A511,#REF!)+SUMIF(#REF!,$A511,#REF!)</f>
        <v>#REF!</v>
      </c>
      <c r="P511" s="5">
        <f>IFERROR(VLOOKUP($A511,#REF!,2,FALSE),0)</f>
        <v>0</v>
      </c>
      <c r="Q511" s="42" t="e">
        <f t="shared" si="7"/>
        <v>#REF!</v>
      </c>
    </row>
    <row r="512" spans="1:17">
      <c r="A512" s="56" t="s">
        <v>1249</v>
      </c>
      <c r="B512" s="7" t="s">
        <v>28</v>
      </c>
      <c r="C512" s="7" t="s">
        <v>1369</v>
      </c>
      <c r="D512" s="7" t="s">
        <v>1248</v>
      </c>
      <c r="E512" s="7" t="s">
        <v>444</v>
      </c>
      <c r="F512" s="7" t="s">
        <v>444</v>
      </c>
      <c r="G512" s="7" t="s">
        <v>444</v>
      </c>
      <c r="H512" s="7" t="s">
        <v>444</v>
      </c>
      <c r="I512" s="7" t="s">
        <v>1928</v>
      </c>
      <c r="K512" s="5">
        <f>SUMIF(BC!$E$6:$E$347,$A512,BC!$K$6:$K$347)</f>
        <v>0</v>
      </c>
      <c r="L512" s="5" t="e">
        <f>SUMIF(#REF!,$A512,#REF!)+SUMIF(#REF!,$A512,#REF!)</f>
        <v>#REF!</v>
      </c>
      <c r="M512" s="5" t="e">
        <f>SUMIF(#REF!,Casilleros!$A512,#REF!)+SUMIF(#REF!,Casilleros!$A512,#REF!)+SUMIF(#REF!,$A512,#REF!)</f>
        <v>#REF!</v>
      </c>
      <c r="N512" s="5" t="e">
        <f>SUMIF(#REF!,$A512,#REF!)</f>
        <v>#REF!</v>
      </c>
      <c r="O512" s="5" t="e">
        <f>SUMIF(#REF!,$A512,#REF!)+SUMIF(#REF!,$A512,#REF!)</f>
        <v>#REF!</v>
      </c>
      <c r="P512" s="5">
        <f>IFERROR(VLOOKUP($A512,#REF!,2,FALSE),0)</f>
        <v>0</v>
      </c>
      <c r="Q512" s="42" t="e">
        <f t="shared" si="7"/>
        <v>#REF!</v>
      </c>
    </row>
    <row r="513" spans="1:17">
      <c r="A513" s="56" t="s">
        <v>1251</v>
      </c>
      <c r="B513" s="7" t="s">
        <v>28</v>
      </c>
      <c r="C513" s="7" t="s">
        <v>1369</v>
      </c>
      <c r="D513" s="7" t="s">
        <v>1250</v>
      </c>
      <c r="E513" s="7" t="s">
        <v>444</v>
      </c>
      <c r="F513" s="7" t="s">
        <v>444</v>
      </c>
      <c r="G513" s="7" t="s">
        <v>444</v>
      </c>
      <c r="H513" s="7" t="s">
        <v>444</v>
      </c>
      <c r="I513" s="7" t="s">
        <v>1929</v>
      </c>
      <c r="K513" s="5">
        <f>SUMIF(BC!$E$6:$E$347,$A513,BC!$K$6:$K$347)</f>
        <v>0</v>
      </c>
      <c r="L513" s="5" t="e">
        <f>SUMIF(#REF!,$A513,#REF!)+SUMIF(#REF!,$A513,#REF!)</f>
        <v>#REF!</v>
      </c>
      <c r="M513" s="5" t="e">
        <f>SUMIF(#REF!,Casilleros!$A513,#REF!)+SUMIF(#REF!,Casilleros!$A513,#REF!)+SUMIF(#REF!,$A513,#REF!)</f>
        <v>#REF!</v>
      </c>
      <c r="N513" s="5" t="e">
        <f>SUMIF(#REF!,$A513,#REF!)</f>
        <v>#REF!</v>
      </c>
      <c r="O513" s="5" t="e">
        <f>SUMIF(#REF!,$A513,#REF!)+SUMIF(#REF!,$A513,#REF!)</f>
        <v>#REF!</v>
      </c>
      <c r="P513" s="5">
        <f>IFERROR(VLOOKUP($A513,#REF!,2,FALSE),0)</f>
        <v>0</v>
      </c>
      <c r="Q513" s="42" t="e">
        <f t="shared" si="7"/>
        <v>#REF!</v>
      </c>
    </row>
    <row r="514" spans="1:17">
      <c r="A514" s="56" t="s">
        <v>1253</v>
      </c>
      <c r="B514" s="7" t="s">
        <v>28</v>
      </c>
      <c r="C514" s="7" t="s">
        <v>1369</v>
      </c>
      <c r="D514" s="7" t="s">
        <v>1252</v>
      </c>
      <c r="E514" s="7" t="s">
        <v>444</v>
      </c>
      <c r="F514" s="7" t="s">
        <v>444</v>
      </c>
      <c r="G514" s="7" t="s">
        <v>444</v>
      </c>
      <c r="H514" s="7" t="s">
        <v>444</v>
      </c>
      <c r="I514" s="7" t="s">
        <v>1930</v>
      </c>
      <c r="K514" s="5">
        <f>SUMIF(BC!$E$6:$E$347,$A514,BC!$K$6:$K$347)</f>
        <v>0</v>
      </c>
      <c r="L514" s="5" t="e">
        <f>SUMIF(#REF!,$A514,#REF!)+SUMIF(#REF!,$A514,#REF!)</f>
        <v>#REF!</v>
      </c>
      <c r="M514" s="5" t="e">
        <f>SUMIF(#REF!,Casilleros!$A514,#REF!)+SUMIF(#REF!,Casilleros!$A514,#REF!)+SUMIF(#REF!,$A514,#REF!)</f>
        <v>#REF!</v>
      </c>
      <c r="N514" s="5" t="e">
        <f>SUMIF(#REF!,$A514,#REF!)</f>
        <v>#REF!</v>
      </c>
      <c r="O514" s="5" t="e">
        <f>SUMIF(#REF!,$A514,#REF!)+SUMIF(#REF!,$A514,#REF!)</f>
        <v>#REF!</v>
      </c>
      <c r="P514" s="5">
        <f>IFERROR(VLOOKUP($A514,#REF!,2,FALSE),0)</f>
        <v>0</v>
      </c>
      <c r="Q514" s="42" t="e">
        <f t="shared" si="7"/>
        <v>#REF!</v>
      </c>
    </row>
    <row r="515" spans="1:17">
      <c r="A515" s="56" t="s">
        <v>1255</v>
      </c>
      <c r="B515" s="7" t="s">
        <v>28</v>
      </c>
      <c r="C515" s="7" t="s">
        <v>1369</v>
      </c>
      <c r="D515" s="7" t="s">
        <v>1254</v>
      </c>
      <c r="E515" s="7" t="s">
        <v>444</v>
      </c>
      <c r="F515" s="7" t="s">
        <v>444</v>
      </c>
      <c r="G515" s="7" t="s">
        <v>444</v>
      </c>
      <c r="H515" s="7" t="s">
        <v>444</v>
      </c>
      <c r="I515" s="7" t="s">
        <v>1931</v>
      </c>
      <c r="K515" s="5">
        <f>SUMIF(BC!$E$6:$E$347,$A515,BC!$K$6:$K$347)</f>
        <v>0</v>
      </c>
      <c r="L515" s="5" t="e">
        <f>SUMIF(#REF!,$A515,#REF!)+SUMIF(#REF!,$A515,#REF!)</f>
        <v>#REF!</v>
      </c>
      <c r="M515" s="5" t="e">
        <f>SUMIF(#REF!,Casilleros!$A515,#REF!)+SUMIF(#REF!,Casilleros!$A515,#REF!)+SUMIF(#REF!,$A515,#REF!)</f>
        <v>#REF!</v>
      </c>
      <c r="N515" s="5" t="e">
        <f>SUMIF(#REF!,$A515,#REF!)</f>
        <v>#REF!</v>
      </c>
      <c r="O515" s="5" t="e">
        <f>SUMIF(#REF!,$A515,#REF!)+SUMIF(#REF!,$A515,#REF!)</f>
        <v>#REF!</v>
      </c>
      <c r="P515" s="5">
        <f>IFERROR(VLOOKUP($A515,#REF!,2,FALSE),0)</f>
        <v>0</v>
      </c>
      <c r="Q515" s="42" t="e">
        <f t="shared" si="7"/>
        <v>#REF!</v>
      </c>
    </row>
    <row r="516" spans="1:17">
      <c r="A516" s="56" t="s">
        <v>1257</v>
      </c>
      <c r="B516" s="7" t="s">
        <v>28</v>
      </c>
      <c r="C516" s="7" t="s">
        <v>1369</v>
      </c>
      <c r="D516" s="7" t="s">
        <v>1256</v>
      </c>
      <c r="E516" s="7" t="s">
        <v>444</v>
      </c>
      <c r="F516" s="7" t="s">
        <v>444</v>
      </c>
      <c r="G516" s="7" t="s">
        <v>444</v>
      </c>
      <c r="H516" s="7" t="s">
        <v>444</v>
      </c>
      <c r="I516" s="7" t="s">
        <v>1932</v>
      </c>
      <c r="K516" s="5">
        <f>SUMIF(BC!$E$6:$E$347,$A516,BC!$K$6:$K$347)</f>
        <v>0</v>
      </c>
      <c r="L516" s="5" t="e">
        <f>SUMIF(#REF!,$A516,#REF!)+SUMIF(#REF!,$A516,#REF!)</f>
        <v>#REF!</v>
      </c>
      <c r="M516" s="5" t="e">
        <f>SUMIF(#REF!,Casilleros!$A516,#REF!)+SUMIF(#REF!,Casilleros!$A516,#REF!)+SUMIF(#REF!,$A516,#REF!)</f>
        <v>#REF!</v>
      </c>
      <c r="N516" s="5" t="e">
        <f>SUMIF(#REF!,$A516,#REF!)</f>
        <v>#REF!</v>
      </c>
      <c r="O516" s="5" t="e">
        <f>SUMIF(#REF!,$A516,#REF!)+SUMIF(#REF!,$A516,#REF!)</f>
        <v>#REF!</v>
      </c>
      <c r="P516" s="5">
        <f>IFERROR(VLOOKUP($A516,#REF!,2,FALSE),0)</f>
        <v>0</v>
      </c>
      <c r="Q516" s="42" t="e">
        <f t="shared" si="7"/>
        <v>#REF!</v>
      </c>
    </row>
    <row r="517" spans="1:17">
      <c r="A517" s="56" t="s">
        <v>1259</v>
      </c>
      <c r="B517" s="7" t="s">
        <v>28</v>
      </c>
      <c r="C517" s="7" t="s">
        <v>1369</v>
      </c>
      <c r="D517" s="7" t="s">
        <v>1258</v>
      </c>
      <c r="E517" s="7" t="s">
        <v>444</v>
      </c>
      <c r="F517" s="7" t="s">
        <v>444</v>
      </c>
      <c r="G517" s="7" t="s">
        <v>444</v>
      </c>
      <c r="H517" s="7" t="s">
        <v>444</v>
      </c>
      <c r="I517" s="7" t="s">
        <v>1933</v>
      </c>
      <c r="K517" s="5">
        <f>SUMIF(BC!$E$6:$E$347,$A517,BC!$K$6:$K$347)</f>
        <v>0</v>
      </c>
      <c r="L517" s="5" t="e">
        <f>SUMIF(#REF!,$A517,#REF!)+SUMIF(#REF!,$A517,#REF!)</f>
        <v>#REF!</v>
      </c>
      <c r="M517" s="5" t="e">
        <f>SUMIF(#REF!,Casilleros!$A517,#REF!)+SUMIF(#REF!,Casilleros!$A517,#REF!)+SUMIF(#REF!,$A517,#REF!)</f>
        <v>#REF!</v>
      </c>
      <c r="N517" s="5" t="e">
        <f>SUMIF(#REF!,$A517,#REF!)</f>
        <v>#REF!</v>
      </c>
      <c r="O517" s="5" t="e">
        <f>SUMIF(#REF!,$A517,#REF!)+SUMIF(#REF!,$A517,#REF!)</f>
        <v>#REF!</v>
      </c>
      <c r="P517" s="5">
        <f>IFERROR(VLOOKUP($A517,#REF!,2,FALSE),0)</f>
        <v>0</v>
      </c>
      <c r="Q517" s="42" t="e">
        <f t="shared" si="7"/>
        <v>#REF!</v>
      </c>
    </row>
    <row r="518" spans="1:17">
      <c r="A518" s="56" t="s">
        <v>1261</v>
      </c>
      <c r="B518" s="7" t="s">
        <v>28</v>
      </c>
      <c r="C518" s="7" t="s">
        <v>1369</v>
      </c>
      <c r="D518" s="7" t="s">
        <v>1260</v>
      </c>
      <c r="E518" s="7" t="s">
        <v>444</v>
      </c>
      <c r="F518" s="7" t="s">
        <v>444</v>
      </c>
      <c r="G518" s="7" t="s">
        <v>444</v>
      </c>
      <c r="H518" s="7" t="s">
        <v>444</v>
      </c>
      <c r="I518" s="7" t="s">
        <v>1934</v>
      </c>
      <c r="K518" s="5">
        <f>SUMIF(BC!$E$6:$E$347,$A518,BC!$K$6:$K$347)</f>
        <v>0</v>
      </c>
      <c r="L518" s="5" t="e">
        <f>SUMIF(#REF!,$A518,#REF!)+SUMIF(#REF!,$A518,#REF!)</f>
        <v>#REF!</v>
      </c>
      <c r="M518" s="5" t="e">
        <f>SUMIF(#REF!,Casilleros!$A518,#REF!)+SUMIF(#REF!,Casilleros!$A518,#REF!)+SUMIF(#REF!,$A518,#REF!)</f>
        <v>#REF!</v>
      </c>
      <c r="N518" s="5" t="e">
        <f>SUMIF(#REF!,$A518,#REF!)</f>
        <v>#REF!</v>
      </c>
      <c r="O518" s="5" t="e">
        <f>SUMIF(#REF!,$A518,#REF!)+SUMIF(#REF!,$A518,#REF!)</f>
        <v>#REF!</v>
      </c>
      <c r="P518" s="5">
        <f>IFERROR(VLOOKUP($A518,#REF!,2,FALSE),0)</f>
        <v>0</v>
      </c>
      <c r="Q518" s="42" t="e">
        <f t="shared" ref="Q518:Q590" si="8">SUM(K518:P518)</f>
        <v>#REF!</v>
      </c>
    </row>
    <row r="519" spans="1:17">
      <c r="A519" s="56" t="s">
        <v>1263</v>
      </c>
      <c r="B519" s="7" t="s">
        <v>28</v>
      </c>
      <c r="C519" s="7" t="s">
        <v>1369</v>
      </c>
      <c r="D519" s="7" t="s">
        <v>1262</v>
      </c>
      <c r="E519" s="7" t="s">
        <v>444</v>
      </c>
      <c r="F519" s="7" t="s">
        <v>444</v>
      </c>
      <c r="G519" s="7" t="s">
        <v>444</v>
      </c>
      <c r="H519" s="7" t="s">
        <v>444</v>
      </c>
      <c r="I519" s="7" t="s">
        <v>1935</v>
      </c>
      <c r="K519" s="5">
        <f>SUMIF(BC!$E$6:$E$347,$A519,BC!$K$6:$K$347)</f>
        <v>0</v>
      </c>
      <c r="L519" s="5" t="e">
        <f>SUMIF(#REF!,$A519,#REF!)+SUMIF(#REF!,$A519,#REF!)</f>
        <v>#REF!</v>
      </c>
      <c r="M519" s="5" t="e">
        <f>SUMIF(#REF!,Casilleros!$A519,#REF!)+SUMIF(#REF!,Casilleros!$A519,#REF!)+SUMIF(#REF!,$A519,#REF!)</f>
        <v>#REF!</v>
      </c>
      <c r="N519" s="5" t="e">
        <f>SUMIF(#REF!,$A519,#REF!)</f>
        <v>#REF!</v>
      </c>
      <c r="O519" s="5" t="e">
        <f>SUMIF(#REF!,$A519,#REF!)+SUMIF(#REF!,$A519,#REF!)</f>
        <v>#REF!</v>
      </c>
      <c r="P519" s="5">
        <f>IFERROR(VLOOKUP($A519,#REF!,2,FALSE),0)</f>
        <v>0</v>
      </c>
      <c r="Q519" s="42" t="e">
        <f t="shared" si="8"/>
        <v>#REF!</v>
      </c>
    </row>
    <row r="520" spans="1:17">
      <c r="A520" s="56" t="s">
        <v>1265</v>
      </c>
      <c r="B520" s="7" t="s">
        <v>28</v>
      </c>
      <c r="C520" s="7" t="s">
        <v>1369</v>
      </c>
      <c r="D520" s="7" t="s">
        <v>1264</v>
      </c>
      <c r="E520" s="7" t="s">
        <v>444</v>
      </c>
      <c r="F520" s="7" t="s">
        <v>444</v>
      </c>
      <c r="G520" s="7" t="s">
        <v>444</v>
      </c>
      <c r="H520" s="7" t="s">
        <v>444</v>
      </c>
      <c r="I520" s="7" t="s">
        <v>1936</v>
      </c>
      <c r="K520" s="5">
        <f>SUMIF(BC!$E$6:$E$347,$A520,BC!$K$6:$K$347)</f>
        <v>0</v>
      </c>
      <c r="L520" s="5" t="e">
        <f>SUMIF(#REF!,$A520,#REF!)+SUMIF(#REF!,$A520,#REF!)</f>
        <v>#REF!</v>
      </c>
      <c r="M520" s="5" t="e">
        <f>SUMIF(#REF!,Casilleros!$A520,#REF!)+SUMIF(#REF!,Casilleros!$A520,#REF!)+SUMIF(#REF!,$A520,#REF!)</f>
        <v>#REF!</v>
      </c>
      <c r="N520" s="5" t="e">
        <f>SUMIF(#REF!,$A520,#REF!)</f>
        <v>#REF!</v>
      </c>
      <c r="O520" s="5" t="e">
        <f>SUMIF(#REF!,$A520,#REF!)+SUMIF(#REF!,$A520,#REF!)</f>
        <v>#REF!</v>
      </c>
      <c r="P520" s="5">
        <f>IFERROR(VLOOKUP($A520,#REF!,2,FALSE),0)</f>
        <v>0</v>
      </c>
      <c r="Q520" s="42" t="e">
        <f t="shared" si="8"/>
        <v>#REF!</v>
      </c>
    </row>
    <row r="521" spans="1:17">
      <c r="A521" s="56" t="s">
        <v>1267</v>
      </c>
      <c r="B521" s="7" t="s">
        <v>28</v>
      </c>
      <c r="C521" s="7" t="s">
        <v>1369</v>
      </c>
      <c r="D521" s="7" t="s">
        <v>1266</v>
      </c>
      <c r="E521" s="7" t="s">
        <v>444</v>
      </c>
      <c r="F521" s="7" t="s">
        <v>444</v>
      </c>
      <c r="G521" s="7" t="s">
        <v>444</v>
      </c>
      <c r="H521" s="7" t="s">
        <v>444</v>
      </c>
      <c r="I521" s="7" t="s">
        <v>1937</v>
      </c>
      <c r="K521" s="5">
        <f>SUMIF(BC!$E$6:$E$347,$A521,BC!$K$6:$K$347)</f>
        <v>0</v>
      </c>
      <c r="L521" s="5" t="e">
        <f>SUMIF(#REF!,$A521,#REF!)+SUMIF(#REF!,$A521,#REF!)</f>
        <v>#REF!</v>
      </c>
      <c r="M521" s="5" t="e">
        <f>SUMIF(#REF!,Casilleros!$A521,#REF!)+SUMIF(#REF!,Casilleros!$A521,#REF!)+SUMIF(#REF!,$A521,#REF!)</f>
        <v>#REF!</v>
      </c>
      <c r="N521" s="5" t="e">
        <f>SUMIF(#REF!,$A521,#REF!)</f>
        <v>#REF!</v>
      </c>
      <c r="O521" s="5" t="e">
        <f>SUMIF(#REF!,$A521,#REF!)+SUMIF(#REF!,$A521,#REF!)</f>
        <v>#REF!</v>
      </c>
      <c r="P521" s="5">
        <f>IFERROR(VLOOKUP($A521,#REF!,2,FALSE),0)</f>
        <v>0</v>
      </c>
      <c r="Q521" s="42" t="e">
        <f t="shared" si="8"/>
        <v>#REF!</v>
      </c>
    </row>
    <row r="522" spans="1:17">
      <c r="A522" s="56" t="s">
        <v>1269</v>
      </c>
      <c r="B522" s="7" t="s">
        <v>28</v>
      </c>
      <c r="C522" s="7" t="s">
        <v>1369</v>
      </c>
      <c r="D522" s="7" t="s">
        <v>1268</v>
      </c>
      <c r="E522" s="7" t="s">
        <v>444</v>
      </c>
      <c r="F522" s="7" t="s">
        <v>444</v>
      </c>
      <c r="G522" s="7" t="s">
        <v>444</v>
      </c>
      <c r="H522" s="7" t="s">
        <v>444</v>
      </c>
      <c r="I522" s="7" t="s">
        <v>1938</v>
      </c>
      <c r="K522" s="5">
        <f>SUMIF(BC!$E$6:$E$347,$A522,BC!$K$6:$K$347)</f>
        <v>0</v>
      </c>
      <c r="L522" s="5" t="e">
        <f>SUMIF(#REF!,$A522,#REF!)+SUMIF(#REF!,$A522,#REF!)</f>
        <v>#REF!</v>
      </c>
      <c r="M522" s="5" t="e">
        <f>SUMIF(#REF!,Casilleros!$A522,#REF!)+SUMIF(#REF!,Casilleros!$A522,#REF!)+SUMIF(#REF!,$A522,#REF!)</f>
        <v>#REF!</v>
      </c>
      <c r="N522" s="5" t="e">
        <f>SUMIF(#REF!,$A522,#REF!)</f>
        <v>#REF!</v>
      </c>
      <c r="O522" s="5" t="e">
        <f>SUMIF(#REF!,$A522,#REF!)+SUMIF(#REF!,$A522,#REF!)</f>
        <v>#REF!</v>
      </c>
      <c r="P522" s="5">
        <f>IFERROR(VLOOKUP($A522,#REF!,2,FALSE),0)</f>
        <v>0</v>
      </c>
      <c r="Q522" s="42" t="e">
        <f t="shared" si="8"/>
        <v>#REF!</v>
      </c>
    </row>
    <row r="523" spans="1:17">
      <c r="A523" s="56" t="s">
        <v>1271</v>
      </c>
      <c r="B523" s="7" t="s">
        <v>28</v>
      </c>
      <c r="C523" s="7" t="s">
        <v>1369</v>
      </c>
      <c r="D523" s="7" t="s">
        <v>1270</v>
      </c>
      <c r="E523" s="7" t="s">
        <v>444</v>
      </c>
      <c r="F523" s="7" t="s">
        <v>444</v>
      </c>
      <c r="G523" s="7" t="s">
        <v>444</v>
      </c>
      <c r="H523" s="7" t="s">
        <v>444</v>
      </c>
      <c r="I523" s="7" t="s">
        <v>1939</v>
      </c>
      <c r="K523" s="5">
        <f>SUMIF(BC!$E$6:$E$347,$A523,BC!$K$6:$K$347)</f>
        <v>0</v>
      </c>
      <c r="L523" s="5" t="e">
        <f>SUMIF(#REF!,$A523,#REF!)+SUMIF(#REF!,$A523,#REF!)</f>
        <v>#REF!</v>
      </c>
      <c r="M523" s="5" t="e">
        <f>SUMIF(#REF!,Casilleros!$A523,#REF!)+SUMIF(#REF!,Casilleros!$A523,#REF!)+SUMIF(#REF!,$A523,#REF!)</f>
        <v>#REF!</v>
      </c>
      <c r="N523" s="5" t="e">
        <f>SUMIF(#REF!,$A523,#REF!)</f>
        <v>#REF!</v>
      </c>
      <c r="O523" s="5" t="e">
        <f>SUMIF(#REF!,$A523,#REF!)+SUMIF(#REF!,$A523,#REF!)</f>
        <v>#REF!</v>
      </c>
      <c r="P523" s="5">
        <f>IFERROR(VLOOKUP($A523,#REF!,2,FALSE),0)</f>
        <v>0</v>
      </c>
      <c r="Q523" s="42" t="e">
        <f t="shared" si="8"/>
        <v>#REF!</v>
      </c>
    </row>
    <row r="524" spans="1:17">
      <c r="A524" s="56" t="s">
        <v>1273</v>
      </c>
      <c r="B524" s="7" t="s">
        <v>28</v>
      </c>
      <c r="C524" s="7" t="s">
        <v>1369</v>
      </c>
      <c r="D524" s="7" t="s">
        <v>1272</v>
      </c>
      <c r="E524" s="7" t="s">
        <v>444</v>
      </c>
      <c r="F524" s="7" t="s">
        <v>444</v>
      </c>
      <c r="G524" s="7" t="s">
        <v>444</v>
      </c>
      <c r="H524" s="7" t="s">
        <v>444</v>
      </c>
      <c r="I524" s="7" t="s">
        <v>1940</v>
      </c>
      <c r="K524" s="5">
        <f>SUMIF(BC!$E$6:$E$347,$A524,BC!$K$6:$K$347)</f>
        <v>0</v>
      </c>
      <c r="L524" s="5" t="e">
        <f>SUMIF(#REF!,$A524,#REF!)+SUMIF(#REF!,$A524,#REF!)</f>
        <v>#REF!</v>
      </c>
      <c r="M524" s="5" t="e">
        <f>SUMIF(#REF!,Casilleros!$A524,#REF!)+SUMIF(#REF!,Casilleros!$A524,#REF!)+SUMIF(#REF!,$A524,#REF!)</f>
        <v>#REF!</v>
      </c>
      <c r="N524" s="5" t="e">
        <f>SUMIF(#REF!,$A524,#REF!)</f>
        <v>#REF!</v>
      </c>
      <c r="O524" s="5" t="e">
        <f>SUMIF(#REF!,$A524,#REF!)+SUMIF(#REF!,$A524,#REF!)</f>
        <v>#REF!</v>
      </c>
      <c r="P524" s="5">
        <f>IFERROR(VLOOKUP($A524,#REF!,2,FALSE),0)</f>
        <v>0</v>
      </c>
      <c r="Q524" s="42" t="e">
        <f t="shared" si="8"/>
        <v>#REF!</v>
      </c>
    </row>
    <row r="525" spans="1:17">
      <c r="A525" s="56" t="s">
        <v>1275</v>
      </c>
      <c r="B525" s="7" t="s">
        <v>28</v>
      </c>
      <c r="C525" s="7" t="s">
        <v>1369</v>
      </c>
      <c r="D525" s="7" t="s">
        <v>1274</v>
      </c>
      <c r="E525" s="7" t="s">
        <v>444</v>
      </c>
      <c r="F525" s="7" t="s">
        <v>444</v>
      </c>
      <c r="G525" s="7" t="s">
        <v>444</v>
      </c>
      <c r="H525" s="7" t="s">
        <v>444</v>
      </c>
      <c r="I525" s="7" t="s">
        <v>1941</v>
      </c>
      <c r="K525" s="5">
        <f>SUMIF(BC!$E$6:$E$347,$A525,BC!$K$6:$K$347)</f>
        <v>0</v>
      </c>
      <c r="L525" s="5" t="e">
        <f>SUMIF(#REF!,$A525,#REF!)+SUMIF(#REF!,$A525,#REF!)</f>
        <v>#REF!</v>
      </c>
      <c r="M525" s="5" t="e">
        <f>SUMIF(#REF!,Casilleros!$A525,#REF!)+SUMIF(#REF!,Casilleros!$A525,#REF!)+SUMIF(#REF!,$A525,#REF!)</f>
        <v>#REF!</v>
      </c>
      <c r="N525" s="5" t="e">
        <f>SUMIF(#REF!,$A525,#REF!)</f>
        <v>#REF!</v>
      </c>
      <c r="O525" s="5" t="e">
        <f>SUMIF(#REF!,$A525,#REF!)+SUMIF(#REF!,$A525,#REF!)</f>
        <v>#REF!</v>
      </c>
      <c r="P525" s="5">
        <f>IFERROR(VLOOKUP($A525,#REF!,2,FALSE),0)</f>
        <v>0</v>
      </c>
      <c r="Q525" s="42" t="e">
        <f t="shared" si="8"/>
        <v>#REF!</v>
      </c>
    </row>
    <row r="526" spans="1:17">
      <c r="A526" s="56" t="s">
        <v>1277</v>
      </c>
      <c r="B526" s="7" t="s">
        <v>28</v>
      </c>
      <c r="C526" s="7" t="s">
        <v>1369</v>
      </c>
      <c r="D526" s="7" t="s">
        <v>1276</v>
      </c>
      <c r="E526" s="7" t="s">
        <v>444</v>
      </c>
      <c r="F526" s="7" t="s">
        <v>444</v>
      </c>
      <c r="G526" s="7" t="s">
        <v>444</v>
      </c>
      <c r="H526" s="7" t="s">
        <v>444</v>
      </c>
      <c r="I526" s="7" t="s">
        <v>1942</v>
      </c>
      <c r="K526" s="5">
        <f>SUMIF(BC!$E$6:$E$347,$A526,BC!$K$6:$K$347)</f>
        <v>0</v>
      </c>
      <c r="L526" s="5" t="e">
        <f>SUMIF(#REF!,$A526,#REF!)+SUMIF(#REF!,$A526,#REF!)</f>
        <v>#REF!</v>
      </c>
      <c r="M526" s="5" t="e">
        <f>SUMIF(#REF!,Casilleros!$A526,#REF!)+SUMIF(#REF!,Casilleros!$A526,#REF!)+SUMIF(#REF!,$A526,#REF!)</f>
        <v>#REF!</v>
      </c>
      <c r="N526" s="5" t="e">
        <f>SUMIF(#REF!,$A526,#REF!)</f>
        <v>#REF!</v>
      </c>
      <c r="O526" s="5" t="e">
        <f>SUMIF(#REF!,$A526,#REF!)+SUMIF(#REF!,$A526,#REF!)</f>
        <v>#REF!</v>
      </c>
      <c r="P526" s="5">
        <f>IFERROR(VLOOKUP($A526,#REF!,2,FALSE),0)</f>
        <v>0</v>
      </c>
      <c r="Q526" s="42" t="e">
        <f t="shared" si="8"/>
        <v>#REF!</v>
      </c>
    </row>
    <row r="527" spans="1:17">
      <c r="A527" s="56" t="s">
        <v>1280</v>
      </c>
      <c r="B527" s="7" t="s">
        <v>28</v>
      </c>
      <c r="C527" s="7" t="s">
        <v>1369</v>
      </c>
      <c r="D527" s="7" t="s">
        <v>1278</v>
      </c>
      <c r="E527" s="7" t="s">
        <v>1279</v>
      </c>
      <c r="F527" s="7" t="s">
        <v>444</v>
      </c>
      <c r="G527" s="7" t="s">
        <v>444</v>
      </c>
      <c r="H527" s="7" t="s">
        <v>444</v>
      </c>
      <c r="I527" s="7" t="s">
        <v>1943</v>
      </c>
      <c r="K527" s="5">
        <f>SUMIF(BC!$E$6:$E$347,$A527,BC!$K$6:$K$347)</f>
        <v>0</v>
      </c>
      <c r="L527" s="5" t="e">
        <f>SUMIF(#REF!,$A527,#REF!)+SUMIF(#REF!,$A527,#REF!)</f>
        <v>#REF!</v>
      </c>
      <c r="M527" s="5" t="e">
        <f>SUMIF(#REF!,Casilleros!$A527,#REF!)+SUMIF(#REF!,Casilleros!$A527,#REF!)+SUMIF(#REF!,$A527,#REF!)</f>
        <v>#REF!</v>
      </c>
      <c r="N527" s="5" t="e">
        <f>SUMIF(#REF!,$A527,#REF!)</f>
        <v>#REF!</v>
      </c>
      <c r="O527" s="5" t="e">
        <f>SUMIF(#REF!,$A527,#REF!)+SUMIF(#REF!,$A527,#REF!)</f>
        <v>#REF!</v>
      </c>
      <c r="P527" s="5">
        <f>IFERROR(VLOOKUP($A527,#REF!,2,FALSE),0)</f>
        <v>0</v>
      </c>
      <c r="Q527" s="42" t="e">
        <f t="shared" si="8"/>
        <v>#REF!</v>
      </c>
    </row>
    <row r="528" spans="1:17">
      <c r="A528" s="56" t="s">
        <v>1282</v>
      </c>
      <c r="B528" s="7" t="s">
        <v>28</v>
      </c>
      <c r="C528" s="7" t="s">
        <v>1369</v>
      </c>
      <c r="D528" s="7" t="s">
        <v>1278</v>
      </c>
      <c r="E528" s="7" t="s">
        <v>1281</v>
      </c>
      <c r="F528" s="7" t="s">
        <v>444</v>
      </c>
      <c r="G528" s="7" t="s">
        <v>444</v>
      </c>
      <c r="H528" s="7" t="s">
        <v>444</v>
      </c>
      <c r="I528" s="7" t="s">
        <v>1944</v>
      </c>
      <c r="K528" s="5">
        <f>SUMIF(BC!$E$6:$E$347,$A528,BC!$K$6:$K$347)</f>
        <v>0</v>
      </c>
      <c r="L528" s="5" t="e">
        <f>SUMIF(#REF!,$A528,#REF!)+SUMIF(#REF!,$A528,#REF!)</f>
        <v>#REF!</v>
      </c>
      <c r="M528" s="5" t="e">
        <f>SUMIF(#REF!,Casilleros!$A528,#REF!)+SUMIF(#REF!,Casilleros!$A528,#REF!)+SUMIF(#REF!,$A528,#REF!)</f>
        <v>#REF!</v>
      </c>
      <c r="N528" s="5" t="e">
        <f>SUMIF(#REF!,$A528,#REF!)</f>
        <v>#REF!</v>
      </c>
      <c r="O528" s="5" t="e">
        <f>SUMIF(#REF!,$A528,#REF!)+SUMIF(#REF!,$A528,#REF!)</f>
        <v>#REF!</v>
      </c>
      <c r="P528" s="5">
        <f>IFERROR(VLOOKUP($A528,#REF!,2,FALSE),0)</f>
        <v>0</v>
      </c>
      <c r="Q528" s="42" t="e">
        <f t="shared" si="8"/>
        <v>#REF!</v>
      </c>
    </row>
    <row r="529" spans="1:17">
      <c r="A529" s="56" t="s">
        <v>1284</v>
      </c>
      <c r="B529" s="7" t="s">
        <v>28</v>
      </c>
      <c r="C529" s="7" t="s">
        <v>1369</v>
      </c>
      <c r="D529" s="7" t="s">
        <v>1283</v>
      </c>
      <c r="E529" s="7" t="s">
        <v>444</v>
      </c>
      <c r="F529" s="7" t="s">
        <v>444</v>
      </c>
      <c r="G529" s="7" t="s">
        <v>444</v>
      </c>
      <c r="H529" s="7" t="s">
        <v>444</v>
      </c>
      <c r="I529" s="7" t="s">
        <v>1945</v>
      </c>
      <c r="K529" s="5">
        <f>SUMIF(BC!$E$6:$E$347,$A529,BC!$K$6:$K$347)</f>
        <v>0</v>
      </c>
      <c r="L529" s="5" t="e">
        <f>SUMIF(#REF!,$A529,#REF!)+SUMIF(#REF!,$A529,#REF!)</f>
        <v>#REF!</v>
      </c>
      <c r="M529" s="5" t="e">
        <f>SUMIF(#REF!,Casilleros!$A529,#REF!)+SUMIF(#REF!,Casilleros!$A529,#REF!)+SUMIF(#REF!,$A529,#REF!)</f>
        <v>#REF!</v>
      </c>
      <c r="N529" s="5" t="e">
        <f>SUMIF(#REF!,$A529,#REF!)</f>
        <v>#REF!</v>
      </c>
      <c r="O529" s="5" t="e">
        <f>SUMIF(#REF!,$A529,#REF!)+SUMIF(#REF!,$A529,#REF!)</f>
        <v>#REF!</v>
      </c>
      <c r="P529" s="5">
        <f>IFERROR(VLOOKUP($A529,#REF!,2,FALSE),0)</f>
        <v>0</v>
      </c>
      <c r="Q529" s="42" t="e">
        <f t="shared" si="8"/>
        <v>#REF!</v>
      </c>
    </row>
    <row r="530" spans="1:17">
      <c r="A530" s="56" t="s">
        <v>1286</v>
      </c>
      <c r="B530" s="7" t="s">
        <v>28</v>
      </c>
      <c r="C530" s="7" t="s">
        <v>1369</v>
      </c>
      <c r="D530" s="7" t="s">
        <v>1285</v>
      </c>
      <c r="E530" s="7" t="s">
        <v>444</v>
      </c>
      <c r="F530" s="7" t="s">
        <v>444</v>
      </c>
      <c r="G530" s="7" t="s">
        <v>444</v>
      </c>
      <c r="H530" s="7" t="s">
        <v>444</v>
      </c>
      <c r="I530" s="7" t="s">
        <v>1946</v>
      </c>
      <c r="K530" s="5">
        <f>SUMIF(BC!$E$6:$E$347,$A530,BC!$K$6:$K$347)</f>
        <v>0</v>
      </c>
      <c r="L530" s="5" t="e">
        <f>SUMIF(#REF!,$A530,#REF!)+SUMIF(#REF!,$A530,#REF!)</f>
        <v>#REF!</v>
      </c>
      <c r="M530" s="5" t="e">
        <f>SUMIF(#REF!,Casilleros!$A530,#REF!)+SUMIF(#REF!,Casilleros!$A530,#REF!)+SUMIF(#REF!,$A530,#REF!)</f>
        <v>#REF!</v>
      </c>
      <c r="N530" s="5" t="e">
        <f>SUMIF(#REF!,$A530,#REF!)</f>
        <v>#REF!</v>
      </c>
      <c r="O530" s="5" t="e">
        <f>SUMIF(#REF!,$A530,#REF!)+SUMIF(#REF!,$A530,#REF!)</f>
        <v>#REF!</v>
      </c>
      <c r="P530" s="5">
        <f>IFERROR(VLOOKUP($A530,#REF!,2,FALSE),0)</f>
        <v>0</v>
      </c>
      <c r="Q530" s="42" t="e">
        <f t="shared" si="8"/>
        <v>#REF!</v>
      </c>
    </row>
    <row r="531" spans="1:17">
      <c r="A531" s="56" t="s">
        <v>1288</v>
      </c>
      <c r="B531" s="7" t="s">
        <v>28</v>
      </c>
      <c r="C531" s="7" t="s">
        <v>1369</v>
      </c>
      <c r="D531" s="7" t="s">
        <v>1287</v>
      </c>
      <c r="E531" s="7" t="s">
        <v>444</v>
      </c>
      <c r="F531" s="7" t="s">
        <v>444</v>
      </c>
      <c r="G531" s="7" t="s">
        <v>444</v>
      </c>
      <c r="H531" s="7" t="s">
        <v>444</v>
      </c>
      <c r="I531" s="7" t="s">
        <v>1947</v>
      </c>
      <c r="K531" s="5">
        <f>SUMIF(BC!$E$6:$E$347,$A531,BC!$K$6:$K$347)</f>
        <v>0</v>
      </c>
      <c r="L531" s="5" t="e">
        <f>SUMIF(#REF!,$A531,#REF!)+SUMIF(#REF!,$A531,#REF!)</f>
        <v>#REF!</v>
      </c>
      <c r="M531" s="5" t="e">
        <f>SUMIF(#REF!,Casilleros!$A531,#REF!)+SUMIF(#REF!,Casilleros!$A531,#REF!)+SUMIF(#REF!,$A531,#REF!)</f>
        <v>#REF!</v>
      </c>
      <c r="N531" s="5" t="e">
        <f>SUMIF(#REF!,$A531,#REF!)</f>
        <v>#REF!</v>
      </c>
      <c r="O531" s="5" t="e">
        <f>SUMIF(#REF!,$A531,#REF!)+SUMIF(#REF!,$A531,#REF!)</f>
        <v>#REF!</v>
      </c>
      <c r="P531" s="5">
        <f>IFERROR(VLOOKUP($A531,#REF!,2,FALSE),0)</f>
        <v>0</v>
      </c>
      <c r="Q531" s="42" t="e">
        <f t="shared" si="8"/>
        <v>#REF!</v>
      </c>
    </row>
    <row r="532" spans="1:17">
      <c r="A532" s="56" t="s">
        <v>1290</v>
      </c>
      <c r="B532" s="7" t="s">
        <v>28</v>
      </c>
      <c r="C532" s="7" t="s">
        <v>1369</v>
      </c>
      <c r="D532" s="7" t="s">
        <v>1289</v>
      </c>
      <c r="E532" s="7" t="s">
        <v>444</v>
      </c>
      <c r="F532" s="7" t="s">
        <v>444</v>
      </c>
      <c r="G532" s="7" t="s">
        <v>444</v>
      </c>
      <c r="H532" s="7" t="s">
        <v>444</v>
      </c>
      <c r="I532" s="7" t="s">
        <v>1948</v>
      </c>
      <c r="K532" s="5">
        <f>SUMIF(BC!$E$6:$E$347,$A532,BC!$K$6:$K$347)</f>
        <v>0</v>
      </c>
      <c r="L532" s="5" t="e">
        <f>SUMIF(#REF!,$A532,#REF!)+SUMIF(#REF!,$A532,#REF!)</f>
        <v>#REF!</v>
      </c>
      <c r="M532" s="5" t="e">
        <f>SUMIF(#REF!,Casilleros!$A532,#REF!)+SUMIF(#REF!,Casilleros!$A532,#REF!)+SUMIF(#REF!,$A532,#REF!)</f>
        <v>#REF!</v>
      </c>
      <c r="N532" s="5" t="e">
        <f>SUMIF(#REF!,$A532,#REF!)</f>
        <v>#REF!</v>
      </c>
      <c r="O532" s="5" t="e">
        <f>SUMIF(#REF!,$A532,#REF!)+SUMIF(#REF!,$A532,#REF!)</f>
        <v>#REF!</v>
      </c>
      <c r="P532" s="5">
        <f>IFERROR(VLOOKUP($A532,#REF!,2,FALSE),0)</f>
        <v>0</v>
      </c>
      <c r="Q532" s="42" t="e">
        <f t="shared" si="8"/>
        <v>#REF!</v>
      </c>
    </row>
    <row r="533" spans="1:17">
      <c r="A533" s="56" t="s">
        <v>1292</v>
      </c>
      <c r="B533" s="7" t="s">
        <v>28</v>
      </c>
      <c r="C533" s="7" t="s">
        <v>1369</v>
      </c>
      <c r="D533" s="7" t="s">
        <v>1291</v>
      </c>
      <c r="E533" s="7" t="s">
        <v>444</v>
      </c>
      <c r="F533" s="7" t="s">
        <v>444</v>
      </c>
      <c r="G533" s="7" t="s">
        <v>444</v>
      </c>
      <c r="H533" s="7" t="s">
        <v>444</v>
      </c>
      <c r="I533" s="7" t="s">
        <v>1949</v>
      </c>
      <c r="K533" s="5">
        <f>SUMIF(BC!$E$6:$E$347,$A533,BC!$K$6:$K$347)</f>
        <v>0</v>
      </c>
      <c r="L533" s="5" t="e">
        <f>SUMIF(#REF!,$A533,#REF!)+SUMIF(#REF!,$A533,#REF!)</f>
        <v>#REF!</v>
      </c>
      <c r="M533" s="5" t="e">
        <f>SUMIF(#REF!,Casilleros!$A533,#REF!)+SUMIF(#REF!,Casilleros!$A533,#REF!)+SUMIF(#REF!,$A533,#REF!)</f>
        <v>#REF!</v>
      </c>
      <c r="N533" s="5" t="e">
        <f>SUMIF(#REF!,$A533,#REF!)</f>
        <v>#REF!</v>
      </c>
      <c r="O533" s="5" t="e">
        <f>SUMIF(#REF!,$A533,#REF!)+SUMIF(#REF!,$A533,#REF!)</f>
        <v>#REF!</v>
      </c>
      <c r="P533" s="5">
        <f>IFERROR(VLOOKUP($A533,#REF!,2,FALSE),0)</f>
        <v>0</v>
      </c>
      <c r="Q533" s="42" t="e">
        <f t="shared" si="8"/>
        <v>#REF!</v>
      </c>
    </row>
    <row r="534" spans="1:17">
      <c r="A534" s="56" t="s">
        <v>1294</v>
      </c>
      <c r="B534" s="7" t="s">
        <v>28</v>
      </c>
      <c r="C534" s="7" t="s">
        <v>1293</v>
      </c>
      <c r="D534" s="7" t="s">
        <v>444</v>
      </c>
      <c r="E534" s="7" t="s">
        <v>444</v>
      </c>
      <c r="F534" s="7" t="s">
        <v>444</v>
      </c>
      <c r="G534" s="7" t="s">
        <v>444</v>
      </c>
      <c r="H534" s="7" t="s">
        <v>444</v>
      </c>
      <c r="I534" s="7" t="s">
        <v>1293</v>
      </c>
      <c r="K534" s="5">
        <f>SUMIF(BC!$E$6:$E$347,$A534,BC!$K$6:$K$347)</f>
        <v>0</v>
      </c>
      <c r="L534" s="5" t="e">
        <f>SUMIF(#REF!,$A534,#REF!)+SUMIF(#REF!,$A534,#REF!)</f>
        <v>#REF!</v>
      </c>
      <c r="M534" s="5" t="e">
        <f>SUMIF(#REF!,Casilleros!$A534,#REF!)+SUMIF(#REF!,Casilleros!$A534,#REF!)+SUMIF(#REF!,$A534,#REF!)</f>
        <v>#REF!</v>
      </c>
      <c r="N534" s="5" t="e">
        <f>SUMIF(#REF!,$A534,#REF!)</f>
        <v>#REF!</v>
      </c>
      <c r="O534" s="5" t="e">
        <f>SUMIF(#REF!,$A534,#REF!)+SUMIF(#REF!,$A534,#REF!)</f>
        <v>#REF!</v>
      </c>
      <c r="P534" s="5">
        <f>IFERROR(VLOOKUP($A534,#REF!,2,FALSE),0)</f>
        <v>0</v>
      </c>
      <c r="Q534" s="42" t="e">
        <f t="shared" si="8"/>
        <v>#REF!</v>
      </c>
    </row>
    <row r="535" spans="1:17">
      <c r="A535" s="56" t="s">
        <v>1296</v>
      </c>
      <c r="B535" s="7" t="s">
        <v>28</v>
      </c>
      <c r="C535" s="7" t="s">
        <v>1295</v>
      </c>
      <c r="D535" s="7" t="s">
        <v>444</v>
      </c>
      <c r="E535" s="7" t="s">
        <v>444</v>
      </c>
      <c r="F535" s="7" t="s">
        <v>444</v>
      </c>
      <c r="G535" s="7" t="s">
        <v>444</v>
      </c>
      <c r="H535" s="7" t="s">
        <v>444</v>
      </c>
      <c r="I535" s="7" t="s">
        <v>1295</v>
      </c>
      <c r="K535" s="5">
        <f>SUMIF(BC!$E$6:$E$347,$A535,BC!$K$6:$K$347)</f>
        <v>0</v>
      </c>
      <c r="L535" s="5" t="e">
        <f>SUMIF(#REF!,$A535,#REF!)+SUMIF(#REF!,$A535,#REF!)</f>
        <v>#REF!</v>
      </c>
      <c r="M535" s="5" t="e">
        <f>SUMIF(#REF!,Casilleros!$A535,#REF!)+SUMIF(#REF!,Casilleros!$A535,#REF!)+SUMIF(#REF!,$A535,#REF!)</f>
        <v>#REF!</v>
      </c>
      <c r="N535" s="5" t="e">
        <f>SUMIF(#REF!,$A535,#REF!)</f>
        <v>#REF!</v>
      </c>
      <c r="O535" s="5" t="e">
        <f>SUMIF(#REF!,$A535,#REF!)+SUMIF(#REF!,$A535,#REF!)</f>
        <v>#REF!</v>
      </c>
      <c r="P535" s="5">
        <f>IFERROR(VLOOKUP($A535,#REF!,2,FALSE),0)</f>
        <v>0</v>
      </c>
      <c r="Q535" s="42" t="e">
        <f t="shared" si="8"/>
        <v>#REF!</v>
      </c>
    </row>
    <row r="536" spans="1:17">
      <c r="A536" s="56" t="s">
        <v>1298</v>
      </c>
      <c r="B536" s="7" t="s">
        <v>28</v>
      </c>
      <c r="C536" s="7" t="s">
        <v>1295</v>
      </c>
      <c r="D536" s="7" t="s">
        <v>1297</v>
      </c>
      <c r="E536" s="7" t="s">
        <v>444</v>
      </c>
      <c r="F536" s="7" t="s">
        <v>444</v>
      </c>
      <c r="G536" s="7" t="s">
        <v>444</v>
      </c>
      <c r="H536" s="7" t="s">
        <v>444</v>
      </c>
      <c r="I536" s="7" t="s">
        <v>1950</v>
      </c>
      <c r="K536" s="5">
        <f>SUMIF(BC!$E$6:$E$347,$A536,BC!$K$6:$K$347)</f>
        <v>0</v>
      </c>
      <c r="L536" s="5" t="e">
        <f>SUMIF(#REF!,$A536,#REF!)+SUMIF(#REF!,$A536,#REF!)</f>
        <v>#REF!</v>
      </c>
      <c r="M536" s="5" t="e">
        <f>SUMIF(#REF!,Casilleros!$A536,#REF!)+SUMIF(#REF!,Casilleros!$A536,#REF!)+SUMIF(#REF!,$A536,#REF!)</f>
        <v>#REF!</v>
      </c>
      <c r="N536" s="5" t="e">
        <f>SUMIF(#REF!,$A536,#REF!)</f>
        <v>#REF!</v>
      </c>
      <c r="O536" s="5" t="e">
        <f>SUMIF(#REF!,$A536,#REF!)+SUMIF(#REF!,$A536,#REF!)</f>
        <v>#REF!</v>
      </c>
      <c r="P536" s="5">
        <f>IFERROR(VLOOKUP($A536,#REF!,2,FALSE),0)</f>
        <v>0</v>
      </c>
      <c r="Q536" s="42" t="e">
        <f t="shared" si="8"/>
        <v>#REF!</v>
      </c>
    </row>
    <row r="537" spans="1:17">
      <c r="A537" s="56" t="s">
        <v>1300</v>
      </c>
      <c r="B537" s="7" t="s">
        <v>28</v>
      </c>
      <c r="C537" s="7" t="s">
        <v>1295</v>
      </c>
      <c r="D537" s="7" t="s">
        <v>1299</v>
      </c>
      <c r="E537" s="7" t="s">
        <v>444</v>
      </c>
      <c r="F537" s="7" t="s">
        <v>444</v>
      </c>
      <c r="G537" s="7" t="s">
        <v>444</v>
      </c>
      <c r="H537" s="7" t="s">
        <v>444</v>
      </c>
      <c r="I537" s="7" t="s">
        <v>1951</v>
      </c>
      <c r="K537" s="5">
        <f>SUMIF(BC!$E$6:$E$347,$A537,BC!$K$6:$K$347)</f>
        <v>0</v>
      </c>
      <c r="L537" s="5" t="e">
        <f>SUMIF(#REF!,$A537,#REF!)+SUMIF(#REF!,$A537,#REF!)</f>
        <v>#REF!</v>
      </c>
      <c r="M537" s="5" t="e">
        <f>SUMIF(#REF!,Casilleros!$A537,#REF!)+SUMIF(#REF!,Casilleros!$A537,#REF!)+SUMIF(#REF!,$A537,#REF!)</f>
        <v>#REF!</v>
      </c>
      <c r="N537" s="5" t="e">
        <f>SUMIF(#REF!,$A537,#REF!)</f>
        <v>#REF!</v>
      </c>
      <c r="O537" s="5" t="e">
        <f>SUMIF(#REF!,$A537,#REF!)+SUMIF(#REF!,$A537,#REF!)</f>
        <v>#REF!</v>
      </c>
      <c r="P537" s="5">
        <f>IFERROR(VLOOKUP($A537,#REF!,2,FALSE),0)</f>
        <v>0</v>
      </c>
      <c r="Q537" s="42" t="e">
        <f t="shared" si="8"/>
        <v>#REF!</v>
      </c>
    </row>
    <row r="538" spans="1:17">
      <c r="A538" s="56" t="s">
        <v>1302</v>
      </c>
      <c r="B538" s="7" t="s">
        <v>28</v>
      </c>
      <c r="C538" s="7" t="s">
        <v>1301</v>
      </c>
      <c r="D538" s="7" t="s">
        <v>444</v>
      </c>
      <c r="E538" s="7" t="s">
        <v>444</v>
      </c>
      <c r="F538" s="7" t="s">
        <v>444</v>
      </c>
      <c r="G538" s="7" t="s">
        <v>444</v>
      </c>
      <c r="H538" s="7" t="s">
        <v>444</v>
      </c>
      <c r="I538" s="7" t="s">
        <v>1301</v>
      </c>
      <c r="K538" s="5">
        <f>SUMIF(BC!$E$6:$E$347,$A538,BC!$K$6:$K$347)</f>
        <v>0</v>
      </c>
      <c r="L538" s="5" t="e">
        <f>SUMIF(#REF!,$A538,#REF!)+SUMIF(#REF!,$A538,#REF!)</f>
        <v>#REF!</v>
      </c>
      <c r="M538" s="5" t="e">
        <f>SUMIF(#REF!,Casilleros!$A538,#REF!)+SUMIF(#REF!,Casilleros!$A538,#REF!)+SUMIF(#REF!,$A538,#REF!)</f>
        <v>#REF!</v>
      </c>
      <c r="N538" s="5" t="e">
        <f>SUMIF(#REF!,$A538,#REF!)</f>
        <v>#REF!</v>
      </c>
      <c r="O538" s="5" t="e">
        <f>SUMIF(#REF!,$A538,#REF!)+SUMIF(#REF!,$A538,#REF!)</f>
        <v>#REF!</v>
      </c>
      <c r="P538" s="5">
        <f>IFERROR(VLOOKUP($A538,#REF!,2,FALSE),0)</f>
        <v>0</v>
      </c>
      <c r="Q538" s="42" t="e">
        <f t="shared" si="8"/>
        <v>#REF!</v>
      </c>
    </row>
    <row r="539" spans="1:17">
      <c r="A539" s="56" t="s">
        <v>1304</v>
      </c>
      <c r="B539" s="7" t="s">
        <v>28</v>
      </c>
      <c r="C539" s="7" t="s">
        <v>1303</v>
      </c>
      <c r="D539" s="7" t="s">
        <v>444</v>
      </c>
      <c r="E539" s="7" t="s">
        <v>444</v>
      </c>
      <c r="F539" s="7" t="s">
        <v>444</v>
      </c>
      <c r="G539" s="7" t="s">
        <v>444</v>
      </c>
      <c r="H539" s="7" t="s">
        <v>444</v>
      </c>
      <c r="I539" s="7" t="s">
        <v>1303</v>
      </c>
      <c r="K539" s="5">
        <f>SUMIF(BC!$E$6:$E$347,$A539,BC!$K$6:$K$347)</f>
        <v>0</v>
      </c>
      <c r="L539" s="5" t="e">
        <f>SUMIF(#REF!,$A539,#REF!)+SUMIF(#REF!,$A539,#REF!)</f>
        <v>#REF!</v>
      </c>
      <c r="M539" s="5" t="e">
        <f>SUMIF(#REF!,Casilleros!$A539,#REF!)+SUMIF(#REF!,Casilleros!$A539,#REF!)+SUMIF(#REF!,$A539,#REF!)</f>
        <v>#REF!</v>
      </c>
      <c r="N539" s="5" t="e">
        <f>SUMIF(#REF!,$A539,#REF!)</f>
        <v>#REF!</v>
      </c>
      <c r="O539" s="5" t="e">
        <f>SUMIF(#REF!,$A539,#REF!)+SUMIF(#REF!,$A539,#REF!)</f>
        <v>#REF!</v>
      </c>
      <c r="P539" s="5">
        <f>IFERROR(VLOOKUP($A539,#REF!,2,FALSE),0)</f>
        <v>0</v>
      </c>
      <c r="Q539" s="42" t="e">
        <f t="shared" si="8"/>
        <v>#REF!</v>
      </c>
    </row>
    <row r="540" spans="1:17">
      <c r="A540" s="56" t="s">
        <v>595</v>
      </c>
      <c r="B540" s="7" t="s">
        <v>28</v>
      </c>
      <c r="C540" s="7" t="s">
        <v>1305</v>
      </c>
      <c r="D540" s="7" t="s">
        <v>1306</v>
      </c>
      <c r="E540" s="7" t="s">
        <v>444</v>
      </c>
      <c r="F540" s="7" t="s">
        <v>444</v>
      </c>
      <c r="G540" s="7" t="s">
        <v>444</v>
      </c>
      <c r="H540" s="7" t="s">
        <v>444</v>
      </c>
      <c r="I540" s="7" t="s">
        <v>1952</v>
      </c>
      <c r="K540" s="5">
        <f>SUMIF(BC!$E$6:$E$347,$A540,BC!$K$6:$K$347)</f>
        <v>0</v>
      </c>
      <c r="L540" s="5" t="e">
        <f>SUMIF(#REF!,$A540,#REF!)+SUMIF(#REF!,$A540,#REF!)</f>
        <v>#REF!</v>
      </c>
      <c r="M540" s="5" t="e">
        <f>SUMIF(#REF!,Casilleros!$A540,#REF!)+SUMIF(#REF!,Casilleros!$A540,#REF!)+SUMIF(#REF!,$A540,#REF!)</f>
        <v>#REF!</v>
      </c>
      <c r="N540" s="5" t="e">
        <f>SUMIF(#REF!,$A540,#REF!)</f>
        <v>#REF!</v>
      </c>
      <c r="O540" s="5" t="e">
        <f>SUMIF(#REF!,$A540,#REF!)+SUMIF(#REF!,$A540,#REF!)</f>
        <v>#REF!</v>
      </c>
      <c r="P540" s="5">
        <f>IFERROR(VLOOKUP($A540,#REF!,2,FALSE),0)</f>
        <v>0</v>
      </c>
      <c r="Q540" s="42" t="e">
        <f t="shared" si="8"/>
        <v>#REF!</v>
      </c>
    </row>
    <row r="541" spans="1:17">
      <c r="A541" s="56" t="s">
        <v>1113</v>
      </c>
      <c r="B541" s="7" t="s">
        <v>28</v>
      </c>
      <c r="C541" s="7" t="s">
        <v>1305</v>
      </c>
      <c r="D541" s="7" t="s">
        <v>1307</v>
      </c>
      <c r="E541" s="7" t="s">
        <v>444</v>
      </c>
      <c r="F541" s="7" t="s">
        <v>444</v>
      </c>
      <c r="G541" s="7" t="s">
        <v>444</v>
      </c>
      <c r="H541" s="7" t="s">
        <v>444</v>
      </c>
      <c r="I541" s="7" t="s">
        <v>1953</v>
      </c>
      <c r="K541" s="5">
        <f>SUMIF(BC!$E$6:$E$347,$A541,BC!$K$6:$K$347)</f>
        <v>0</v>
      </c>
      <c r="L541" s="5" t="e">
        <f>SUMIF(#REF!,$A541,#REF!)+SUMIF(#REF!,$A541,#REF!)</f>
        <v>#REF!</v>
      </c>
      <c r="M541" s="5" t="e">
        <f>SUMIF(#REF!,Casilleros!$A541,#REF!)+SUMIF(#REF!,Casilleros!$A541,#REF!)+SUMIF(#REF!,$A541,#REF!)</f>
        <v>#REF!</v>
      </c>
      <c r="N541" s="5" t="e">
        <f>SUMIF(#REF!,$A541,#REF!)</f>
        <v>#REF!</v>
      </c>
      <c r="O541" s="5" t="e">
        <f>SUMIF(#REF!,$A541,#REF!)+SUMIF(#REF!,$A541,#REF!)</f>
        <v>#REF!</v>
      </c>
      <c r="P541" s="5">
        <f>IFERROR(VLOOKUP($A541,#REF!,2,FALSE),0)</f>
        <v>0</v>
      </c>
      <c r="Q541" s="42" t="e">
        <f t="shared" si="8"/>
        <v>#REF!</v>
      </c>
    </row>
    <row r="542" spans="1:17">
      <c r="A542" s="56" t="s">
        <v>1309</v>
      </c>
      <c r="B542" s="7" t="s">
        <v>28</v>
      </c>
      <c r="C542" s="7" t="s">
        <v>1305</v>
      </c>
      <c r="D542" s="7" t="s">
        <v>1308</v>
      </c>
      <c r="E542" s="7" t="s">
        <v>444</v>
      </c>
      <c r="F542" s="7" t="s">
        <v>444</v>
      </c>
      <c r="G542" s="7" t="s">
        <v>444</v>
      </c>
      <c r="H542" s="7" t="s">
        <v>444</v>
      </c>
      <c r="I542" s="7" t="s">
        <v>1954</v>
      </c>
      <c r="K542" s="5">
        <f>SUMIF(BC!$E$6:$E$347,$A542,BC!$K$6:$K$347)</f>
        <v>0</v>
      </c>
      <c r="L542" s="5" t="e">
        <f>SUMIF(#REF!,$A542,#REF!)+SUMIF(#REF!,$A542,#REF!)</f>
        <v>#REF!</v>
      </c>
      <c r="M542" s="5" t="e">
        <f>SUMIF(#REF!,Casilleros!$A542,#REF!)+SUMIF(#REF!,Casilleros!$A542,#REF!)+SUMIF(#REF!,$A542,#REF!)</f>
        <v>#REF!</v>
      </c>
      <c r="N542" s="5" t="e">
        <f>SUMIF(#REF!,$A542,#REF!)</f>
        <v>#REF!</v>
      </c>
      <c r="O542" s="5" t="e">
        <f>SUMIF(#REF!,$A542,#REF!)+SUMIF(#REF!,$A542,#REF!)</f>
        <v>#REF!</v>
      </c>
      <c r="P542" s="5">
        <f>IFERROR(VLOOKUP($A542,#REF!,2,FALSE),0)</f>
        <v>0</v>
      </c>
      <c r="Q542" s="42" t="e">
        <f t="shared" si="8"/>
        <v>#REF!</v>
      </c>
    </row>
    <row r="543" spans="1:17">
      <c r="A543" s="56" t="s">
        <v>1311</v>
      </c>
      <c r="B543" s="7" t="s">
        <v>28</v>
      </c>
      <c r="C543" s="7" t="s">
        <v>1305</v>
      </c>
      <c r="D543" s="7" t="s">
        <v>1310</v>
      </c>
      <c r="E543" s="7" t="s">
        <v>444</v>
      </c>
      <c r="F543" s="7" t="s">
        <v>444</v>
      </c>
      <c r="G543" s="7" t="s">
        <v>444</v>
      </c>
      <c r="H543" s="7" t="s">
        <v>444</v>
      </c>
      <c r="I543" s="7" t="s">
        <v>1955</v>
      </c>
      <c r="K543" s="5">
        <f>SUMIF(BC!$E$6:$E$347,$A543,BC!$K$6:$K$347)</f>
        <v>0</v>
      </c>
      <c r="L543" s="5" t="e">
        <f>SUMIF(#REF!,$A543,#REF!)+SUMIF(#REF!,$A543,#REF!)</f>
        <v>#REF!</v>
      </c>
      <c r="M543" s="5" t="e">
        <f>SUMIF(#REF!,Casilleros!$A543,#REF!)+SUMIF(#REF!,Casilleros!$A543,#REF!)+SUMIF(#REF!,$A543,#REF!)</f>
        <v>#REF!</v>
      </c>
      <c r="N543" s="5" t="e">
        <f>SUMIF(#REF!,$A543,#REF!)</f>
        <v>#REF!</v>
      </c>
      <c r="O543" s="5" t="e">
        <f>SUMIF(#REF!,$A543,#REF!)+SUMIF(#REF!,$A543,#REF!)</f>
        <v>#REF!</v>
      </c>
      <c r="P543" s="5">
        <f>IFERROR(VLOOKUP($A543,#REF!,2,FALSE),0)</f>
        <v>0</v>
      </c>
      <c r="Q543" s="42" t="e">
        <f t="shared" si="8"/>
        <v>#REF!</v>
      </c>
    </row>
    <row r="544" spans="1:17">
      <c r="A544" s="56" t="s">
        <v>1313</v>
      </c>
      <c r="B544" s="7" t="s">
        <v>28</v>
      </c>
      <c r="C544" s="7" t="s">
        <v>1305</v>
      </c>
      <c r="D544" s="7" t="s">
        <v>1312</v>
      </c>
      <c r="E544" s="7" t="s">
        <v>444</v>
      </c>
      <c r="F544" s="7" t="s">
        <v>444</v>
      </c>
      <c r="G544" s="7" t="s">
        <v>444</v>
      </c>
      <c r="H544" s="7" t="s">
        <v>444</v>
      </c>
      <c r="I544" s="7" t="s">
        <v>1956</v>
      </c>
      <c r="K544" s="5">
        <f>SUMIF(BC!$E$6:$E$347,$A544,BC!$K$6:$K$347)</f>
        <v>0</v>
      </c>
      <c r="L544" s="5" t="e">
        <f>SUMIF(#REF!,$A544,#REF!)+SUMIF(#REF!,$A544,#REF!)</f>
        <v>#REF!</v>
      </c>
      <c r="M544" s="5" t="e">
        <f>SUMIF(#REF!,Casilleros!$A544,#REF!)+SUMIF(#REF!,Casilleros!$A544,#REF!)+SUMIF(#REF!,$A544,#REF!)</f>
        <v>#REF!</v>
      </c>
      <c r="N544" s="5" t="e">
        <f>SUMIF(#REF!,$A544,#REF!)</f>
        <v>#REF!</v>
      </c>
      <c r="O544" s="5" t="e">
        <f>SUMIF(#REF!,$A544,#REF!)+SUMIF(#REF!,$A544,#REF!)</f>
        <v>#REF!</v>
      </c>
      <c r="P544" s="5">
        <f>IFERROR(VLOOKUP($A544,#REF!,2,FALSE),0)</f>
        <v>0</v>
      </c>
      <c r="Q544" s="42" t="e">
        <f t="shared" si="8"/>
        <v>#REF!</v>
      </c>
    </row>
    <row r="545" spans="1:17">
      <c r="A545" s="56" t="s">
        <v>758</v>
      </c>
      <c r="B545" s="7" t="s">
        <v>28</v>
      </c>
      <c r="C545" s="7" t="s">
        <v>1305</v>
      </c>
      <c r="D545" s="7" t="s">
        <v>1314</v>
      </c>
      <c r="E545" s="7" t="s">
        <v>444</v>
      </c>
      <c r="F545" s="7" t="s">
        <v>444</v>
      </c>
      <c r="G545" s="7" t="s">
        <v>444</v>
      </c>
      <c r="H545" s="7" t="s">
        <v>444</v>
      </c>
      <c r="I545" s="7" t="s">
        <v>1957</v>
      </c>
      <c r="K545" s="5">
        <f>SUMIF(BC!$E$6:$E$347,$A545,BC!$K$6:$K$347)</f>
        <v>0</v>
      </c>
      <c r="L545" s="5" t="e">
        <f>SUMIF(#REF!,$A545,#REF!)+SUMIF(#REF!,$A545,#REF!)</f>
        <v>#REF!</v>
      </c>
      <c r="M545" s="5" t="e">
        <f>SUMIF(#REF!,Casilleros!$A545,#REF!)+SUMIF(#REF!,Casilleros!$A545,#REF!)+SUMIF(#REF!,$A545,#REF!)</f>
        <v>#REF!</v>
      </c>
      <c r="N545" s="5" t="e">
        <f>SUMIF(#REF!,$A545,#REF!)</f>
        <v>#REF!</v>
      </c>
      <c r="O545" s="5" t="e">
        <f>SUMIF(#REF!,$A545,#REF!)+SUMIF(#REF!,$A545,#REF!)</f>
        <v>#REF!</v>
      </c>
      <c r="P545" s="5">
        <f>IFERROR(VLOOKUP($A545,#REF!,2,FALSE),0)</f>
        <v>0</v>
      </c>
      <c r="Q545" s="42" t="e">
        <f t="shared" si="8"/>
        <v>#REF!</v>
      </c>
    </row>
    <row r="546" spans="1:17">
      <c r="A546" s="56" t="s">
        <v>1316</v>
      </c>
      <c r="B546" s="7" t="s">
        <v>28</v>
      </c>
      <c r="C546" s="7" t="s">
        <v>1305</v>
      </c>
      <c r="D546" s="7" t="s">
        <v>1315</v>
      </c>
      <c r="E546" s="7" t="s">
        <v>444</v>
      </c>
      <c r="F546" s="7" t="s">
        <v>444</v>
      </c>
      <c r="G546" s="7" t="s">
        <v>444</v>
      </c>
      <c r="H546" s="7" t="s">
        <v>444</v>
      </c>
      <c r="I546" s="7" t="s">
        <v>1958</v>
      </c>
      <c r="K546" s="5">
        <f>SUMIF(BC!$E$6:$E$347,$A546,BC!$K$6:$K$347)</f>
        <v>0</v>
      </c>
      <c r="L546" s="5" t="e">
        <f>SUMIF(#REF!,$A546,#REF!)+SUMIF(#REF!,$A546,#REF!)</f>
        <v>#REF!</v>
      </c>
      <c r="M546" s="5" t="e">
        <f>SUMIF(#REF!,Casilleros!$A546,#REF!)+SUMIF(#REF!,Casilleros!$A546,#REF!)+SUMIF(#REF!,$A546,#REF!)</f>
        <v>#REF!</v>
      </c>
      <c r="N546" s="5" t="e">
        <f>SUMIF(#REF!,$A546,#REF!)</f>
        <v>#REF!</v>
      </c>
      <c r="O546" s="5" t="e">
        <f>SUMIF(#REF!,$A546,#REF!)+SUMIF(#REF!,$A546,#REF!)</f>
        <v>#REF!</v>
      </c>
      <c r="P546" s="5">
        <f>IFERROR(VLOOKUP($A546,#REF!,2,FALSE),0)</f>
        <v>0</v>
      </c>
      <c r="Q546" s="42" t="e">
        <f t="shared" si="8"/>
        <v>#REF!</v>
      </c>
    </row>
    <row r="547" spans="1:17">
      <c r="A547" s="56" t="s">
        <v>1318</v>
      </c>
      <c r="B547" s="7" t="s">
        <v>28</v>
      </c>
      <c r="C547" s="7" t="s">
        <v>1305</v>
      </c>
      <c r="D547" s="7" t="s">
        <v>1317</v>
      </c>
      <c r="E547" s="7" t="s">
        <v>444</v>
      </c>
      <c r="F547" s="7" t="s">
        <v>444</v>
      </c>
      <c r="G547" s="7" t="s">
        <v>444</v>
      </c>
      <c r="H547" s="7" t="s">
        <v>444</v>
      </c>
      <c r="I547" s="7" t="s">
        <v>1959</v>
      </c>
      <c r="K547" s="5">
        <f>SUMIF(BC!$E$6:$E$347,$A547,BC!$K$6:$K$347)</f>
        <v>0</v>
      </c>
      <c r="L547" s="5" t="e">
        <f>SUMIF(#REF!,$A547,#REF!)+SUMIF(#REF!,$A547,#REF!)</f>
        <v>#REF!</v>
      </c>
      <c r="M547" s="5" t="e">
        <f>SUMIF(#REF!,Casilleros!$A547,#REF!)+SUMIF(#REF!,Casilleros!$A547,#REF!)+SUMIF(#REF!,$A547,#REF!)</f>
        <v>#REF!</v>
      </c>
      <c r="N547" s="5" t="e">
        <f>SUMIF(#REF!,$A547,#REF!)</f>
        <v>#REF!</v>
      </c>
      <c r="O547" s="5" t="e">
        <f>SUMIF(#REF!,$A547,#REF!)+SUMIF(#REF!,$A547,#REF!)</f>
        <v>#REF!</v>
      </c>
      <c r="P547" s="5">
        <f>IFERROR(VLOOKUP($A547,#REF!,2,FALSE),0)</f>
        <v>0</v>
      </c>
      <c r="Q547" s="42" t="e">
        <f t="shared" si="8"/>
        <v>#REF!</v>
      </c>
    </row>
    <row r="548" spans="1:17">
      <c r="A548" s="56" t="s">
        <v>1147</v>
      </c>
      <c r="B548" s="7" t="s">
        <v>28</v>
      </c>
      <c r="C548" s="7" t="s">
        <v>1305</v>
      </c>
      <c r="D548" s="7" t="s">
        <v>1146</v>
      </c>
      <c r="E548" s="7" t="s">
        <v>444</v>
      </c>
      <c r="F548" s="7" t="s">
        <v>444</v>
      </c>
      <c r="G548" s="7" t="s">
        <v>444</v>
      </c>
      <c r="H548" s="7" t="s">
        <v>444</v>
      </c>
      <c r="I548" s="7" t="s">
        <v>1960</v>
      </c>
      <c r="K548" s="5" t="e">
        <f>SUMIF(BC!$E$6:$E$347,$A548,BC!$K$6:$K$347)</f>
        <v>#REF!</v>
      </c>
      <c r="L548" s="5" t="e">
        <f>SUMIF(#REF!,$A548,#REF!)+SUMIF(#REF!,$A548,#REF!)</f>
        <v>#REF!</v>
      </c>
      <c r="M548" s="5" t="e">
        <f>SUMIF(#REF!,Casilleros!$A548,#REF!)+SUMIF(#REF!,Casilleros!$A548,#REF!)+SUMIF(#REF!,$A548,#REF!)</f>
        <v>#REF!</v>
      </c>
      <c r="N548" s="5" t="e">
        <f>SUMIF(#REF!,$A548,#REF!)</f>
        <v>#REF!</v>
      </c>
      <c r="O548" s="5" t="e">
        <f>SUMIF(#REF!,$A548,#REF!)+SUMIF(#REF!,$A548,#REF!)</f>
        <v>#REF!</v>
      </c>
      <c r="P548" s="5">
        <f>IFERROR(VLOOKUP($A548,#REF!,2,FALSE),0)</f>
        <v>0</v>
      </c>
      <c r="Q548" s="42" t="e">
        <f t="shared" si="8"/>
        <v>#REF!</v>
      </c>
    </row>
    <row r="549" spans="1:17">
      <c r="A549" s="56" t="s">
        <v>1320</v>
      </c>
      <c r="B549" s="7" t="s">
        <v>28</v>
      </c>
      <c r="C549" s="7" t="s">
        <v>1305</v>
      </c>
      <c r="D549" s="7" t="s">
        <v>1319</v>
      </c>
      <c r="E549" s="7" t="s">
        <v>444</v>
      </c>
      <c r="F549" s="7" t="s">
        <v>444</v>
      </c>
      <c r="G549" s="7" t="s">
        <v>444</v>
      </c>
      <c r="H549" s="7" t="s">
        <v>444</v>
      </c>
      <c r="I549" s="7" t="s">
        <v>1961</v>
      </c>
      <c r="K549" s="5">
        <f>SUMIF(BC!$E$6:$E$347,$A549,BC!$K$6:$K$347)</f>
        <v>0</v>
      </c>
      <c r="L549" s="5" t="e">
        <f>SUMIF(#REF!,$A549,#REF!)+SUMIF(#REF!,$A549,#REF!)</f>
        <v>#REF!</v>
      </c>
      <c r="M549" s="5" t="e">
        <f>SUMIF(#REF!,Casilleros!$A549,#REF!)+SUMIF(#REF!,Casilleros!$A549,#REF!)+SUMIF(#REF!,$A549,#REF!)</f>
        <v>#REF!</v>
      </c>
      <c r="N549" s="5" t="e">
        <f>SUMIF(#REF!,$A549,#REF!)</f>
        <v>#REF!</v>
      </c>
      <c r="O549" s="5" t="e">
        <f>SUMIF(#REF!,$A549,#REF!)+SUMIF(#REF!,$A549,#REF!)</f>
        <v>#REF!</v>
      </c>
      <c r="P549" s="5">
        <f>IFERROR(VLOOKUP($A549,#REF!,2,FALSE),0)</f>
        <v>0</v>
      </c>
      <c r="Q549" s="42" t="e">
        <f t="shared" si="8"/>
        <v>#REF!</v>
      </c>
    </row>
    <row r="550" spans="1:17">
      <c r="A550" s="56" t="s">
        <v>1247</v>
      </c>
      <c r="B550" s="7" t="s">
        <v>28</v>
      </c>
      <c r="C550" s="7" t="s">
        <v>1305</v>
      </c>
      <c r="D550" s="7" t="s">
        <v>1321</v>
      </c>
      <c r="E550" s="7" t="s">
        <v>444</v>
      </c>
      <c r="F550" s="7" t="s">
        <v>444</v>
      </c>
      <c r="G550" s="7" t="s">
        <v>444</v>
      </c>
      <c r="H550" s="7" t="s">
        <v>444</v>
      </c>
      <c r="I550" s="7" t="s">
        <v>1962</v>
      </c>
      <c r="K550" s="5">
        <f>SUMIF(BC!$E$6:$E$347,$A550,BC!$K$6:$K$347)</f>
        <v>0</v>
      </c>
      <c r="L550" s="5" t="e">
        <f>SUMIF(#REF!,$A550,#REF!)+SUMIF(#REF!,$A550,#REF!)</f>
        <v>#REF!</v>
      </c>
      <c r="M550" s="5" t="e">
        <f>SUMIF(#REF!,Casilleros!$A550,#REF!)+SUMIF(#REF!,Casilleros!$A550,#REF!)+SUMIF(#REF!,$A550,#REF!)</f>
        <v>#REF!</v>
      </c>
      <c r="N550" s="5" t="e">
        <f>SUMIF(#REF!,$A550,#REF!)</f>
        <v>#REF!</v>
      </c>
      <c r="O550" s="5" t="e">
        <f>SUMIF(#REF!,$A550,#REF!)+SUMIF(#REF!,$A550,#REF!)</f>
        <v>#REF!</v>
      </c>
      <c r="P550" s="5">
        <f>IFERROR(VLOOKUP($A550,#REF!,2,FALSE),0)</f>
        <v>0</v>
      </c>
      <c r="Q550" s="42" t="e">
        <f t="shared" si="8"/>
        <v>#REF!</v>
      </c>
    </row>
    <row r="551" spans="1:17">
      <c r="A551" s="61">
        <v>1099</v>
      </c>
      <c r="B551" s="7" t="s">
        <v>28</v>
      </c>
      <c r="C551" s="7" t="s">
        <v>1305</v>
      </c>
      <c r="D551" s="7" t="s">
        <v>1322</v>
      </c>
      <c r="E551" s="7" t="s">
        <v>444</v>
      </c>
      <c r="F551" s="7" t="s">
        <v>444</v>
      </c>
      <c r="G551" s="7" t="s">
        <v>444</v>
      </c>
      <c r="H551" s="7" t="s">
        <v>444</v>
      </c>
      <c r="I551" s="7" t="s">
        <v>1963</v>
      </c>
      <c r="K551" s="5">
        <f>SUMIF(BC!$E$6:$E$347,$A551,BC!$K$6:$K$347)</f>
        <v>0</v>
      </c>
      <c r="L551" s="5" t="e">
        <f>SUMIF(#REF!,$A551,#REF!)+SUMIF(#REF!,$A551,#REF!)</f>
        <v>#REF!</v>
      </c>
      <c r="M551" s="5" t="e">
        <f>SUMIF(#REF!,Casilleros!$A551,#REF!)+SUMIF(#REF!,Casilleros!$A551,#REF!)+SUMIF(#REF!,$A551,#REF!)</f>
        <v>#REF!</v>
      </c>
      <c r="N551" s="5" t="e">
        <f>SUMIF(#REF!,$A551,#REF!)</f>
        <v>#REF!</v>
      </c>
      <c r="O551" s="5" t="e">
        <f>SUMIF(#REF!,$A551,#REF!)+SUMIF(#REF!,$A551,#REF!)</f>
        <v>#REF!</v>
      </c>
      <c r="P551" s="5">
        <f>IFERROR(VLOOKUP($A551,#REF!,2,FALSE),0)</f>
        <v>0</v>
      </c>
      <c r="Q551" s="42" t="e">
        <f t="shared" si="8"/>
        <v>#REF!</v>
      </c>
    </row>
    <row r="552" spans="1:17">
      <c r="A552" s="56" t="s">
        <v>1325</v>
      </c>
      <c r="B552" s="7" t="s">
        <v>28</v>
      </c>
      <c r="C552" s="7" t="s">
        <v>1323</v>
      </c>
      <c r="D552" s="7" t="s">
        <v>1324</v>
      </c>
      <c r="E552" s="7" t="s">
        <v>1964</v>
      </c>
      <c r="F552" s="7" t="s">
        <v>444</v>
      </c>
      <c r="G552" s="7" t="s">
        <v>444</v>
      </c>
      <c r="H552" s="7" t="s">
        <v>444</v>
      </c>
      <c r="I552" s="7" t="s">
        <v>1965</v>
      </c>
      <c r="K552" s="5">
        <f>SUMIF(BC!$E$6:$E$347,$A552,BC!$K$6:$K$347)</f>
        <v>0</v>
      </c>
      <c r="L552" s="5" t="e">
        <f>SUMIF(#REF!,$A552,#REF!)+SUMIF(#REF!,$A552,#REF!)</f>
        <v>#REF!</v>
      </c>
      <c r="M552" s="5" t="e">
        <f>SUMIF(#REF!,Casilleros!$A552,#REF!)+SUMIF(#REF!,Casilleros!$A552,#REF!)+SUMIF(#REF!,$A552,#REF!)</f>
        <v>#REF!</v>
      </c>
      <c r="N552" s="5" t="e">
        <f>SUMIF(#REF!,$A552,#REF!)</f>
        <v>#REF!</v>
      </c>
      <c r="O552" s="5" t="e">
        <f>SUMIF(#REF!,$A552,#REF!)+SUMIF(#REF!,$A552,#REF!)</f>
        <v>#REF!</v>
      </c>
      <c r="P552" s="5">
        <f>IFERROR(VLOOKUP($A552,#REF!,2,FALSE),0)</f>
        <v>0</v>
      </c>
      <c r="Q552" s="42" t="e">
        <f t="shared" si="8"/>
        <v>#REF!</v>
      </c>
    </row>
    <row r="553" spans="1:17">
      <c r="A553" s="56" t="s">
        <v>1327</v>
      </c>
      <c r="B553" s="7" t="s">
        <v>28</v>
      </c>
      <c r="C553" s="7" t="s">
        <v>1323</v>
      </c>
      <c r="D553" s="7" t="s">
        <v>1324</v>
      </c>
      <c r="E553" s="7" t="s">
        <v>1326</v>
      </c>
      <c r="F553" s="7" t="s">
        <v>444</v>
      </c>
      <c r="G553" s="7" t="s">
        <v>444</v>
      </c>
      <c r="H553" s="7" t="s">
        <v>444</v>
      </c>
      <c r="I553" s="7" t="s">
        <v>1966</v>
      </c>
      <c r="K553" s="5">
        <f>SUMIF(BC!$E$6:$E$347,$A553,BC!$K$6:$K$347)</f>
        <v>0</v>
      </c>
      <c r="L553" s="5" t="e">
        <f>SUMIF(#REF!,$A553,#REF!)+SUMIF(#REF!,$A553,#REF!)</f>
        <v>#REF!</v>
      </c>
      <c r="M553" s="5" t="e">
        <f>SUMIF(#REF!,Casilleros!$A553,#REF!)+SUMIF(#REF!,Casilleros!$A553,#REF!)+SUMIF(#REF!,$A553,#REF!)</f>
        <v>#REF!</v>
      </c>
      <c r="N553" s="5" t="e">
        <f>SUMIF(#REF!,$A553,#REF!)</f>
        <v>#REF!</v>
      </c>
      <c r="O553" s="5" t="e">
        <f>SUMIF(#REF!,$A553,#REF!)+SUMIF(#REF!,$A553,#REF!)</f>
        <v>#REF!</v>
      </c>
      <c r="P553" s="5">
        <f>IFERROR(VLOOKUP($A553,#REF!,2,FALSE),0)</f>
        <v>0</v>
      </c>
      <c r="Q553" s="42" t="e">
        <f t="shared" si="8"/>
        <v>#REF!</v>
      </c>
    </row>
    <row r="554" spans="1:17">
      <c r="A554" s="56" t="s">
        <v>1329</v>
      </c>
      <c r="B554" s="7" t="s">
        <v>28</v>
      </c>
      <c r="C554" s="7" t="s">
        <v>1323</v>
      </c>
      <c r="D554" s="7" t="s">
        <v>1324</v>
      </c>
      <c r="E554" s="7" t="s">
        <v>1328</v>
      </c>
      <c r="F554" s="7" t="s">
        <v>444</v>
      </c>
      <c r="G554" s="7" t="s">
        <v>444</v>
      </c>
      <c r="H554" s="7" t="s">
        <v>444</v>
      </c>
      <c r="I554" s="7" t="s">
        <v>1967</v>
      </c>
      <c r="K554" s="5">
        <f>SUMIF(BC!$E$6:$E$347,$A554,BC!$K$6:$K$347)</f>
        <v>0</v>
      </c>
      <c r="L554" s="5" t="e">
        <f>SUMIF(#REF!,$A554,#REF!)+SUMIF(#REF!,$A554,#REF!)</f>
        <v>#REF!</v>
      </c>
      <c r="M554" s="5" t="e">
        <f>SUMIF(#REF!,Casilleros!$A554,#REF!)+SUMIF(#REF!,Casilleros!$A554,#REF!)+SUMIF(#REF!,$A554,#REF!)</f>
        <v>#REF!</v>
      </c>
      <c r="N554" s="5" t="e">
        <f>SUMIF(#REF!,$A554,#REF!)</f>
        <v>#REF!</v>
      </c>
      <c r="O554" s="5" t="e">
        <f>SUMIF(#REF!,$A554,#REF!)+SUMIF(#REF!,$A554,#REF!)</f>
        <v>#REF!</v>
      </c>
      <c r="P554" s="5">
        <f>IFERROR(VLOOKUP($A554,#REF!,2,FALSE),0)</f>
        <v>0</v>
      </c>
      <c r="Q554" s="42" t="e">
        <f t="shared" si="8"/>
        <v>#REF!</v>
      </c>
    </row>
    <row r="555" spans="1:17">
      <c r="A555" s="56" t="s">
        <v>1331</v>
      </c>
      <c r="B555" s="7" t="s">
        <v>28</v>
      </c>
      <c r="C555" s="7" t="s">
        <v>1323</v>
      </c>
      <c r="D555" s="7" t="s">
        <v>1324</v>
      </c>
      <c r="E555" s="7" t="s">
        <v>1330</v>
      </c>
      <c r="F555" s="7" t="s">
        <v>444</v>
      </c>
      <c r="G555" s="7" t="s">
        <v>444</v>
      </c>
      <c r="H555" s="7" t="s">
        <v>444</v>
      </c>
      <c r="I555" s="7" t="s">
        <v>1968</v>
      </c>
      <c r="K555" s="5">
        <f>SUMIF(BC!$E$6:$E$347,$A555,BC!$K$6:$K$347)</f>
        <v>0</v>
      </c>
      <c r="L555" s="5" t="e">
        <f>SUMIF(#REF!,$A555,#REF!)+SUMIF(#REF!,$A555,#REF!)</f>
        <v>#REF!</v>
      </c>
      <c r="M555" s="5" t="e">
        <f>SUMIF(#REF!,Casilleros!$A555,#REF!)+SUMIF(#REF!,Casilleros!$A555,#REF!)+SUMIF(#REF!,$A555,#REF!)</f>
        <v>#REF!</v>
      </c>
      <c r="N555" s="5" t="e">
        <f>SUMIF(#REF!,$A555,#REF!)</f>
        <v>#REF!</v>
      </c>
      <c r="O555" s="5" t="e">
        <f>SUMIF(#REF!,$A555,#REF!)+SUMIF(#REF!,$A555,#REF!)</f>
        <v>#REF!</v>
      </c>
      <c r="P555" s="5">
        <f>IFERROR(VLOOKUP($A555,#REF!,2,FALSE),0)</f>
        <v>0</v>
      </c>
      <c r="Q555" s="42" t="e">
        <f t="shared" si="8"/>
        <v>#REF!</v>
      </c>
    </row>
    <row r="556" spans="1:17">
      <c r="A556" s="56" t="s">
        <v>1334</v>
      </c>
      <c r="B556" s="7" t="s">
        <v>28</v>
      </c>
      <c r="C556" s="7" t="s">
        <v>1332</v>
      </c>
      <c r="D556" s="7" t="s">
        <v>1333</v>
      </c>
      <c r="E556" s="7" t="s">
        <v>873</v>
      </c>
      <c r="F556" s="7" t="s">
        <v>444</v>
      </c>
      <c r="G556" s="7" t="s">
        <v>444</v>
      </c>
      <c r="H556" s="7" t="s">
        <v>444</v>
      </c>
      <c r="I556" s="7" t="s">
        <v>1969</v>
      </c>
      <c r="K556" s="5">
        <f>SUMIF(BC!$E$6:$E$347,$A556,BC!$K$6:$K$347)</f>
        <v>0</v>
      </c>
      <c r="L556" s="5" t="e">
        <f>SUMIF(#REF!,$A556,#REF!)+SUMIF(#REF!,$A556,#REF!)</f>
        <v>#REF!</v>
      </c>
      <c r="M556" s="5" t="e">
        <f>SUMIF(#REF!,Casilleros!$A556,#REF!)+SUMIF(#REF!,Casilleros!$A556,#REF!)+SUMIF(#REF!,$A556,#REF!)</f>
        <v>#REF!</v>
      </c>
      <c r="N556" s="5" t="e">
        <f>SUMIF(#REF!,$A556,#REF!)</f>
        <v>#REF!</v>
      </c>
      <c r="O556" s="5" t="e">
        <f>SUMIF(#REF!,$A556,#REF!)+SUMIF(#REF!,$A556,#REF!)</f>
        <v>#REF!</v>
      </c>
      <c r="P556" s="5">
        <f>IFERROR(VLOOKUP($A556,#REF!,2,FALSE),0)</f>
        <v>0</v>
      </c>
      <c r="Q556" s="42" t="e">
        <f t="shared" si="8"/>
        <v>#REF!</v>
      </c>
    </row>
    <row r="557" spans="1:17">
      <c r="A557" s="56" t="s">
        <v>1335</v>
      </c>
      <c r="B557" s="7" t="s">
        <v>28</v>
      </c>
      <c r="C557" s="7" t="s">
        <v>1332</v>
      </c>
      <c r="D557" s="7" t="s">
        <v>1333</v>
      </c>
      <c r="E557" s="7" t="s">
        <v>541</v>
      </c>
      <c r="F557" s="7" t="s">
        <v>444</v>
      </c>
      <c r="G557" s="7" t="s">
        <v>444</v>
      </c>
      <c r="H557" s="7" t="s">
        <v>444</v>
      </c>
      <c r="I557" s="7" t="s">
        <v>1970</v>
      </c>
      <c r="K557" s="5">
        <f>SUMIF(BC!$E$6:$E$347,$A557,BC!$K$6:$K$347)</f>
        <v>0</v>
      </c>
      <c r="L557" s="5" t="e">
        <f>SUMIF(#REF!,$A557,#REF!)+SUMIF(#REF!,$A557,#REF!)</f>
        <v>#REF!</v>
      </c>
      <c r="M557" s="5" t="e">
        <f>SUMIF(#REF!,Casilleros!$A557,#REF!)+SUMIF(#REF!,Casilleros!$A557,#REF!)+SUMIF(#REF!,$A557,#REF!)</f>
        <v>#REF!</v>
      </c>
      <c r="N557" s="5" t="e">
        <f>SUMIF(#REF!,$A557,#REF!)</f>
        <v>#REF!</v>
      </c>
      <c r="O557" s="5" t="e">
        <f>SUMIF(#REF!,$A557,#REF!)+SUMIF(#REF!,$A557,#REF!)</f>
        <v>#REF!</v>
      </c>
      <c r="P557" s="5">
        <f>IFERROR(VLOOKUP($A557,#REF!,2,FALSE),0)</f>
        <v>0</v>
      </c>
      <c r="Q557" s="42" t="e">
        <f t="shared" si="8"/>
        <v>#REF!</v>
      </c>
    </row>
    <row r="558" spans="1:17">
      <c r="A558" s="56" t="s">
        <v>1336</v>
      </c>
      <c r="B558" s="7" t="s">
        <v>28</v>
      </c>
      <c r="C558" s="7" t="s">
        <v>1332</v>
      </c>
      <c r="D558" s="7" t="s">
        <v>1333</v>
      </c>
      <c r="E558" s="7" t="s">
        <v>122</v>
      </c>
      <c r="F558" s="7" t="s">
        <v>444</v>
      </c>
      <c r="G558" s="7" t="s">
        <v>444</v>
      </c>
      <c r="H558" s="7" t="s">
        <v>444</v>
      </c>
      <c r="I558" s="7" t="s">
        <v>1971</v>
      </c>
      <c r="K558" s="5">
        <f>SUMIF(BC!$E$6:$E$347,$A558,BC!$K$6:$K$347)</f>
        <v>0</v>
      </c>
      <c r="L558" s="5" t="e">
        <f>SUMIF(#REF!,$A558,#REF!)+SUMIF(#REF!,$A558,#REF!)</f>
        <v>#REF!</v>
      </c>
      <c r="M558" s="5" t="e">
        <f>SUMIF(#REF!,Casilleros!$A558,#REF!)+SUMIF(#REF!,Casilleros!$A558,#REF!)+SUMIF(#REF!,$A558,#REF!)</f>
        <v>#REF!</v>
      </c>
      <c r="N558" s="5" t="e">
        <f>SUMIF(#REF!,$A558,#REF!)</f>
        <v>#REF!</v>
      </c>
      <c r="O558" s="5" t="e">
        <f>SUMIF(#REF!,$A558,#REF!)+SUMIF(#REF!,$A558,#REF!)</f>
        <v>#REF!</v>
      </c>
      <c r="P558" s="5">
        <f>IFERROR(VLOOKUP($A558,#REF!,2,FALSE),0)</f>
        <v>0</v>
      </c>
      <c r="Q558" s="42" t="e">
        <f t="shared" si="8"/>
        <v>#REF!</v>
      </c>
    </row>
    <row r="559" spans="1:17">
      <c r="A559" s="56" t="s">
        <v>1338</v>
      </c>
      <c r="B559" s="7" t="s">
        <v>28</v>
      </c>
      <c r="C559" s="7" t="s">
        <v>1332</v>
      </c>
      <c r="D559" s="7" t="s">
        <v>1337</v>
      </c>
      <c r="E559" s="7" t="s">
        <v>444</v>
      </c>
      <c r="F559" s="7" t="s">
        <v>444</v>
      </c>
      <c r="G559" s="7" t="s">
        <v>444</v>
      </c>
      <c r="H559" s="7" t="s">
        <v>444</v>
      </c>
      <c r="I559" s="7" t="s">
        <v>1972</v>
      </c>
      <c r="K559" s="5">
        <f>SUMIF(BC!$E$6:$E$347,$A559,BC!$K$6:$K$347)</f>
        <v>0</v>
      </c>
      <c r="L559" s="5" t="e">
        <f>SUMIF(#REF!,$A559,#REF!)+SUMIF(#REF!,$A559,#REF!)</f>
        <v>#REF!</v>
      </c>
      <c r="M559" s="5" t="e">
        <f>SUMIF(#REF!,Casilleros!$A559,#REF!)+SUMIF(#REF!,Casilleros!$A559,#REF!)+SUMIF(#REF!,$A559,#REF!)</f>
        <v>#REF!</v>
      </c>
      <c r="N559" s="5" t="e">
        <f>SUMIF(#REF!,$A559,#REF!)</f>
        <v>#REF!</v>
      </c>
      <c r="O559" s="5" t="e">
        <f>SUMIF(#REF!,$A559,#REF!)+SUMIF(#REF!,$A559,#REF!)</f>
        <v>#REF!</v>
      </c>
      <c r="P559" s="5">
        <f>IFERROR(VLOOKUP($A559,#REF!,2,FALSE),0)</f>
        <v>0</v>
      </c>
      <c r="Q559" s="42" t="e">
        <f t="shared" si="8"/>
        <v>#REF!</v>
      </c>
    </row>
    <row r="560" spans="1:17">
      <c r="A560" s="56" t="s">
        <v>1340</v>
      </c>
      <c r="B560" s="7" t="s">
        <v>28</v>
      </c>
      <c r="C560" s="7" t="s">
        <v>1332</v>
      </c>
      <c r="D560" s="7" t="s">
        <v>1339</v>
      </c>
      <c r="E560" s="7" t="s">
        <v>444</v>
      </c>
      <c r="F560" s="7" t="s">
        <v>444</v>
      </c>
      <c r="G560" s="7" t="s">
        <v>444</v>
      </c>
      <c r="H560" s="7" t="s">
        <v>444</v>
      </c>
      <c r="I560" s="7" t="s">
        <v>1973</v>
      </c>
      <c r="K560" s="5">
        <f>SUMIF(BC!$E$6:$E$347,$A560,BC!$K$6:$K$347)</f>
        <v>0</v>
      </c>
      <c r="L560" s="5" t="e">
        <f>SUMIF(#REF!,$A560,#REF!)+SUMIF(#REF!,$A560,#REF!)</f>
        <v>#REF!</v>
      </c>
      <c r="M560" s="5" t="e">
        <f>SUMIF(#REF!,Casilleros!$A560,#REF!)+SUMIF(#REF!,Casilleros!$A560,#REF!)+SUMIF(#REF!,$A560,#REF!)</f>
        <v>#REF!</v>
      </c>
      <c r="N560" s="5" t="e">
        <f>SUMIF(#REF!,$A560,#REF!)</f>
        <v>#REF!</v>
      </c>
      <c r="O560" s="5" t="e">
        <f>SUMIF(#REF!,$A560,#REF!)+SUMIF(#REF!,$A560,#REF!)</f>
        <v>#REF!</v>
      </c>
      <c r="P560" s="5">
        <f>IFERROR(VLOOKUP($A560,#REF!,2,FALSE),0)</f>
        <v>0</v>
      </c>
      <c r="Q560" s="42" t="e">
        <f t="shared" si="8"/>
        <v>#REF!</v>
      </c>
    </row>
    <row r="561" spans="1:17">
      <c r="A561" s="56" t="s">
        <v>1342</v>
      </c>
      <c r="B561" s="7" t="s">
        <v>28</v>
      </c>
      <c r="C561" s="7" t="s">
        <v>1332</v>
      </c>
      <c r="D561" s="7" t="s">
        <v>1341</v>
      </c>
      <c r="E561" s="7" t="s">
        <v>444</v>
      </c>
      <c r="F561" s="7" t="s">
        <v>444</v>
      </c>
      <c r="G561" s="7" t="s">
        <v>444</v>
      </c>
      <c r="H561" s="7" t="s">
        <v>444</v>
      </c>
      <c r="I561" s="7" t="s">
        <v>1974</v>
      </c>
      <c r="K561" s="5">
        <f>SUMIF(BC!$E$6:$E$347,$A561,BC!$K$6:$K$347)</f>
        <v>0</v>
      </c>
      <c r="L561" s="5" t="e">
        <f>SUMIF(#REF!,$A561,#REF!)+SUMIF(#REF!,$A561,#REF!)</f>
        <v>#REF!</v>
      </c>
      <c r="M561" s="5" t="e">
        <f>SUMIF(#REF!,Casilleros!$A561,#REF!)+SUMIF(#REF!,Casilleros!$A561,#REF!)+SUMIF(#REF!,$A561,#REF!)</f>
        <v>#REF!</v>
      </c>
      <c r="N561" s="5" t="e">
        <f>SUMIF(#REF!,$A561,#REF!)</f>
        <v>#REF!</v>
      </c>
      <c r="O561" s="5" t="e">
        <f>SUMIF(#REF!,$A561,#REF!)+SUMIF(#REF!,$A561,#REF!)</f>
        <v>#REF!</v>
      </c>
      <c r="P561" s="5">
        <f>IFERROR(VLOOKUP($A561,#REF!,2,FALSE),0)</f>
        <v>0</v>
      </c>
      <c r="Q561" s="42" t="e">
        <f t="shared" si="8"/>
        <v>#REF!</v>
      </c>
    </row>
    <row r="562" spans="1:17">
      <c r="A562" s="56" t="s">
        <v>1343</v>
      </c>
      <c r="B562" s="7" t="s">
        <v>28</v>
      </c>
      <c r="C562" s="7" t="s">
        <v>1332</v>
      </c>
      <c r="D562" s="7" t="s">
        <v>550</v>
      </c>
      <c r="E562" s="7" t="s">
        <v>444</v>
      </c>
      <c r="F562" s="7" t="s">
        <v>444</v>
      </c>
      <c r="G562" s="7" t="s">
        <v>444</v>
      </c>
      <c r="H562" s="7" t="s">
        <v>444</v>
      </c>
      <c r="I562" s="7" t="s">
        <v>1975</v>
      </c>
      <c r="K562" s="5">
        <f>SUMIF(BC!$E$6:$E$347,$A562,BC!$K$6:$K$347)</f>
        <v>0</v>
      </c>
      <c r="L562" s="5" t="e">
        <f>SUMIF(#REF!,$A562,#REF!)+SUMIF(#REF!,$A562,#REF!)</f>
        <v>#REF!</v>
      </c>
      <c r="M562" s="5" t="e">
        <f>SUMIF(#REF!,Casilleros!$A562,#REF!)+SUMIF(#REF!,Casilleros!$A562,#REF!)+SUMIF(#REF!,$A562,#REF!)</f>
        <v>#REF!</v>
      </c>
      <c r="N562" s="5" t="e">
        <f>SUMIF(#REF!,$A562,#REF!)</f>
        <v>#REF!</v>
      </c>
      <c r="O562" s="5" t="e">
        <f>SUMIF(#REF!,$A562,#REF!)+SUMIF(#REF!,$A562,#REF!)</f>
        <v>#REF!</v>
      </c>
      <c r="P562" s="5">
        <f>IFERROR(VLOOKUP($A562,#REF!,2,FALSE),0)</f>
        <v>0</v>
      </c>
      <c r="Q562" s="42" t="e">
        <f t="shared" si="8"/>
        <v>#REF!</v>
      </c>
    </row>
    <row r="563" spans="1:17">
      <c r="A563" s="56" t="s">
        <v>1344</v>
      </c>
      <c r="B563" s="7" t="s">
        <v>28</v>
      </c>
      <c r="C563" s="7" t="s">
        <v>1332</v>
      </c>
      <c r="D563" s="7" t="s">
        <v>122</v>
      </c>
      <c r="E563" s="7" t="s">
        <v>444</v>
      </c>
      <c r="F563" s="7" t="s">
        <v>444</v>
      </c>
      <c r="G563" s="7" t="s">
        <v>444</v>
      </c>
      <c r="H563" s="7" t="s">
        <v>444</v>
      </c>
      <c r="I563" s="7" t="s">
        <v>1976</v>
      </c>
      <c r="K563" s="5">
        <f>SUMIF(BC!$E$6:$E$347,$A563,BC!$K$6:$K$347)</f>
        <v>0</v>
      </c>
      <c r="L563" s="5" t="e">
        <f>SUMIF(#REF!,$A563,#REF!)+SUMIF(#REF!,$A563,#REF!)</f>
        <v>#REF!</v>
      </c>
      <c r="M563" s="5" t="e">
        <f>SUMIF(#REF!,Casilleros!$A563,#REF!)+SUMIF(#REF!,Casilleros!$A563,#REF!)+SUMIF(#REF!,$A563,#REF!)</f>
        <v>#REF!</v>
      </c>
      <c r="N563" s="5" t="e">
        <f>SUMIF(#REF!,$A563,#REF!)</f>
        <v>#REF!</v>
      </c>
      <c r="O563" s="5" t="e">
        <f>SUMIF(#REF!,$A563,#REF!)+SUMIF(#REF!,$A563,#REF!)</f>
        <v>#REF!</v>
      </c>
      <c r="P563" s="5">
        <f>IFERROR(VLOOKUP($A563,#REF!,2,FALSE),0)</f>
        <v>0</v>
      </c>
      <c r="Q563" s="42" t="e">
        <f t="shared" si="8"/>
        <v>#REF!</v>
      </c>
    </row>
    <row r="564" spans="1:17">
      <c r="A564" s="56" t="s">
        <v>1347</v>
      </c>
      <c r="B564" s="7" t="s">
        <v>28</v>
      </c>
      <c r="C564" s="7" t="s">
        <v>1345</v>
      </c>
      <c r="D564" s="7" t="s">
        <v>1346</v>
      </c>
      <c r="E564" s="7" t="s">
        <v>444</v>
      </c>
      <c r="F564" s="7" t="s">
        <v>444</v>
      </c>
      <c r="G564" s="7" t="s">
        <v>444</v>
      </c>
      <c r="H564" s="7" t="s">
        <v>444</v>
      </c>
      <c r="I564" s="7" t="s">
        <v>1977</v>
      </c>
      <c r="J564" s="7" t="s">
        <v>2247</v>
      </c>
      <c r="K564" s="5" t="e">
        <f>SUMIF(BC!$E$6:$E$347,$A564,BC!$K$6:$K$347)</f>
        <v>#REF!</v>
      </c>
      <c r="L564" s="5" t="e">
        <f>SUMIF(#REF!,$A564,#REF!)+SUMIF(#REF!,$A564,#REF!)</f>
        <v>#REF!</v>
      </c>
      <c r="M564" s="5" t="e">
        <f>SUMIF(#REF!,Casilleros!$A564,#REF!)+SUMIF(#REF!,Casilleros!$A564,#REF!)+SUMIF(#REF!,$A564,#REF!)</f>
        <v>#REF!</v>
      </c>
      <c r="N564" s="5" t="e">
        <f>SUMIF(#REF!,$A564,#REF!)</f>
        <v>#REF!</v>
      </c>
      <c r="O564" s="5" t="e">
        <f>SUMIF(#REF!,$A564,#REF!)+SUMIF(#REF!,$A564,#REF!)</f>
        <v>#REF!</v>
      </c>
      <c r="P564" s="5">
        <f>IFERROR(VLOOKUP($A564,#REF!,2,FALSE),0)</f>
        <v>0</v>
      </c>
      <c r="Q564" s="105" t="e">
        <f>+K564</f>
        <v>#REF!</v>
      </c>
    </row>
    <row r="565" spans="1:17">
      <c r="A565" s="56" t="s">
        <v>1349</v>
      </c>
      <c r="B565" s="7" t="s">
        <v>28</v>
      </c>
      <c r="C565" s="7" t="s">
        <v>1345</v>
      </c>
      <c r="D565" s="7" t="s">
        <v>1348</v>
      </c>
      <c r="E565" s="7" t="s">
        <v>444</v>
      </c>
      <c r="F565" s="7" t="s">
        <v>444</v>
      </c>
      <c r="G565" s="7" t="s">
        <v>444</v>
      </c>
      <c r="H565" s="7" t="s">
        <v>444</v>
      </c>
      <c r="I565" s="7" t="s">
        <v>1978</v>
      </c>
      <c r="J565" s="7" t="s">
        <v>2248</v>
      </c>
      <c r="K565" s="5">
        <f>SUMIF(BC!$E$6:$E$347,$A565,BC!$K$6:$K$347)</f>
        <v>0</v>
      </c>
      <c r="L565" s="5" t="e">
        <f>SUMIF(#REF!,$A565,#REF!)+SUMIF(#REF!,$A565,#REF!)</f>
        <v>#REF!</v>
      </c>
      <c r="M565" s="5" t="e">
        <f>SUMIF(#REF!,Casilleros!$A565,#REF!)+SUMIF(#REF!,Casilleros!$A565,#REF!)+SUMIF(#REF!,$A565,#REF!)</f>
        <v>#REF!</v>
      </c>
      <c r="N565" s="5" t="e">
        <f>SUMIF(#REF!,$A565,#REF!)</f>
        <v>#REF!</v>
      </c>
      <c r="O565" s="5" t="e">
        <f>SUMIF(#REF!,$A565,#REF!)+SUMIF(#REF!,$A565,#REF!)</f>
        <v>#REF!</v>
      </c>
      <c r="P565" s="5">
        <f>IFERROR(VLOOKUP($A565,#REF!,2,FALSE),0)</f>
        <v>0</v>
      </c>
      <c r="Q565" s="105">
        <f>+K565</f>
        <v>0</v>
      </c>
    </row>
    <row r="566" spans="1:17">
      <c r="A566" s="56" t="s">
        <v>1352</v>
      </c>
      <c r="B566" s="7" t="s">
        <v>28</v>
      </c>
      <c r="C566" s="7" t="s">
        <v>1350</v>
      </c>
      <c r="D566" s="7" t="s">
        <v>1351</v>
      </c>
      <c r="E566" s="7" t="s">
        <v>444</v>
      </c>
      <c r="F566" s="7" t="s">
        <v>444</v>
      </c>
      <c r="G566" s="7" t="s">
        <v>444</v>
      </c>
      <c r="H566" s="7" t="s">
        <v>444</v>
      </c>
      <c r="I566" s="7" t="s">
        <v>1979</v>
      </c>
      <c r="K566" s="5">
        <f>SUMIF(BC!$E$6:$E$347,$A566,BC!$K$6:$K$347)</f>
        <v>0</v>
      </c>
      <c r="L566" s="5" t="e">
        <f>SUMIF(#REF!,$A566,#REF!)+SUMIF(#REF!,$A566,#REF!)</f>
        <v>#REF!</v>
      </c>
      <c r="M566" s="5" t="e">
        <f>SUMIF(#REF!,Casilleros!$A566,#REF!)+SUMIF(#REF!,Casilleros!$A566,#REF!)+SUMIF(#REF!,$A566,#REF!)</f>
        <v>#REF!</v>
      </c>
      <c r="N566" s="5" t="e">
        <f>SUMIF(#REF!,$A566,#REF!)</f>
        <v>#REF!</v>
      </c>
      <c r="O566" s="5" t="e">
        <f>SUMIF(#REF!,$A566,#REF!)+SUMIF(#REF!,$A566,#REF!)</f>
        <v>#REF!</v>
      </c>
      <c r="P566" s="5">
        <f>IFERROR(VLOOKUP($A566,#REF!,2,FALSE),0)</f>
        <v>0</v>
      </c>
      <c r="Q566" s="42" t="e">
        <f t="shared" si="8"/>
        <v>#REF!</v>
      </c>
    </row>
    <row r="567" spans="1:17">
      <c r="A567" s="56" t="s">
        <v>1355</v>
      </c>
      <c r="B567" s="7" t="s">
        <v>28</v>
      </c>
      <c r="C567" s="7" t="s">
        <v>1350</v>
      </c>
      <c r="D567" s="7" t="s">
        <v>1353</v>
      </c>
      <c r="E567" s="7" t="s">
        <v>1354</v>
      </c>
      <c r="F567" s="7" t="s">
        <v>444</v>
      </c>
      <c r="G567" s="7" t="s">
        <v>444</v>
      </c>
      <c r="H567" s="7" t="s">
        <v>444</v>
      </c>
      <c r="I567" s="7" t="s">
        <v>1980</v>
      </c>
      <c r="K567" s="5">
        <f>SUMIF(BC!$E$6:$E$347,$A567,BC!$K$6:$K$347)</f>
        <v>0</v>
      </c>
      <c r="L567" s="5" t="e">
        <f>SUMIF(#REF!,$A567,#REF!)+SUMIF(#REF!,$A567,#REF!)</f>
        <v>#REF!</v>
      </c>
      <c r="M567" s="5" t="e">
        <f>SUMIF(#REF!,Casilleros!$A567,#REF!)+SUMIF(#REF!,Casilleros!$A567,#REF!)+SUMIF(#REF!,$A567,#REF!)</f>
        <v>#REF!</v>
      </c>
      <c r="N567" s="5" t="e">
        <f>SUMIF(#REF!,$A567,#REF!)</f>
        <v>#REF!</v>
      </c>
      <c r="O567" s="5" t="e">
        <f>SUMIF(#REF!,$A567,#REF!)+SUMIF(#REF!,$A567,#REF!)</f>
        <v>#REF!</v>
      </c>
      <c r="P567" s="5">
        <f>IFERROR(VLOOKUP($A567,#REF!,2,FALSE),0)</f>
        <v>0</v>
      </c>
      <c r="Q567" s="42" t="e">
        <f t="shared" si="8"/>
        <v>#REF!</v>
      </c>
    </row>
    <row r="568" spans="1:17">
      <c r="A568" s="56" t="s">
        <v>1357</v>
      </c>
      <c r="B568" s="7" t="s">
        <v>28</v>
      </c>
      <c r="C568" s="7" t="s">
        <v>1350</v>
      </c>
      <c r="D568" s="7" t="s">
        <v>1353</v>
      </c>
      <c r="E568" s="7" t="s">
        <v>1356</v>
      </c>
      <c r="F568" s="7" t="s">
        <v>444</v>
      </c>
      <c r="G568" s="7" t="s">
        <v>444</v>
      </c>
      <c r="H568" s="7" t="s">
        <v>444</v>
      </c>
      <c r="I568" s="7" t="s">
        <v>1981</v>
      </c>
      <c r="K568" s="5">
        <f>SUMIF(BC!$E$6:$E$347,$A568,BC!$K$6:$K$347)</f>
        <v>0</v>
      </c>
      <c r="L568" s="5" t="e">
        <f>SUMIF(#REF!,$A568,#REF!)+SUMIF(#REF!,$A568,#REF!)</f>
        <v>#REF!</v>
      </c>
      <c r="M568" s="5" t="e">
        <f>SUMIF(#REF!,Casilleros!$A568,#REF!)+SUMIF(#REF!,Casilleros!$A568,#REF!)+SUMIF(#REF!,$A568,#REF!)</f>
        <v>#REF!</v>
      </c>
      <c r="N568" s="5" t="e">
        <f>SUMIF(#REF!,$A568,#REF!)</f>
        <v>#REF!</v>
      </c>
      <c r="O568" s="5" t="e">
        <f>SUMIF(#REF!,$A568,#REF!)+SUMIF(#REF!,$A568,#REF!)</f>
        <v>#REF!</v>
      </c>
      <c r="P568" s="5">
        <f>IFERROR(VLOOKUP($A568,#REF!,2,FALSE),0)</f>
        <v>0</v>
      </c>
      <c r="Q568" s="42" t="e">
        <f t="shared" si="8"/>
        <v>#REF!</v>
      </c>
    </row>
    <row r="569" spans="1:17">
      <c r="A569" s="56" t="s">
        <v>1359</v>
      </c>
      <c r="B569" s="7" t="s">
        <v>28</v>
      </c>
      <c r="C569" s="7" t="s">
        <v>1350</v>
      </c>
      <c r="D569" s="7" t="s">
        <v>1353</v>
      </c>
      <c r="E569" s="7" t="s">
        <v>1358</v>
      </c>
      <c r="F569" s="7" t="s">
        <v>444</v>
      </c>
      <c r="G569" s="7" t="s">
        <v>444</v>
      </c>
      <c r="H569" s="7" t="s">
        <v>444</v>
      </c>
      <c r="I569" s="7" t="s">
        <v>1982</v>
      </c>
      <c r="K569" s="5">
        <f>SUMIF(BC!$E$6:$E$347,$A569,BC!$K$6:$K$347)</f>
        <v>0</v>
      </c>
      <c r="L569" s="5" t="e">
        <f>SUMIF(#REF!,$A569,#REF!)+SUMIF(#REF!,$A569,#REF!)</f>
        <v>#REF!</v>
      </c>
      <c r="M569" s="5" t="e">
        <f>SUMIF(#REF!,Casilleros!$A569,#REF!)+SUMIF(#REF!,Casilleros!$A569,#REF!)+SUMIF(#REF!,$A569,#REF!)</f>
        <v>#REF!</v>
      </c>
      <c r="N569" s="5" t="e">
        <f>SUMIF(#REF!,$A569,#REF!)</f>
        <v>#REF!</v>
      </c>
      <c r="O569" s="5" t="e">
        <f>SUMIF(#REF!,$A569,#REF!)+SUMIF(#REF!,$A569,#REF!)</f>
        <v>#REF!</v>
      </c>
      <c r="P569" s="5">
        <f>IFERROR(VLOOKUP($A569,#REF!,2,FALSE),0)</f>
        <v>0</v>
      </c>
      <c r="Q569" s="42" t="e">
        <f t="shared" si="8"/>
        <v>#REF!</v>
      </c>
    </row>
    <row r="570" spans="1:17">
      <c r="A570" s="56" t="s">
        <v>1362</v>
      </c>
      <c r="B570" s="7" t="s">
        <v>28</v>
      </c>
      <c r="C570" s="7" t="s">
        <v>1350</v>
      </c>
      <c r="D570" s="7" t="s">
        <v>1360</v>
      </c>
      <c r="E570" s="7" t="s">
        <v>1361</v>
      </c>
      <c r="F570" s="7" t="s">
        <v>444</v>
      </c>
      <c r="G570" s="7" t="s">
        <v>444</v>
      </c>
      <c r="H570" s="7" t="s">
        <v>444</v>
      </c>
      <c r="I570" s="7" t="s">
        <v>1983</v>
      </c>
      <c r="K570" s="5">
        <f>SUMIF(BC!$E$6:$E$347,$A570,BC!$K$6:$K$347)</f>
        <v>0</v>
      </c>
      <c r="L570" s="5" t="e">
        <f>SUMIF(#REF!,$A570,#REF!)+SUMIF(#REF!,$A570,#REF!)</f>
        <v>#REF!</v>
      </c>
      <c r="M570" s="5" t="e">
        <f>SUMIF(#REF!,Casilleros!$A570,#REF!)+SUMIF(#REF!,Casilleros!$A570,#REF!)+SUMIF(#REF!,$A570,#REF!)</f>
        <v>#REF!</v>
      </c>
      <c r="N570" s="5" t="e">
        <f>SUMIF(#REF!,$A570,#REF!)</f>
        <v>#REF!</v>
      </c>
      <c r="O570" s="5" t="e">
        <f>SUMIF(#REF!,$A570,#REF!)+SUMIF(#REF!,$A570,#REF!)</f>
        <v>#REF!</v>
      </c>
      <c r="P570" s="5">
        <f>IFERROR(VLOOKUP($A570,#REF!,2,FALSE),0)</f>
        <v>0</v>
      </c>
      <c r="Q570" s="42" t="e">
        <f t="shared" si="8"/>
        <v>#REF!</v>
      </c>
    </row>
    <row r="571" spans="1:17">
      <c r="A571" s="56" t="s">
        <v>1364</v>
      </c>
      <c r="B571" s="7" t="s">
        <v>28</v>
      </c>
      <c r="C571" s="7" t="s">
        <v>1350</v>
      </c>
      <c r="D571" s="7" t="s">
        <v>1360</v>
      </c>
      <c r="E571" s="7" t="s">
        <v>1363</v>
      </c>
      <c r="F571" s="7" t="s">
        <v>444</v>
      </c>
      <c r="G571" s="7" t="s">
        <v>444</v>
      </c>
      <c r="H571" s="7" t="s">
        <v>444</v>
      </c>
      <c r="I571" s="7" t="s">
        <v>1984</v>
      </c>
      <c r="K571" s="5">
        <f>SUMIF(BC!$E$6:$E$347,$A571,BC!$K$6:$K$347)</f>
        <v>0</v>
      </c>
      <c r="L571" s="5" t="e">
        <f>SUMIF(#REF!,$A571,#REF!)+SUMIF(#REF!,$A571,#REF!)</f>
        <v>#REF!</v>
      </c>
      <c r="M571" s="5" t="e">
        <f>SUMIF(#REF!,Casilleros!$A571,#REF!)+SUMIF(#REF!,Casilleros!$A571,#REF!)+SUMIF(#REF!,$A571,#REF!)</f>
        <v>#REF!</v>
      </c>
      <c r="N571" s="5" t="e">
        <f>SUMIF(#REF!,$A571,#REF!)</f>
        <v>#REF!</v>
      </c>
      <c r="O571" s="5" t="e">
        <f>SUMIF(#REF!,$A571,#REF!)+SUMIF(#REF!,$A571,#REF!)</f>
        <v>#REF!</v>
      </c>
      <c r="P571" s="5">
        <f>IFERROR(VLOOKUP($A571,#REF!,2,FALSE),0)</f>
        <v>0</v>
      </c>
      <c r="Q571" s="42" t="e">
        <f t="shared" si="8"/>
        <v>#REF!</v>
      </c>
    </row>
    <row r="572" spans="1:17">
      <c r="A572" s="56" t="s">
        <v>1366</v>
      </c>
      <c r="B572" s="7" t="s">
        <v>28</v>
      </c>
      <c r="C572" s="7" t="s">
        <v>1350</v>
      </c>
      <c r="D572" s="7" t="s">
        <v>1360</v>
      </c>
      <c r="E572" s="7" t="s">
        <v>1365</v>
      </c>
      <c r="F572" s="7" t="s">
        <v>444</v>
      </c>
      <c r="G572" s="7" t="s">
        <v>444</v>
      </c>
      <c r="H572" s="7" t="s">
        <v>444</v>
      </c>
      <c r="I572" s="7" t="s">
        <v>1985</v>
      </c>
      <c r="K572" s="5">
        <f>SUMIF(BC!$E$6:$E$347,$A572,BC!$K$6:$K$347)</f>
        <v>0</v>
      </c>
      <c r="L572" s="5" t="e">
        <f>SUMIF(#REF!,$A572,#REF!)+SUMIF(#REF!,$A572,#REF!)</f>
        <v>#REF!</v>
      </c>
      <c r="M572" s="5" t="e">
        <f>SUMIF(#REF!,Casilleros!$A572,#REF!)+SUMIF(#REF!,Casilleros!$A572,#REF!)+SUMIF(#REF!,$A572,#REF!)</f>
        <v>#REF!</v>
      </c>
      <c r="N572" s="5" t="e">
        <f>SUMIF(#REF!,$A572,#REF!)</f>
        <v>#REF!</v>
      </c>
      <c r="O572" s="5" t="e">
        <f>SUMIF(#REF!,$A572,#REF!)+SUMIF(#REF!,$A572,#REF!)</f>
        <v>#REF!</v>
      </c>
      <c r="P572" s="5">
        <f>IFERROR(VLOOKUP($A572,#REF!,2,FALSE),0)</f>
        <v>0</v>
      </c>
      <c r="Q572" s="42" t="e">
        <f t="shared" si="8"/>
        <v>#REF!</v>
      </c>
    </row>
    <row r="573" spans="1:17">
      <c r="A573" s="56" t="s">
        <v>1368</v>
      </c>
      <c r="B573" s="7" t="s">
        <v>28</v>
      </c>
      <c r="C573" s="7" t="s">
        <v>1350</v>
      </c>
      <c r="D573" s="7" t="s">
        <v>1360</v>
      </c>
      <c r="E573" s="7" t="s">
        <v>1367</v>
      </c>
      <c r="F573" s="7" t="s">
        <v>444</v>
      </c>
      <c r="G573" s="7" t="s">
        <v>444</v>
      </c>
      <c r="H573" s="7" t="s">
        <v>444</v>
      </c>
      <c r="I573" s="7" t="s">
        <v>1986</v>
      </c>
      <c r="K573" s="5">
        <f>SUMIF(BC!$E$6:$E$347,$A573,BC!$K$6:$K$347)</f>
        <v>0</v>
      </c>
      <c r="L573" s="5" t="e">
        <f>SUMIF(#REF!,$A573,#REF!)+SUMIF(#REF!,$A573,#REF!)</f>
        <v>#REF!</v>
      </c>
      <c r="M573" s="5" t="e">
        <f>SUMIF(#REF!,Casilleros!$A573,#REF!)+SUMIF(#REF!,Casilleros!$A573,#REF!)+SUMIF(#REF!,$A573,#REF!)</f>
        <v>#REF!</v>
      </c>
      <c r="N573" s="5" t="e">
        <f>SUMIF(#REF!,$A573,#REF!)</f>
        <v>#REF!</v>
      </c>
      <c r="O573" s="5" t="e">
        <f>SUMIF(#REF!,$A573,#REF!)+SUMIF(#REF!,$A573,#REF!)</f>
        <v>#REF!</v>
      </c>
      <c r="P573" s="5">
        <f>IFERROR(VLOOKUP($A573,#REF!,2,FALSE),0)</f>
        <v>0</v>
      </c>
      <c r="Q573" s="42" t="e">
        <f t="shared" si="8"/>
        <v>#REF!</v>
      </c>
    </row>
    <row r="574" spans="1:17">
      <c r="A574" s="56" t="s">
        <v>569</v>
      </c>
      <c r="B574" s="7" t="s">
        <v>561</v>
      </c>
      <c r="C574" s="7" t="s">
        <v>562</v>
      </c>
      <c r="D574" s="7" t="s">
        <v>563</v>
      </c>
      <c r="E574" s="7" t="s">
        <v>564</v>
      </c>
      <c r="F574" s="7" t="s">
        <v>567</v>
      </c>
      <c r="G574" s="7" t="s">
        <v>444</v>
      </c>
      <c r="H574" s="7" t="s">
        <v>444</v>
      </c>
      <c r="I574" s="5" t="s">
        <v>2192</v>
      </c>
      <c r="K574" s="5">
        <f>SUMIF(BC!$E$6:$E$347,$A574,BC!$K$6:$K$347)</f>
        <v>0</v>
      </c>
      <c r="L574" s="5" t="e">
        <f>SUMIF(#REF!,$A574,#REF!)+SUMIF(#REF!,$A574,#REF!)</f>
        <v>#REF!</v>
      </c>
      <c r="M574" s="5" t="e">
        <f>SUMIF(#REF!,Casilleros!$A574,#REF!)+SUMIF(#REF!,Casilleros!$A574,#REF!)+SUMIF(#REF!,$A574,#REF!)</f>
        <v>#REF!</v>
      </c>
      <c r="N574" s="5" t="e">
        <f>SUMIF(#REF!,$A574,#REF!)</f>
        <v>#REF!</v>
      </c>
      <c r="O574" s="5" t="e">
        <f>SUMIF(#REF!,$A574,#REF!)+SUMIF(#REF!,$A574,#REF!)</f>
        <v>#REF!</v>
      </c>
      <c r="P574" s="5">
        <f>IFERROR(VLOOKUP($A574,#REF!,2,FALSE),0)</f>
        <v>0</v>
      </c>
      <c r="Q574" s="42" t="e">
        <f t="shared" ref="Q574:Q582" si="9">SUM(K574:P574)</f>
        <v>#REF!</v>
      </c>
    </row>
    <row r="575" spans="1:17">
      <c r="A575" s="56" t="s">
        <v>572</v>
      </c>
      <c r="B575" s="7" t="s">
        <v>561</v>
      </c>
      <c r="C575" s="7" t="s">
        <v>562</v>
      </c>
      <c r="D575" s="7" t="s">
        <v>563</v>
      </c>
      <c r="E575" s="7" t="s">
        <v>564</v>
      </c>
      <c r="F575" s="7" t="s">
        <v>570</v>
      </c>
      <c r="G575" s="7" t="s">
        <v>444</v>
      </c>
      <c r="H575" s="7" t="s">
        <v>444</v>
      </c>
      <c r="I575" s="5" t="s">
        <v>2193</v>
      </c>
      <c r="K575" s="5">
        <f>SUMIF(BC!$E$6:$E$347,$A575,BC!$K$6:$K$347)</f>
        <v>0</v>
      </c>
      <c r="L575" s="5" t="e">
        <f>SUMIF(#REF!,$A575,#REF!)+SUMIF(#REF!,$A575,#REF!)</f>
        <v>#REF!</v>
      </c>
      <c r="M575" s="5" t="e">
        <f>SUMIF(#REF!,Casilleros!$A575,#REF!)+SUMIF(#REF!,Casilleros!$A575,#REF!)+SUMIF(#REF!,$A575,#REF!)</f>
        <v>#REF!</v>
      </c>
      <c r="N575" s="5" t="e">
        <f>SUMIF(#REF!,$A575,#REF!)</f>
        <v>#REF!</v>
      </c>
      <c r="O575" s="5" t="e">
        <f>SUMIF(#REF!,$A575,#REF!)+SUMIF(#REF!,$A575,#REF!)</f>
        <v>#REF!</v>
      </c>
      <c r="P575" s="5">
        <f>IFERROR(VLOOKUP($A575,#REF!,2,FALSE),0)</f>
        <v>0</v>
      </c>
      <c r="Q575" s="42" t="e">
        <f t="shared" si="9"/>
        <v>#REF!</v>
      </c>
    </row>
    <row r="576" spans="1:17">
      <c r="A576" s="56" t="s">
        <v>575</v>
      </c>
      <c r="B576" s="7" t="s">
        <v>561</v>
      </c>
      <c r="C576" s="7" t="s">
        <v>562</v>
      </c>
      <c r="D576" s="7" t="s">
        <v>563</v>
      </c>
      <c r="E576" s="7" t="s">
        <v>573</v>
      </c>
      <c r="F576" s="7" t="s">
        <v>567</v>
      </c>
      <c r="G576" s="7" t="s">
        <v>444</v>
      </c>
      <c r="H576" s="7" t="s">
        <v>444</v>
      </c>
      <c r="I576" s="5" t="s">
        <v>2194</v>
      </c>
      <c r="K576" s="5">
        <f>SUMIF(BC!$E$6:$E$347,$A576,BC!$K$6:$K$347)</f>
        <v>0</v>
      </c>
      <c r="L576" s="5" t="e">
        <f>SUMIF(#REF!,$A576,#REF!)+SUMIF(#REF!,$A576,#REF!)</f>
        <v>#REF!</v>
      </c>
      <c r="M576" s="5" t="e">
        <f>SUMIF(#REF!,Casilleros!$A576,#REF!)+SUMIF(#REF!,Casilleros!$A576,#REF!)+SUMIF(#REF!,$A576,#REF!)</f>
        <v>#REF!</v>
      </c>
      <c r="N576" s="5" t="e">
        <f>SUMIF(#REF!,$A576,#REF!)</f>
        <v>#REF!</v>
      </c>
      <c r="O576" s="5" t="e">
        <f>SUMIF(#REF!,$A576,#REF!)+SUMIF(#REF!,$A576,#REF!)</f>
        <v>#REF!</v>
      </c>
      <c r="P576" s="5">
        <f>IFERROR(VLOOKUP($A576,#REF!,2,FALSE),0)</f>
        <v>0</v>
      </c>
      <c r="Q576" s="42" t="e">
        <f t="shared" si="9"/>
        <v>#REF!</v>
      </c>
    </row>
    <row r="577" spans="1:17">
      <c r="A577" s="56" t="s">
        <v>577</v>
      </c>
      <c r="B577" s="7" t="s">
        <v>561</v>
      </c>
      <c r="C577" s="7" t="s">
        <v>562</v>
      </c>
      <c r="D577" s="7" t="s">
        <v>563</v>
      </c>
      <c r="E577" s="7" t="s">
        <v>573</v>
      </c>
      <c r="F577" s="7" t="s">
        <v>570</v>
      </c>
      <c r="G577" s="7" t="s">
        <v>444</v>
      </c>
      <c r="H577" s="7" t="s">
        <v>444</v>
      </c>
      <c r="I577" s="5" t="s">
        <v>2195</v>
      </c>
      <c r="K577" s="5">
        <f>SUMIF(BC!$E$6:$E$347,$A577,BC!$K$6:$K$347)</f>
        <v>0</v>
      </c>
      <c r="L577" s="5" t="e">
        <f>SUMIF(#REF!,$A577,#REF!)+SUMIF(#REF!,$A577,#REF!)</f>
        <v>#REF!</v>
      </c>
      <c r="M577" s="5" t="e">
        <f>SUMIF(#REF!,Casilleros!$A577,#REF!)+SUMIF(#REF!,Casilleros!$A577,#REF!)+SUMIF(#REF!,$A577,#REF!)</f>
        <v>#REF!</v>
      </c>
      <c r="N577" s="5" t="e">
        <f>SUMIF(#REF!,$A577,#REF!)</f>
        <v>#REF!</v>
      </c>
      <c r="O577" s="5" t="e">
        <f>SUMIF(#REF!,$A577,#REF!)+SUMIF(#REF!,$A577,#REF!)</f>
        <v>#REF!</v>
      </c>
      <c r="P577" s="5">
        <f>IFERROR(VLOOKUP($A577,#REF!,2,FALSE),0)</f>
        <v>0</v>
      </c>
      <c r="Q577" s="42" t="e">
        <f t="shared" si="9"/>
        <v>#REF!</v>
      </c>
    </row>
    <row r="578" spans="1:17">
      <c r="A578" s="56" t="s">
        <v>581</v>
      </c>
      <c r="B578" s="7" t="s">
        <v>561</v>
      </c>
      <c r="C578" s="7" t="s">
        <v>562</v>
      </c>
      <c r="D578" s="7" t="s">
        <v>563</v>
      </c>
      <c r="E578" s="7" t="s">
        <v>578</v>
      </c>
      <c r="F578" s="7" t="s">
        <v>579</v>
      </c>
      <c r="G578" s="7" t="s">
        <v>444</v>
      </c>
      <c r="H578" s="7" t="s">
        <v>444</v>
      </c>
      <c r="I578" s="5" t="s">
        <v>2196</v>
      </c>
      <c r="K578" s="5">
        <f>SUMIF(BC!$E$6:$E$347,$A578,BC!$K$6:$K$347)</f>
        <v>0</v>
      </c>
      <c r="L578" s="5" t="e">
        <f>SUMIF(#REF!,$A578,#REF!)+SUMIF(#REF!,$A578,#REF!)</f>
        <v>#REF!</v>
      </c>
      <c r="M578" s="5" t="e">
        <f>SUMIF(#REF!,Casilleros!$A578,#REF!)+SUMIF(#REF!,Casilleros!$A578,#REF!)+SUMIF(#REF!,$A578,#REF!)</f>
        <v>#REF!</v>
      </c>
      <c r="N578" s="5" t="e">
        <f>SUMIF(#REF!,$A578,#REF!)</f>
        <v>#REF!</v>
      </c>
      <c r="O578" s="5" t="e">
        <f>SUMIF(#REF!,$A578,#REF!)+SUMIF(#REF!,$A578,#REF!)</f>
        <v>#REF!</v>
      </c>
      <c r="P578" s="5">
        <f>IFERROR(VLOOKUP($A578,#REF!,2,FALSE),0)</f>
        <v>0</v>
      </c>
      <c r="Q578" s="42" t="e">
        <f t="shared" si="9"/>
        <v>#REF!</v>
      </c>
    </row>
    <row r="579" spans="1:17">
      <c r="A579" s="56" t="s">
        <v>584</v>
      </c>
      <c r="B579" s="7" t="s">
        <v>561</v>
      </c>
      <c r="C579" s="7" t="s">
        <v>562</v>
      </c>
      <c r="D579" s="7" t="s">
        <v>563</v>
      </c>
      <c r="E579" s="7" t="s">
        <v>578</v>
      </c>
      <c r="F579" s="7" t="s">
        <v>582</v>
      </c>
      <c r="G579" s="7" t="s">
        <v>444</v>
      </c>
      <c r="H579" s="7" t="s">
        <v>444</v>
      </c>
      <c r="I579" s="5" t="s">
        <v>2197</v>
      </c>
      <c r="K579" s="5">
        <f>SUMIF(BC!$E$6:$E$347,$A579,BC!$K$6:$K$347)</f>
        <v>0</v>
      </c>
      <c r="L579" s="5" t="e">
        <f>SUMIF(#REF!,$A579,#REF!)+SUMIF(#REF!,$A579,#REF!)</f>
        <v>#REF!</v>
      </c>
      <c r="M579" s="5" t="e">
        <f>SUMIF(#REF!,Casilleros!$A579,#REF!)+SUMIF(#REF!,Casilleros!$A579,#REF!)+SUMIF(#REF!,$A579,#REF!)</f>
        <v>#REF!</v>
      </c>
      <c r="N579" s="5" t="e">
        <f>SUMIF(#REF!,$A579,#REF!)</f>
        <v>#REF!</v>
      </c>
      <c r="O579" s="5" t="e">
        <f>SUMIF(#REF!,$A579,#REF!)+SUMIF(#REF!,$A579,#REF!)</f>
        <v>#REF!</v>
      </c>
      <c r="P579" s="5">
        <f>IFERROR(VLOOKUP($A579,#REF!,2,FALSE),0)</f>
        <v>0</v>
      </c>
      <c r="Q579" s="42" t="e">
        <f t="shared" si="9"/>
        <v>#REF!</v>
      </c>
    </row>
    <row r="580" spans="1:17">
      <c r="A580" s="56" t="s">
        <v>587</v>
      </c>
      <c r="B580" s="7" t="s">
        <v>561</v>
      </c>
      <c r="C580" s="7" t="s">
        <v>562</v>
      </c>
      <c r="D580" s="7" t="s">
        <v>563</v>
      </c>
      <c r="E580" s="7" t="s">
        <v>585</v>
      </c>
      <c r="F580" s="7" t="s">
        <v>444</v>
      </c>
      <c r="G580" s="7" t="s">
        <v>444</v>
      </c>
      <c r="H580" s="7" t="s">
        <v>444</v>
      </c>
      <c r="I580" s="5" t="s">
        <v>2198</v>
      </c>
      <c r="K580" s="5">
        <f>SUMIF(BC!$E$6:$E$347,$A580,BC!$K$6:$K$347)</f>
        <v>0</v>
      </c>
      <c r="L580" s="5" t="e">
        <f>SUMIF(#REF!,$A580,#REF!)+SUMIF(#REF!,$A580,#REF!)</f>
        <v>#REF!</v>
      </c>
      <c r="M580" s="5" t="e">
        <f>SUMIF(#REF!,Casilleros!$A580,#REF!)+SUMIF(#REF!,Casilleros!$A580,#REF!)+SUMIF(#REF!,$A580,#REF!)</f>
        <v>#REF!</v>
      </c>
      <c r="N580" s="5" t="e">
        <f>SUMIF(#REF!,$A580,#REF!)</f>
        <v>#REF!</v>
      </c>
      <c r="O580" s="5" t="e">
        <f>SUMIF(#REF!,$A580,#REF!)+SUMIF(#REF!,$A580,#REF!)</f>
        <v>#REF!</v>
      </c>
      <c r="P580" s="5">
        <f>IFERROR(VLOOKUP($A580,#REF!,2,FALSE),0)</f>
        <v>0</v>
      </c>
      <c r="Q580" s="42" t="e">
        <f t="shared" si="9"/>
        <v>#REF!</v>
      </c>
    </row>
    <row r="581" spans="1:17">
      <c r="A581" s="56" t="s">
        <v>590</v>
      </c>
      <c r="B581" s="7" t="s">
        <v>561</v>
      </c>
      <c r="C581" s="7" t="s">
        <v>562</v>
      </c>
      <c r="D581" s="7" t="s">
        <v>563</v>
      </c>
      <c r="E581" s="7" t="s">
        <v>588</v>
      </c>
      <c r="F581" s="7" t="s">
        <v>444</v>
      </c>
      <c r="G581" s="7" t="s">
        <v>444</v>
      </c>
      <c r="H581" s="7" t="s">
        <v>444</v>
      </c>
      <c r="I581" s="5" t="s">
        <v>2199</v>
      </c>
      <c r="K581" s="5">
        <f>SUMIF(BC!$E$6:$E$347,$A581,BC!$K$6:$K$347)</f>
        <v>0</v>
      </c>
      <c r="L581" s="5" t="e">
        <f>SUMIF(#REF!,$A581,#REF!)+SUMIF(#REF!,$A581,#REF!)</f>
        <v>#REF!</v>
      </c>
      <c r="M581" s="5" t="e">
        <f>SUMIF(#REF!,Casilleros!$A581,#REF!)+SUMIF(#REF!,Casilleros!$A581,#REF!)+SUMIF(#REF!,$A581,#REF!)</f>
        <v>#REF!</v>
      </c>
      <c r="N581" s="5" t="e">
        <f>SUMIF(#REF!,$A581,#REF!)</f>
        <v>#REF!</v>
      </c>
      <c r="O581" s="5" t="e">
        <f>SUMIF(#REF!,$A581,#REF!)+SUMIF(#REF!,$A581,#REF!)</f>
        <v>#REF!</v>
      </c>
      <c r="P581" s="5">
        <f>IFERROR(VLOOKUP($A581,#REF!,2,FALSE),0)</f>
        <v>0</v>
      </c>
      <c r="Q581" s="42" t="e">
        <f t="shared" si="9"/>
        <v>#REF!</v>
      </c>
    </row>
    <row r="582" spans="1:17">
      <c r="A582" s="56" t="s">
        <v>593</v>
      </c>
      <c r="B582" s="7" t="s">
        <v>561</v>
      </c>
      <c r="C582" s="7" t="s">
        <v>562</v>
      </c>
      <c r="D582" s="7" t="s">
        <v>563</v>
      </c>
      <c r="E582" s="7" t="s">
        <v>591</v>
      </c>
      <c r="F582" s="7" t="s">
        <v>444</v>
      </c>
      <c r="G582" s="7" t="s">
        <v>444</v>
      </c>
      <c r="H582" s="7" t="s">
        <v>444</v>
      </c>
      <c r="I582" s="5" t="s">
        <v>2200</v>
      </c>
      <c r="K582" s="5">
        <f>SUMIF(BC!$E$6:$E$347,$A582,BC!$K$6:$K$347)</f>
        <v>0</v>
      </c>
      <c r="L582" s="5" t="e">
        <f>SUMIF(#REF!,$A582,#REF!)+SUMIF(#REF!,$A582,#REF!)</f>
        <v>#REF!</v>
      </c>
      <c r="M582" s="5" t="e">
        <f>SUMIF(#REF!,Casilleros!$A582,#REF!)+SUMIF(#REF!,Casilleros!$A582,#REF!)+SUMIF(#REF!,$A582,#REF!)</f>
        <v>#REF!</v>
      </c>
      <c r="N582" s="5" t="e">
        <f>SUMIF(#REF!,$A582,#REF!)</f>
        <v>#REF!</v>
      </c>
      <c r="O582" s="5" t="e">
        <f>SUMIF(#REF!,$A582,#REF!)+SUMIF(#REF!,$A582,#REF!)</f>
        <v>#REF!</v>
      </c>
      <c r="P582" s="5">
        <f>IFERROR(VLOOKUP($A582,#REF!,2,FALSE),0)</f>
        <v>0</v>
      </c>
      <c r="Q582" s="42" t="e">
        <f t="shared" si="9"/>
        <v>#REF!</v>
      </c>
    </row>
    <row r="583" spans="1:17">
      <c r="A583" s="56" t="s">
        <v>598</v>
      </c>
      <c r="B583" s="7" t="s">
        <v>561</v>
      </c>
      <c r="C583" s="7" t="s">
        <v>562</v>
      </c>
      <c r="D583" s="7" t="s">
        <v>10</v>
      </c>
      <c r="E583" s="7" t="s">
        <v>596</v>
      </c>
      <c r="F583" s="7" t="s">
        <v>108</v>
      </c>
      <c r="G583" s="7" t="s">
        <v>444</v>
      </c>
      <c r="H583" s="7" t="s">
        <v>444</v>
      </c>
      <c r="I583" s="5" t="s">
        <v>1987</v>
      </c>
      <c r="K583" s="5">
        <f>SUMIF(BC!$E$6:$E$347,$A583,BC!$K$6:$K$347)</f>
        <v>0</v>
      </c>
      <c r="L583" s="5" t="e">
        <f>SUMIF(#REF!,$A583,#REF!)+SUMIF(#REF!,$A583,#REF!)</f>
        <v>#REF!</v>
      </c>
      <c r="M583" s="5" t="e">
        <f>SUMIF(#REF!,Casilleros!$A583,#REF!)+SUMIF(#REF!,Casilleros!$A583,#REF!)+SUMIF(#REF!,$A583,#REF!)</f>
        <v>#REF!</v>
      </c>
      <c r="N583" s="5" t="e">
        <f>SUMIF(#REF!,$A583,#REF!)</f>
        <v>#REF!</v>
      </c>
      <c r="O583" s="5" t="e">
        <f>SUMIF(#REF!,$A583,#REF!)+SUMIF(#REF!,$A583,#REF!)</f>
        <v>#REF!</v>
      </c>
      <c r="P583" s="5">
        <f>IFERROR(VLOOKUP($A583,#REF!,2,FALSE),0)</f>
        <v>0</v>
      </c>
      <c r="Q583" s="42" t="e">
        <f t="shared" si="8"/>
        <v>#REF!</v>
      </c>
    </row>
    <row r="584" spans="1:17">
      <c r="A584" s="56" t="s">
        <v>600</v>
      </c>
      <c r="B584" s="7" t="s">
        <v>561</v>
      </c>
      <c r="C584" s="7" t="s">
        <v>562</v>
      </c>
      <c r="D584" s="7" t="s">
        <v>10</v>
      </c>
      <c r="E584" s="7" t="s">
        <v>596</v>
      </c>
      <c r="F584" s="7" t="s">
        <v>313</v>
      </c>
      <c r="G584" s="7" t="s">
        <v>444</v>
      </c>
      <c r="H584" s="7" t="s">
        <v>444</v>
      </c>
      <c r="I584" s="5" t="s">
        <v>1988</v>
      </c>
      <c r="K584" s="5">
        <f>SUMIF(BC!$E$6:$E$347,$A584,BC!$K$6:$K$347)</f>
        <v>0</v>
      </c>
      <c r="L584" s="5" t="e">
        <f>SUMIF(#REF!,$A584,#REF!)+SUMIF(#REF!,$A584,#REF!)</f>
        <v>#REF!</v>
      </c>
      <c r="M584" s="5" t="e">
        <f>SUMIF(#REF!,Casilleros!$A584,#REF!)+SUMIF(#REF!,Casilleros!$A584,#REF!)+SUMIF(#REF!,$A584,#REF!)</f>
        <v>#REF!</v>
      </c>
      <c r="N584" s="5" t="e">
        <f>SUMIF(#REF!,$A584,#REF!)</f>
        <v>#REF!</v>
      </c>
      <c r="O584" s="5" t="e">
        <f>SUMIF(#REF!,$A584,#REF!)+SUMIF(#REF!,$A584,#REF!)</f>
        <v>#REF!</v>
      </c>
      <c r="P584" s="5">
        <f>IFERROR(VLOOKUP($A584,#REF!,2,FALSE),0)</f>
        <v>0</v>
      </c>
      <c r="Q584" s="42" t="e">
        <f t="shared" si="8"/>
        <v>#REF!</v>
      </c>
    </row>
    <row r="585" spans="1:17">
      <c r="A585" s="56" t="s">
        <v>604</v>
      </c>
      <c r="B585" s="7" t="s">
        <v>561</v>
      </c>
      <c r="C585" s="7" t="s">
        <v>562</v>
      </c>
      <c r="D585" s="7" t="s">
        <v>10</v>
      </c>
      <c r="E585" s="7" t="s">
        <v>601</v>
      </c>
      <c r="F585" s="7" t="s">
        <v>602</v>
      </c>
      <c r="G585" s="7" t="s">
        <v>444</v>
      </c>
      <c r="H585" s="7" t="s">
        <v>444</v>
      </c>
      <c r="I585" s="5" t="s">
        <v>1989</v>
      </c>
      <c r="K585" s="5">
        <f>SUMIF(BC!$E$6:$E$347,$A585,BC!$K$6:$K$347)</f>
        <v>0</v>
      </c>
      <c r="L585" s="5" t="e">
        <f>SUMIF(#REF!,$A585,#REF!)+SUMIF(#REF!,$A585,#REF!)</f>
        <v>#REF!</v>
      </c>
      <c r="M585" s="5" t="e">
        <f>SUMIF(#REF!,Casilleros!$A585,#REF!)+SUMIF(#REF!,Casilleros!$A585,#REF!)+SUMIF(#REF!,$A585,#REF!)</f>
        <v>#REF!</v>
      </c>
      <c r="N585" s="5" t="e">
        <f>SUMIF(#REF!,$A585,#REF!)</f>
        <v>#REF!</v>
      </c>
      <c r="O585" s="5" t="e">
        <f>SUMIF(#REF!,$A585,#REF!)+SUMIF(#REF!,$A585,#REF!)</f>
        <v>#REF!</v>
      </c>
      <c r="P585" s="5">
        <f>IFERROR(VLOOKUP($A585,#REF!,2,FALSE),0)</f>
        <v>0</v>
      </c>
      <c r="Q585" s="42" t="e">
        <f t="shared" si="8"/>
        <v>#REF!</v>
      </c>
    </row>
    <row r="586" spans="1:17">
      <c r="A586" s="56" t="s">
        <v>607</v>
      </c>
      <c r="B586" s="7" t="s">
        <v>561</v>
      </c>
      <c r="C586" s="7" t="s">
        <v>562</v>
      </c>
      <c r="D586" s="7" t="s">
        <v>10</v>
      </c>
      <c r="E586" s="7" t="s">
        <v>601</v>
      </c>
      <c r="F586" s="7" t="s">
        <v>605</v>
      </c>
      <c r="G586" s="7" t="s">
        <v>444</v>
      </c>
      <c r="H586" s="7" t="s">
        <v>444</v>
      </c>
      <c r="I586" s="5" t="s">
        <v>1990</v>
      </c>
      <c r="K586" s="5">
        <f>SUMIF(BC!$E$6:$E$347,$A586,BC!$K$6:$K$347)</f>
        <v>0</v>
      </c>
      <c r="L586" s="5" t="e">
        <f>SUMIF(#REF!,$A586,#REF!)+SUMIF(#REF!,$A586,#REF!)</f>
        <v>#REF!</v>
      </c>
      <c r="M586" s="5" t="e">
        <f>SUMIF(#REF!,Casilleros!$A586,#REF!)+SUMIF(#REF!,Casilleros!$A586,#REF!)+SUMIF(#REF!,$A586,#REF!)</f>
        <v>#REF!</v>
      </c>
      <c r="N586" s="5" t="e">
        <f>SUMIF(#REF!,$A586,#REF!)</f>
        <v>#REF!</v>
      </c>
      <c r="O586" s="5" t="e">
        <f>SUMIF(#REF!,$A586,#REF!)+SUMIF(#REF!,$A586,#REF!)</f>
        <v>#REF!</v>
      </c>
      <c r="P586" s="5">
        <f>IFERROR(VLOOKUP($A586,#REF!,2,FALSE),0)</f>
        <v>0</v>
      </c>
      <c r="Q586" s="42" t="e">
        <f t="shared" si="8"/>
        <v>#REF!</v>
      </c>
    </row>
    <row r="587" spans="1:17">
      <c r="A587" s="56" t="s">
        <v>610</v>
      </c>
      <c r="B587" s="7" t="s">
        <v>561</v>
      </c>
      <c r="C587" s="7" t="s">
        <v>562</v>
      </c>
      <c r="D587" s="7" t="s">
        <v>10</v>
      </c>
      <c r="E587" s="7" t="s">
        <v>608</v>
      </c>
      <c r="F587" s="7" t="s">
        <v>444</v>
      </c>
      <c r="G587" s="7" t="s">
        <v>444</v>
      </c>
      <c r="H587" s="7" t="s">
        <v>444</v>
      </c>
      <c r="I587" s="5" t="s">
        <v>1991</v>
      </c>
      <c r="K587" s="5">
        <f>SUMIF(BC!$E$6:$E$347,$A587,BC!$K$6:$K$347)</f>
        <v>0</v>
      </c>
      <c r="L587" s="5" t="e">
        <f>SUMIF(#REF!,$A587,#REF!)+SUMIF(#REF!,$A587,#REF!)</f>
        <v>#REF!</v>
      </c>
      <c r="M587" s="5" t="e">
        <f>SUMIF(#REF!,Casilleros!$A587,#REF!)+SUMIF(#REF!,Casilleros!$A587,#REF!)+SUMIF(#REF!,$A587,#REF!)</f>
        <v>#REF!</v>
      </c>
      <c r="N587" s="5" t="e">
        <f>SUMIF(#REF!,$A587,#REF!)</f>
        <v>#REF!</v>
      </c>
      <c r="O587" s="5" t="e">
        <f>SUMIF(#REF!,$A587,#REF!)+SUMIF(#REF!,$A587,#REF!)</f>
        <v>#REF!</v>
      </c>
      <c r="P587" s="5">
        <f>IFERROR(VLOOKUP($A587,#REF!,2,FALSE),0)</f>
        <v>0</v>
      </c>
      <c r="Q587" s="42" t="e">
        <f t="shared" si="8"/>
        <v>#REF!</v>
      </c>
    </row>
    <row r="588" spans="1:17">
      <c r="A588" s="56" t="s">
        <v>613</v>
      </c>
      <c r="B588" s="7" t="s">
        <v>561</v>
      </c>
      <c r="C588" s="7" t="s">
        <v>562</v>
      </c>
      <c r="D588" s="7" t="s">
        <v>10</v>
      </c>
      <c r="E588" s="7" t="s">
        <v>611</v>
      </c>
      <c r="F588" s="7" t="s">
        <v>444</v>
      </c>
      <c r="G588" s="7" t="s">
        <v>444</v>
      </c>
      <c r="H588" s="7" t="s">
        <v>444</v>
      </c>
      <c r="I588" s="5" t="s">
        <v>1992</v>
      </c>
      <c r="K588" s="5">
        <f>SUMIF(BC!$E$6:$E$347,$A588,BC!$K$6:$K$347)</f>
        <v>0</v>
      </c>
      <c r="L588" s="5" t="e">
        <f>SUMIF(#REF!,$A588,#REF!)+SUMIF(#REF!,$A588,#REF!)</f>
        <v>#REF!</v>
      </c>
      <c r="M588" s="5" t="e">
        <f>SUMIF(#REF!,Casilleros!$A588,#REF!)+SUMIF(#REF!,Casilleros!$A588,#REF!)+SUMIF(#REF!,$A588,#REF!)</f>
        <v>#REF!</v>
      </c>
      <c r="N588" s="5" t="e">
        <f>SUMIF(#REF!,$A588,#REF!)</f>
        <v>#REF!</v>
      </c>
      <c r="O588" s="5" t="e">
        <f>SUMIF(#REF!,$A588,#REF!)+SUMIF(#REF!,$A588,#REF!)</f>
        <v>#REF!</v>
      </c>
      <c r="P588" s="5">
        <f>IFERROR(VLOOKUP($A588,#REF!,2,FALSE),0)</f>
        <v>0</v>
      </c>
      <c r="Q588" s="42" t="e">
        <f t="shared" si="8"/>
        <v>#REF!</v>
      </c>
    </row>
    <row r="589" spans="1:17">
      <c r="A589" s="56" t="s">
        <v>616</v>
      </c>
      <c r="B589" s="7" t="s">
        <v>561</v>
      </c>
      <c r="C589" s="7" t="s">
        <v>562</v>
      </c>
      <c r="D589" s="7" t="s">
        <v>10</v>
      </c>
      <c r="E589" s="7" t="s">
        <v>614</v>
      </c>
      <c r="F589" s="7" t="s">
        <v>444</v>
      </c>
      <c r="G589" s="7" t="s">
        <v>444</v>
      </c>
      <c r="H589" s="7" t="s">
        <v>444</v>
      </c>
      <c r="I589" s="5" t="s">
        <v>1993</v>
      </c>
      <c r="K589" s="5">
        <f>SUMIF(BC!$E$6:$E$347,$A589,BC!$K$6:$K$347)</f>
        <v>0</v>
      </c>
      <c r="L589" s="5" t="e">
        <f>SUMIF(#REF!,$A589,#REF!)+SUMIF(#REF!,$A589,#REF!)</f>
        <v>#REF!</v>
      </c>
      <c r="M589" s="5" t="e">
        <f>SUMIF(#REF!,Casilleros!$A589,#REF!)+SUMIF(#REF!,Casilleros!$A589,#REF!)+SUMIF(#REF!,$A589,#REF!)</f>
        <v>#REF!</v>
      </c>
      <c r="N589" s="5" t="e">
        <f>SUMIF(#REF!,$A589,#REF!)</f>
        <v>#REF!</v>
      </c>
      <c r="O589" s="5" t="e">
        <f>SUMIF(#REF!,$A589,#REF!)+SUMIF(#REF!,$A589,#REF!)</f>
        <v>#REF!</v>
      </c>
      <c r="P589" s="5">
        <f>IFERROR(VLOOKUP($A589,#REF!,2,FALSE),0)</f>
        <v>0</v>
      </c>
      <c r="Q589" s="42" t="e">
        <f t="shared" si="8"/>
        <v>#REF!</v>
      </c>
    </row>
    <row r="590" spans="1:17">
      <c r="A590" s="56" t="s">
        <v>619</v>
      </c>
      <c r="B590" s="7" t="s">
        <v>561</v>
      </c>
      <c r="C590" s="7" t="s">
        <v>562</v>
      </c>
      <c r="D590" s="7" t="s">
        <v>10</v>
      </c>
      <c r="E590" s="7" t="s">
        <v>617</v>
      </c>
      <c r="F590" s="7" t="s">
        <v>444</v>
      </c>
      <c r="G590" s="7" t="s">
        <v>444</v>
      </c>
      <c r="H590" s="7" t="s">
        <v>444</v>
      </c>
      <c r="I590" s="5" t="s">
        <v>1994</v>
      </c>
      <c r="K590" s="5">
        <f>SUMIF(BC!$E$6:$E$347,$A590,BC!$K$6:$K$347)</f>
        <v>0</v>
      </c>
      <c r="L590" s="5" t="e">
        <f>SUMIF(#REF!,$A590,#REF!)+SUMIF(#REF!,$A590,#REF!)</f>
        <v>#REF!</v>
      </c>
      <c r="M590" s="5" t="e">
        <f>SUMIF(#REF!,Casilleros!$A590,#REF!)+SUMIF(#REF!,Casilleros!$A590,#REF!)+SUMIF(#REF!,$A590,#REF!)</f>
        <v>#REF!</v>
      </c>
      <c r="N590" s="5" t="e">
        <f>SUMIF(#REF!,$A590,#REF!)</f>
        <v>#REF!</v>
      </c>
      <c r="O590" s="5" t="e">
        <f>SUMIF(#REF!,$A590,#REF!)+SUMIF(#REF!,$A590,#REF!)</f>
        <v>#REF!</v>
      </c>
      <c r="P590" s="5">
        <f>IFERROR(VLOOKUP($A590,#REF!,2,FALSE),0)</f>
        <v>0</v>
      </c>
      <c r="Q590" s="42" t="e">
        <f t="shared" si="8"/>
        <v>#REF!</v>
      </c>
    </row>
    <row r="591" spans="1:17">
      <c r="A591" s="56" t="s">
        <v>622</v>
      </c>
      <c r="B591" s="7" t="s">
        <v>561</v>
      </c>
      <c r="C591" s="7" t="s">
        <v>562</v>
      </c>
      <c r="D591" s="7" t="s">
        <v>10</v>
      </c>
      <c r="E591" s="7" t="s">
        <v>620</v>
      </c>
      <c r="F591" s="7" t="s">
        <v>444</v>
      </c>
      <c r="G591" s="7" t="s">
        <v>444</v>
      </c>
      <c r="H591" s="7" t="s">
        <v>444</v>
      </c>
      <c r="I591" s="5" t="s">
        <v>1995</v>
      </c>
      <c r="K591" s="5">
        <f>SUMIF(BC!$E$6:$E$347,$A591,BC!$K$6:$K$347)</f>
        <v>0</v>
      </c>
      <c r="L591" s="5" t="e">
        <f>SUMIF(#REF!,$A591,#REF!)+SUMIF(#REF!,$A591,#REF!)</f>
        <v>#REF!</v>
      </c>
      <c r="M591" s="5" t="e">
        <f>SUMIF(#REF!,Casilleros!$A591,#REF!)+SUMIF(#REF!,Casilleros!$A591,#REF!)+SUMIF(#REF!,$A591,#REF!)</f>
        <v>#REF!</v>
      </c>
      <c r="N591" s="5" t="e">
        <f>SUMIF(#REF!,$A591,#REF!)</f>
        <v>#REF!</v>
      </c>
      <c r="O591" s="5" t="e">
        <f>SUMIF(#REF!,$A591,#REF!)+SUMIF(#REF!,$A591,#REF!)</f>
        <v>#REF!</v>
      </c>
      <c r="P591" s="5">
        <f>IFERROR(VLOOKUP($A591,#REF!,2,FALSE),0)</f>
        <v>0</v>
      </c>
      <c r="Q591" s="42" t="e">
        <f t="shared" ref="Q591:Q654" si="10">SUM(K591:P591)</f>
        <v>#REF!</v>
      </c>
    </row>
    <row r="592" spans="1:17">
      <c r="A592" s="56" t="s">
        <v>625</v>
      </c>
      <c r="B592" s="7" t="s">
        <v>561</v>
      </c>
      <c r="C592" s="7" t="s">
        <v>562</v>
      </c>
      <c r="D592" s="7" t="s">
        <v>10</v>
      </c>
      <c r="E592" s="7" t="s">
        <v>623</v>
      </c>
      <c r="F592" s="7" t="s">
        <v>444</v>
      </c>
      <c r="G592" s="7" t="s">
        <v>444</v>
      </c>
      <c r="H592" s="7" t="s">
        <v>444</v>
      </c>
      <c r="I592" s="5" t="s">
        <v>1996</v>
      </c>
      <c r="K592" s="5">
        <f>SUMIF(BC!$E$6:$E$347,$A592,BC!$K$6:$K$347)</f>
        <v>0</v>
      </c>
      <c r="L592" s="5" t="e">
        <f>SUMIF(#REF!,$A592,#REF!)+SUMIF(#REF!,$A592,#REF!)</f>
        <v>#REF!</v>
      </c>
      <c r="M592" s="5" t="e">
        <f>SUMIF(#REF!,Casilleros!$A592,#REF!)+SUMIF(#REF!,Casilleros!$A592,#REF!)+SUMIF(#REF!,$A592,#REF!)</f>
        <v>#REF!</v>
      </c>
      <c r="N592" s="5" t="e">
        <f>SUMIF(#REF!,$A592,#REF!)</f>
        <v>#REF!</v>
      </c>
      <c r="O592" s="5" t="e">
        <f>SUMIF(#REF!,$A592,#REF!)+SUMIF(#REF!,$A592,#REF!)</f>
        <v>#REF!</v>
      </c>
      <c r="P592" s="5">
        <f>IFERROR(VLOOKUP($A592,#REF!,2,FALSE),0)</f>
        <v>0</v>
      </c>
      <c r="Q592" s="42" t="e">
        <f t="shared" si="10"/>
        <v>#REF!</v>
      </c>
    </row>
    <row r="593" spans="1:17">
      <c r="A593" s="56" t="s">
        <v>628</v>
      </c>
      <c r="B593" s="7" t="s">
        <v>561</v>
      </c>
      <c r="C593" s="7" t="s">
        <v>562</v>
      </c>
      <c r="D593" s="7" t="s">
        <v>10</v>
      </c>
      <c r="E593" s="7" t="s">
        <v>626</v>
      </c>
      <c r="F593" s="7" t="s">
        <v>444</v>
      </c>
      <c r="G593" s="7" t="s">
        <v>444</v>
      </c>
      <c r="H593" s="7" t="s">
        <v>444</v>
      </c>
      <c r="I593" s="5" t="s">
        <v>1997</v>
      </c>
      <c r="K593" s="5">
        <f>SUMIF(BC!$E$6:$E$347,$A593,BC!$K$6:$K$347)</f>
        <v>0</v>
      </c>
      <c r="L593" s="5" t="e">
        <f>SUMIF(#REF!,$A593,#REF!)+SUMIF(#REF!,$A593,#REF!)</f>
        <v>#REF!</v>
      </c>
      <c r="M593" s="5" t="e">
        <f>SUMIF(#REF!,Casilleros!$A593,#REF!)+SUMIF(#REF!,Casilleros!$A593,#REF!)+SUMIF(#REF!,$A593,#REF!)</f>
        <v>#REF!</v>
      </c>
      <c r="N593" s="5" t="e">
        <f>SUMIF(#REF!,$A593,#REF!)</f>
        <v>#REF!</v>
      </c>
      <c r="O593" s="5" t="e">
        <f>SUMIF(#REF!,$A593,#REF!)+SUMIF(#REF!,$A593,#REF!)</f>
        <v>#REF!</v>
      </c>
      <c r="P593" s="5">
        <f>IFERROR(VLOOKUP($A593,#REF!,2,FALSE),0)</f>
        <v>0</v>
      </c>
      <c r="Q593" s="42" t="e">
        <f t="shared" si="10"/>
        <v>#REF!</v>
      </c>
    </row>
    <row r="594" spans="1:17">
      <c r="A594" s="56" t="s">
        <v>632</v>
      </c>
      <c r="B594" s="7" t="s">
        <v>561</v>
      </c>
      <c r="C594" s="7" t="s">
        <v>562</v>
      </c>
      <c r="D594" s="7" t="s">
        <v>10</v>
      </c>
      <c r="E594" s="7" t="s">
        <v>629</v>
      </c>
      <c r="F594" s="7" t="s">
        <v>630</v>
      </c>
      <c r="G594" s="7" t="s">
        <v>444</v>
      </c>
      <c r="H594" s="7" t="s">
        <v>444</v>
      </c>
      <c r="I594" s="5" t="s">
        <v>1998</v>
      </c>
      <c r="K594" s="5">
        <f>SUMIF(BC!$E$6:$E$347,$A594,BC!$K$6:$K$347)</f>
        <v>0</v>
      </c>
      <c r="L594" s="5" t="e">
        <f>SUMIF(#REF!,$A594,#REF!)+SUMIF(#REF!,$A594,#REF!)</f>
        <v>#REF!</v>
      </c>
      <c r="M594" s="5" t="e">
        <f>SUMIF(#REF!,Casilleros!$A594,#REF!)+SUMIF(#REF!,Casilleros!$A594,#REF!)+SUMIF(#REF!,$A594,#REF!)</f>
        <v>#REF!</v>
      </c>
      <c r="N594" s="5" t="e">
        <f>SUMIF(#REF!,$A594,#REF!)</f>
        <v>#REF!</v>
      </c>
      <c r="O594" s="5" t="e">
        <f>SUMIF(#REF!,$A594,#REF!)+SUMIF(#REF!,$A594,#REF!)</f>
        <v>#REF!</v>
      </c>
      <c r="P594" s="5">
        <f>IFERROR(VLOOKUP($A594,#REF!,2,FALSE),0)</f>
        <v>0</v>
      </c>
      <c r="Q594" s="42" t="e">
        <f t="shared" si="10"/>
        <v>#REF!</v>
      </c>
    </row>
    <row r="595" spans="1:17">
      <c r="A595" s="56" t="s">
        <v>635</v>
      </c>
      <c r="B595" s="7" t="s">
        <v>561</v>
      </c>
      <c r="C595" s="7" t="s">
        <v>562</v>
      </c>
      <c r="D595" s="7" t="s">
        <v>10</v>
      </c>
      <c r="E595" s="7" t="s">
        <v>629</v>
      </c>
      <c r="F595" s="7" t="s">
        <v>633</v>
      </c>
      <c r="G595" s="7" t="s">
        <v>444</v>
      </c>
      <c r="H595" s="7" t="s">
        <v>444</v>
      </c>
      <c r="I595" s="5" t="s">
        <v>1999</v>
      </c>
      <c r="K595" s="5">
        <f>SUMIF(BC!$E$6:$E$347,$A595,BC!$K$6:$K$347)</f>
        <v>0</v>
      </c>
      <c r="L595" s="5" t="e">
        <f>SUMIF(#REF!,$A595,#REF!)+SUMIF(#REF!,$A595,#REF!)</f>
        <v>#REF!</v>
      </c>
      <c r="M595" s="5" t="e">
        <f>SUMIF(#REF!,Casilleros!$A595,#REF!)+SUMIF(#REF!,Casilleros!$A595,#REF!)+SUMIF(#REF!,$A595,#REF!)</f>
        <v>#REF!</v>
      </c>
      <c r="N595" s="5" t="e">
        <f>SUMIF(#REF!,$A595,#REF!)</f>
        <v>#REF!</v>
      </c>
      <c r="O595" s="5" t="e">
        <f>SUMIF(#REF!,$A595,#REF!)+SUMIF(#REF!,$A595,#REF!)</f>
        <v>#REF!</v>
      </c>
      <c r="P595" s="5">
        <f>IFERROR(VLOOKUP($A595,#REF!,2,FALSE),0)</f>
        <v>0</v>
      </c>
      <c r="Q595" s="42" t="e">
        <f t="shared" si="10"/>
        <v>#REF!</v>
      </c>
    </row>
    <row r="596" spans="1:17">
      <c r="A596" s="56" t="s">
        <v>638</v>
      </c>
      <c r="B596" s="7" t="s">
        <v>561</v>
      </c>
      <c r="C596" s="7" t="s">
        <v>562</v>
      </c>
      <c r="D596" s="7" t="s">
        <v>10</v>
      </c>
      <c r="E596" s="7" t="s">
        <v>629</v>
      </c>
      <c r="F596" s="7" t="s">
        <v>636</v>
      </c>
      <c r="G596" s="7" t="s">
        <v>444</v>
      </c>
      <c r="H596" s="7" t="s">
        <v>444</v>
      </c>
      <c r="I596" s="5" t="s">
        <v>2000</v>
      </c>
      <c r="K596" s="5">
        <f>SUMIF(BC!$E$6:$E$347,$A596,BC!$K$6:$K$347)</f>
        <v>0</v>
      </c>
      <c r="L596" s="5" t="e">
        <f>SUMIF(#REF!,$A596,#REF!)+SUMIF(#REF!,$A596,#REF!)</f>
        <v>#REF!</v>
      </c>
      <c r="M596" s="5" t="e">
        <f>SUMIF(#REF!,Casilleros!$A596,#REF!)+SUMIF(#REF!,Casilleros!$A596,#REF!)+SUMIF(#REF!,$A596,#REF!)</f>
        <v>#REF!</v>
      </c>
      <c r="N596" s="5" t="e">
        <f>SUMIF(#REF!,$A596,#REF!)</f>
        <v>#REF!</v>
      </c>
      <c r="O596" s="5" t="e">
        <f>SUMIF(#REF!,$A596,#REF!)+SUMIF(#REF!,$A596,#REF!)</f>
        <v>#REF!</v>
      </c>
      <c r="P596" s="5">
        <f>IFERROR(VLOOKUP($A596,#REF!,2,FALSE),0)</f>
        <v>0</v>
      </c>
      <c r="Q596" s="42" t="e">
        <f t="shared" si="10"/>
        <v>#REF!</v>
      </c>
    </row>
    <row r="597" spans="1:17">
      <c r="A597" s="56" t="s">
        <v>641</v>
      </c>
      <c r="B597" s="7" t="s">
        <v>561</v>
      </c>
      <c r="C597" s="7" t="s">
        <v>562</v>
      </c>
      <c r="D597" s="7" t="s">
        <v>10</v>
      </c>
      <c r="E597" s="7" t="s">
        <v>629</v>
      </c>
      <c r="F597" s="7" t="s">
        <v>639</v>
      </c>
      <c r="G597" s="7" t="s">
        <v>444</v>
      </c>
      <c r="H597" s="7" t="s">
        <v>444</v>
      </c>
      <c r="I597" s="5" t="s">
        <v>2001</v>
      </c>
      <c r="K597" s="5">
        <f>SUMIF(BC!$E$6:$E$347,$A597,BC!$K$6:$K$347)</f>
        <v>0</v>
      </c>
      <c r="L597" s="5" t="e">
        <f>SUMIF(#REF!,$A597,#REF!)+SUMIF(#REF!,$A597,#REF!)</f>
        <v>#REF!</v>
      </c>
      <c r="M597" s="5" t="e">
        <f>SUMIF(#REF!,Casilleros!$A597,#REF!)+SUMIF(#REF!,Casilleros!$A597,#REF!)+SUMIF(#REF!,$A597,#REF!)</f>
        <v>#REF!</v>
      </c>
      <c r="N597" s="5" t="e">
        <f>SUMIF(#REF!,$A597,#REF!)</f>
        <v>#REF!</v>
      </c>
      <c r="O597" s="5" t="e">
        <f>SUMIF(#REF!,$A597,#REF!)+SUMIF(#REF!,$A597,#REF!)</f>
        <v>#REF!</v>
      </c>
      <c r="P597" s="5">
        <f>IFERROR(VLOOKUP($A597,#REF!,2,FALSE),0)</f>
        <v>0</v>
      </c>
      <c r="Q597" s="42" t="e">
        <f t="shared" si="10"/>
        <v>#REF!</v>
      </c>
    </row>
    <row r="598" spans="1:17">
      <c r="A598" s="56" t="s">
        <v>644</v>
      </c>
      <c r="B598" s="7" t="s">
        <v>561</v>
      </c>
      <c r="C598" s="7" t="s">
        <v>562</v>
      </c>
      <c r="D598" s="7" t="s">
        <v>10</v>
      </c>
      <c r="E598" s="7" t="s">
        <v>629</v>
      </c>
      <c r="F598" s="7" t="s">
        <v>642</v>
      </c>
      <c r="G598" s="7" t="s">
        <v>444</v>
      </c>
      <c r="H598" s="7" t="s">
        <v>444</v>
      </c>
      <c r="I598" s="5" t="s">
        <v>2002</v>
      </c>
      <c r="K598" s="5">
        <f>SUMIF(BC!$E$6:$E$347,$A598,BC!$K$6:$K$347)</f>
        <v>0</v>
      </c>
      <c r="L598" s="5" t="e">
        <f>SUMIF(#REF!,$A598,#REF!)+SUMIF(#REF!,$A598,#REF!)</f>
        <v>#REF!</v>
      </c>
      <c r="M598" s="5" t="e">
        <f>SUMIF(#REF!,Casilleros!$A598,#REF!)+SUMIF(#REF!,Casilleros!$A598,#REF!)+SUMIF(#REF!,$A598,#REF!)</f>
        <v>#REF!</v>
      </c>
      <c r="N598" s="5" t="e">
        <f>SUMIF(#REF!,$A598,#REF!)</f>
        <v>#REF!</v>
      </c>
      <c r="O598" s="5" t="e">
        <f>SUMIF(#REF!,$A598,#REF!)+SUMIF(#REF!,$A598,#REF!)</f>
        <v>#REF!</v>
      </c>
      <c r="P598" s="5">
        <f>IFERROR(VLOOKUP($A598,#REF!,2,FALSE),0)</f>
        <v>0</v>
      </c>
      <c r="Q598" s="42" t="e">
        <f t="shared" si="10"/>
        <v>#REF!</v>
      </c>
    </row>
    <row r="599" spans="1:17">
      <c r="A599" s="56" t="s">
        <v>647</v>
      </c>
      <c r="B599" s="7" t="s">
        <v>561</v>
      </c>
      <c r="C599" s="7" t="s">
        <v>562</v>
      </c>
      <c r="D599" s="7" t="s">
        <v>10</v>
      </c>
      <c r="E599" s="7" t="s">
        <v>629</v>
      </c>
      <c r="F599" s="7" t="s">
        <v>645</v>
      </c>
      <c r="G599" s="7" t="s">
        <v>444</v>
      </c>
      <c r="H599" s="7" t="s">
        <v>444</v>
      </c>
      <c r="I599" s="5" t="s">
        <v>2003</v>
      </c>
      <c r="K599" s="5">
        <f>SUMIF(BC!$E$6:$E$347,$A599,BC!$K$6:$K$347)</f>
        <v>0</v>
      </c>
      <c r="L599" s="5" t="e">
        <f>SUMIF(#REF!,$A599,#REF!)+SUMIF(#REF!,$A599,#REF!)</f>
        <v>#REF!</v>
      </c>
      <c r="M599" s="5" t="e">
        <f>SUMIF(#REF!,Casilleros!$A599,#REF!)+SUMIF(#REF!,Casilleros!$A599,#REF!)+SUMIF(#REF!,$A599,#REF!)</f>
        <v>#REF!</v>
      </c>
      <c r="N599" s="5" t="e">
        <f>SUMIF(#REF!,$A599,#REF!)</f>
        <v>#REF!</v>
      </c>
      <c r="O599" s="5" t="e">
        <f>SUMIF(#REF!,$A599,#REF!)+SUMIF(#REF!,$A599,#REF!)</f>
        <v>#REF!</v>
      </c>
      <c r="P599" s="5">
        <f>IFERROR(VLOOKUP($A599,#REF!,2,FALSE),0)</f>
        <v>0</v>
      </c>
      <c r="Q599" s="42" t="e">
        <f t="shared" si="10"/>
        <v>#REF!</v>
      </c>
    </row>
    <row r="600" spans="1:17">
      <c r="A600" s="56" t="s">
        <v>650</v>
      </c>
      <c r="B600" s="7" t="s">
        <v>561</v>
      </c>
      <c r="C600" s="7" t="s">
        <v>562</v>
      </c>
      <c r="D600" s="7" t="s">
        <v>10</v>
      </c>
      <c r="E600" s="7" t="s">
        <v>629</v>
      </c>
      <c r="F600" s="7" t="s">
        <v>648</v>
      </c>
      <c r="G600" s="7" t="s">
        <v>444</v>
      </c>
      <c r="H600" s="7" t="s">
        <v>444</v>
      </c>
      <c r="I600" s="5" t="s">
        <v>2004</v>
      </c>
      <c r="K600" s="5">
        <f>SUMIF(BC!$E$6:$E$347,$A600,BC!$K$6:$K$347)</f>
        <v>0</v>
      </c>
      <c r="L600" s="5" t="e">
        <f>SUMIF(#REF!,$A600,#REF!)+SUMIF(#REF!,$A600,#REF!)</f>
        <v>#REF!</v>
      </c>
      <c r="M600" s="5" t="e">
        <f>SUMIF(#REF!,Casilleros!$A600,#REF!)+SUMIF(#REF!,Casilleros!$A600,#REF!)+SUMIF(#REF!,$A600,#REF!)</f>
        <v>#REF!</v>
      </c>
      <c r="N600" s="5" t="e">
        <f>SUMIF(#REF!,$A600,#REF!)</f>
        <v>#REF!</v>
      </c>
      <c r="O600" s="5" t="e">
        <f>SUMIF(#REF!,$A600,#REF!)+SUMIF(#REF!,$A600,#REF!)</f>
        <v>#REF!</v>
      </c>
      <c r="P600" s="5">
        <f>IFERROR(VLOOKUP($A600,#REF!,2,FALSE),0)</f>
        <v>0</v>
      </c>
      <c r="Q600" s="42" t="e">
        <f t="shared" si="10"/>
        <v>#REF!</v>
      </c>
    </row>
    <row r="601" spans="1:17">
      <c r="A601" s="56" t="s">
        <v>653</v>
      </c>
      <c r="B601" s="7" t="s">
        <v>561</v>
      </c>
      <c r="C601" s="7" t="s">
        <v>562</v>
      </c>
      <c r="D601" s="7" t="s">
        <v>10</v>
      </c>
      <c r="E601" s="7" t="s">
        <v>629</v>
      </c>
      <c r="F601" s="7" t="s">
        <v>651</v>
      </c>
      <c r="G601" s="7" t="s">
        <v>444</v>
      </c>
      <c r="H601" s="7" t="s">
        <v>444</v>
      </c>
      <c r="I601" s="5" t="s">
        <v>2005</v>
      </c>
      <c r="K601" s="5">
        <f>SUMIF(BC!$E$6:$E$347,$A601,BC!$K$6:$K$347)</f>
        <v>0</v>
      </c>
      <c r="L601" s="5" t="e">
        <f>SUMIF(#REF!,$A601,#REF!)+SUMIF(#REF!,$A601,#REF!)</f>
        <v>#REF!</v>
      </c>
      <c r="M601" s="5" t="e">
        <f>SUMIF(#REF!,Casilleros!$A601,#REF!)+SUMIF(#REF!,Casilleros!$A601,#REF!)+SUMIF(#REF!,$A601,#REF!)</f>
        <v>#REF!</v>
      </c>
      <c r="N601" s="5" t="e">
        <f>SUMIF(#REF!,$A601,#REF!)</f>
        <v>#REF!</v>
      </c>
      <c r="O601" s="5" t="e">
        <f>SUMIF(#REF!,$A601,#REF!)+SUMIF(#REF!,$A601,#REF!)</f>
        <v>#REF!</v>
      </c>
      <c r="P601" s="5">
        <f>IFERROR(VLOOKUP($A601,#REF!,2,FALSE),0)</f>
        <v>0</v>
      </c>
      <c r="Q601" s="42" t="e">
        <f t="shared" si="10"/>
        <v>#REF!</v>
      </c>
    </row>
    <row r="602" spans="1:17">
      <c r="A602" s="56" t="s">
        <v>656</v>
      </c>
      <c r="B602" s="7" t="s">
        <v>561</v>
      </c>
      <c r="C602" s="7" t="s">
        <v>562</v>
      </c>
      <c r="D602" s="7" t="s">
        <v>10</v>
      </c>
      <c r="E602" s="7" t="s">
        <v>629</v>
      </c>
      <c r="F602" s="7" t="s">
        <v>654</v>
      </c>
      <c r="G602" s="7" t="s">
        <v>444</v>
      </c>
      <c r="H602" s="7" t="s">
        <v>444</v>
      </c>
      <c r="I602" s="5" t="s">
        <v>2006</v>
      </c>
      <c r="K602" s="5">
        <f>SUMIF(BC!$E$6:$E$347,$A602,BC!$K$6:$K$347)</f>
        <v>0</v>
      </c>
      <c r="L602" s="5" t="e">
        <f>SUMIF(#REF!,$A602,#REF!)+SUMIF(#REF!,$A602,#REF!)</f>
        <v>#REF!</v>
      </c>
      <c r="M602" s="5" t="e">
        <f>SUMIF(#REF!,Casilleros!$A602,#REF!)+SUMIF(#REF!,Casilleros!$A602,#REF!)+SUMIF(#REF!,$A602,#REF!)</f>
        <v>#REF!</v>
      </c>
      <c r="N602" s="5" t="e">
        <f>SUMIF(#REF!,$A602,#REF!)</f>
        <v>#REF!</v>
      </c>
      <c r="O602" s="5" t="e">
        <f>SUMIF(#REF!,$A602,#REF!)+SUMIF(#REF!,$A602,#REF!)</f>
        <v>#REF!</v>
      </c>
      <c r="P602" s="5">
        <f>IFERROR(VLOOKUP($A602,#REF!,2,FALSE),0)</f>
        <v>0</v>
      </c>
      <c r="Q602" s="42" t="e">
        <f t="shared" si="10"/>
        <v>#REF!</v>
      </c>
    </row>
    <row r="603" spans="1:17">
      <c r="A603" s="56" t="s">
        <v>658</v>
      </c>
      <c r="B603" s="7" t="s">
        <v>561</v>
      </c>
      <c r="C603" s="7" t="s">
        <v>562</v>
      </c>
      <c r="D603" s="7" t="s">
        <v>10</v>
      </c>
      <c r="E603" s="7" t="s">
        <v>629</v>
      </c>
      <c r="F603" s="7" t="s">
        <v>425</v>
      </c>
      <c r="G603" s="7" t="s">
        <v>444</v>
      </c>
      <c r="H603" s="7" t="s">
        <v>444</v>
      </c>
      <c r="I603" s="5" t="s">
        <v>2007</v>
      </c>
      <c r="K603" s="5">
        <f>SUMIF(BC!$E$6:$E$347,$A603,BC!$K$6:$K$347)</f>
        <v>0</v>
      </c>
      <c r="L603" s="5" t="e">
        <f>SUMIF(#REF!,$A603,#REF!)+SUMIF(#REF!,$A603,#REF!)</f>
        <v>#REF!</v>
      </c>
      <c r="M603" s="5" t="e">
        <f>SUMIF(#REF!,Casilleros!$A603,#REF!)+SUMIF(#REF!,Casilleros!$A603,#REF!)+SUMIF(#REF!,$A603,#REF!)</f>
        <v>#REF!</v>
      </c>
      <c r="N603" s="5" t="e">
        <f>SUMIF(#REF!,$A603,#REF!)</f>
        <v>#REF!</v>
      </c>
      <c r="O603" s="5" t="e">
        <f>SUMIF(#REF!,$A603,#REF!)+SUMIF(#REF!,$A603,#REF!)</f>
        <v>#REF!</v>
      </c>
      <c r="P603" s="5">
        <f>IFERROR(VLOOKUP($A603,#REF!,2,FALSE),0)</f>
        <v>0</v>
      </c>
      <c r="Q603" s="42" t="e">
        <f t="shared" si="10"/>
        <v>#REF!</v>
      </c>
    </row>
    <row r="604" spans="1:17">
      <c r="A604" s="56" t="s">
        <v>661</v>
      </c>
      <c r="B604" s="7" t="s">
        <v>561</v>
      </c>
      <c r="C604" s="7" t="s">
        <v>562</v>
      </c>
      <c r="D604" s="7" t="s">
        <v>10</v>
      </c>
      <c r="E604" s="7" t="s">
        <v>659</v>
      </c>
      <c r="F604" s="7" t="s">
        <v>411</v>
      </c>
      <c r="G604" s="7" t="s">
        <v>444</v>
      </c>
      <c r="H604" s="7" t="s">
        <v>444</v>
      </c>
      <c r="I604" s="5" t="s">
        <v>2008</v>
      </c>
      <c r="K604" s="5">
        <f>SUMIF(BC!$E$6:$E$347,$A604,BC!$K$6:$K$347)</f>
        <v>0</v>
      </c>
      <c r="L604" s="5" t="e">
        <f>SUMIF(#REF!,$A604,#REF!)+SUMIF(#REF!,$A604,#REF!)</f>
        <v>#REF!</v>
      </c>
      <c r="M604" s="5" t="e">
        <f>SUMIF(#REF!,Casilleros!$A604,#REF!)+SUMIF(#REF!,Casilleros!$A604,#REF!)+SUMIF(#REF!,$A604,#REF!)</f>
        <v>#REF!</v>
      </c>
      <c r="N604" s="5" t="e">
        <f>SUMIF(#REF!,$A604,#REF!)</f>
        <v>#REF!</v>
      </c>
      <c r="O604" s="5" t="e">
        <f>SUMIF(#REF!,$A604,#REF!)+SUMIF(#REF!,$A604,#REF!)</f>
        <v>#REF!</v>
      </c>
      <c r="P604" s="5">
        <f>IFERROR(VLOOKUP($A604,#REF!,2,FALSE),0)</f>
        <v>0</v>
      </c>
      <c r="Q604" s="42" t="e">
        <f t="shared" si="10"/>
        <v>#REF!</v>
      </c>
    </row>
    <row r="605" spans="1:17">
      <c r="A605" s="56" t="s">
        <v>664</v>
      </c>
      <c r="B605" s="7" t="s">
        <v>561</v>
      </c>
      <c r="C605" s="7" t="s">
        <v>562</v>
      </c>
      <c r="D605" s="7" t="s">
        <v>10</v>
      </c>
      <c r="E605" s="7" t="s">
        <v>659</v>
      </c>
      <c r="F605" s="7" t="s">
        <v>662</v>
      </c>
      <c r="G605" s="7" t="s">
        <v>444</v>
      </c>
      <c r="H605" s="7" t="s">
        <v>444</v>
      </c>
      <c r="I605" s="5" t="s">
        <v>2009</v>
      </c>
      <c r="K605" s="5">
        <f>SUMIF(BC!$E$6:$E$347,$A605,BC!$K$6:$K$347)</f>
        <v>0</v>
      </c>
      <c r="L605" s="5" t="e">
        <f>SUMIF(#REF!,$A605,#REF!)+SUMIF(#REF!,$A605,#REF!)</f>
        <v>#REF!</v>
      </c>
      <c r="M605" s="5" t="e">
        <f>SUMIF(#REF!,Casilleros!$A605,#REF!)+SUMIF(#REF!,Casilleros!$A605,#REF!)+SUMIF(#REF!,$A605,#REF!)</f>
        <v>#REF!</v>
      </c>
      <c r="N605" s="5" t="e">
        <f>SUMIF(#REF!,$A605,#REF!)</f>
        <v>#REF!</v>
      </c>
      <c r="O605" s="5" t="e">
        <f>SUMIF(#REF!,$A605,#REF!)+SUMIF(#REF!,$A605,#REF!)</f>
        <v>#REF!</v>
      </c>
      <c r="P605" s="5">
        <f>IFERROR(VLOOKUP($A605,#REF!,2,FALSE),0)</f>
        <v>0</v>
      </c>
      <c r="Q605" s="42" t="e">
        <f t="shared" si="10"/>
        <v>#REF!</v>
      </c>
    </row>
    <row r="606" spans="1:17">
      <c r="A606" s="56" t="s">
        <v>666</v>
      </c>
      <c r="B606" s="7" t="s">
        <v>561</v>
      </c>
      <c r="C606" s="7" t="s">
        <v>562</v>
      </c>
      <c r="D606" s="7" t="s">
        <v>10</v>
      </c>
      <c r="E606" s="7" t="s">
        <v>659</v>
      </c>
      <c r="F606" s="7" t="s">
        <v>415</v>
      </c>
      <c r="G606" s="7" t="s">
        <v>444</v>
      </c>
      <c r="H606" s="7" t="s">
        <v>444</v>
      </c>
      <c r="I606" s="5" t="s">
        <v>2010</v>
      </c>
      <c r="K606" s="5">
        <f>SUMIF(BC!$E$6:$E$347,$A606,BC!$K$6:$K$347)</f>
        <v>0</v>
      </c>
      <c r="L606" s="5" t="e">
        <f>SUMIF(#REF!,$A606,#REF!)+SUMIF(#REF!,$A606,#REF!)</f>
        <v>#REF!</v>
      </c>
      <c r="M606" s="5" t="e">
        <f>SUMIF(#REF!,Casilleros!$A606,#REF!)+SUMIF(#REF!,Casilleros!$A606,#REF!)+SUMIF(#REF!,$A606,#REF!)</f>
        <v>#REF!</v>
      </c>
      <c r="N606" s="5" t="e">
        <f>SUMIF(#REF!,$A606,#REF!)</f>
        <v>#REF!</v>
      </c>
      <c r="O606" s="5" t="e">
        <f>SUMIF(#REF!,$A606,#REF!)+SUMIF(#REF!,$A606,#REF!)</f>
        <v>#REF!</v>
      </c>
      <c r="P606" s="5">
        <f>IFERROR(VLOOKUP($A606,#REF!,2,FALSE),0)</f>
        <v>0</v>
      </c>
      <c r="Q606" s="42" t="e">
        <f t="shared" si="10"/>
        <v>#REF!</v>
      </c>
    </row>
    <row r="607" spans="1:17">
      <c r="A607" s="56" t="s">
        <v>668</v>
      </c>
      <c r="B607" s="7" t="s">
        <v>561</v>
      </c>
      <c r="C607" s="7" t="s">
        <v>562</v>
      </c>
      <c r="D607" s="7" t="s">
        <v>10</v>
      </c>
      <c r="E607" s="7" t="s">
        <v>659</v>
      </c>
      <c r="F607" s="7" t="s">
        <v>417</v>
      </c>
      <c r="G607" s="7" t="s">
        <v>444</v>
      </c>
      <c r="H607" s="7" t="s">
        <v>444</v>
      </c>
      <c r="I607" s="5" t="s">
        <v>2011</v>
      </c>
      <c r="K607" s="5">
        <f>SUMIF(BC!$E$6:$E$347,$A607,BC!$K$6:$K$347)</f>
        <v>0</v>
      </c>
      <c r="L607" s="5" t="e">
        <f>SUMIF(#REF!,$A607,#REF!)+SUMIF(#REF!,$A607,#REF!)</f>
        <v>#REF!</v>
      </c>
      <c r="M607" s="5" t="e">
        <f>SUMIF(#REF!,Casilleros!$A607,#REF!)+SUMIF(#REF!,Casilleros!$A607,#REF!)+SUMIF(#REF!,$A607,#REF!)</f>
        <v>#REF!</v>
      </c>
      <c r="N607" s="5" t="e">
        <f>SUMIF(#REF!,$A607,#REF!)</f>
        <v>#REF!</v>
      </c>
      <c r="O607" s="5" t="e">
        <f>SUMIF(#REF!,$A607,#REF!)+SUMIF(#REF!,$A607,#REF!)</f>
        <v>#REF!</v>
      </c>
      <c r="P607" s="5">
        <f>IFERROR(VLOOKUP($A607,#REF!,2,FALSE),0)</f>
        <v>0</v>
      </c>
      <c r="Q607" s="42" t="e">
        <f t="shared" si="10"/>
        <v>#REF!</v>
      </c>
    </row>
    <row r="608" spans="1:17">
      <c r="A608" s="56" t="s">
        <v>670</v>
      </c>
      <c r="B608" s="7" t="s">
        <v>561</v>
      </c>
      <c r="C608" s="7" t="s">
        <v>562</v>
      </c>
      <c r="D608" s="7" t="s">
        <v>10</v>
      </c>
      <c r="E608" s="7" t="s">
        <v>659</v>
      </c>
      <c r="F608" s="7" t="s">
        <v>419</v>
      </c>
      <c r="G608" s="7" t="s">
        <v>444</v>
      </c>
      <c r="H608" s="7" t="s">
        <v>444</v>
      </c>
      <c r="I608" s="5" t="s">
        <v>2012</v>
      </c>
      <c r="K608" s="5">
        <f>SUMIF(BC!$E$6:$E$347,$A608,BC!$K$6:$K$347)</f>
        <v>0</v>
      </c>
      <c r="L608" s="5" t="e">
        <f>SUMIF(#REF!,$A608,#REF!)+SUMIF(#REF!,$A608,#REF!)</f>
        <v>#REF!</v>
      </c>
      <c r="M608" s="5" t="e">
        <f>SUMIF(#REF!,Casilleros!$A608,#REF!)+SUMIF(#REF!,Casilleros!$A608,#REF!)+SUMIF(#REF!,$A608,#REF!)</f>
        <v>#REF!</v>
      </c>
      <c r="N608" s="5" t="e">
        <f>SUMIF(#REF!,$A608,#REF!)</f>
        <v>#REF!</v>
      </c>
      <c r="O608" s="5" t="e">
        <f>SUMIF(#REF!,$A608,#REF!)+SUMIF(#REF!,$A608,#REF!)</f>
        <v>#REF!</v>
      </c>
      <c r="P608" s="5">
        <f>IFERROR(VLOOKUP($A608,#REF!,2,FALSE),0)</f>
        <v>0</v>
      </c>
      <c r="Q608" s="42" t="e">
        <f t="shared" si="10"/>
        <v>#REF!</v>
      </c>
    </row>
    <row r="609" spans="1:17">
      <c r="A609" s="56" t="s">
        <v>672</v>
      </c>
      <c r="B609" s="7" t="s">
        <v>561</v>
      </c>
      <c r="C609" s="7" t="s">
        <v>562</v>
      </c>
      <c r="D609" s="7" t="s">
        <v>10</v>
      </c>
      <c r="E609" s="7" t="s">
        <v>659</v>
      </c>
      <c r="F609" s="7" t="s">
        <v>421</v>
      </c>
      <c r="G609" s="7" t="s">
        <v>444</v>
      </c>
      <c r="H609" s="7" t="s">
        <v>444</v>
      </c>
      <c r="I609" s="5" t="s">
        <v>2013</v>
      </c>
      <c r="K609" s="5">
        <f>SUMIF(BC!$E$6:$E$347,$A609,BC!$K$6:$K$347)</f>
        <v>0</v>
      </c>
      <c r="L609" s="5" t="e">
        <f>SUMIF(#REF!,$A609,#REF!)+SUMIF(#REF!,$A609,#REF!)</f>
        <v>#REF!</v>
      </c>
      <c r="M609" s="5" t="e">
        <f>SUMIF(#REF!,Casilleros!$A609,#REF!)+SUMIF(#REF!,Casilleros!$A609,#REF!)+SUMIF(#REF!,$A609,#REF!)</f>
        <v>#REF!</v>
      </c>
      <c r="N609" s="5" t="e">
        <f>SUMIF(#REF!,$A609,#REF!)</f>
        <v>#REF!</v>
      </c>
      <c r="O609" s="5" t="e">
        <f>SUMIF(#REF!,$A609,#REF!)+SUMIF(#REF!,$A609,#REF!)</f>
        <v>#REF!</v>
      </c>
      <c r="P609" s="5">
        <f>IFERROR(VLOOKUP($A609,#REF!,2,FALSE),0)</f>
        <v>0</v>
      </c>
      <c r="Q609" s="42" t="e">
        <f t="shared" si="10"/>
        <v>#REF!</v>
      </c>
    </row>
    <row r="610" spans="1:17">
      <c r="A610" s="56" t="s">
        <v>674</v>
      </c>
      <c r="B610" s="7" t="s">
        <v>561</v>
      </c>
      <c r="C610" s="7" t="s">
        <v>562</v>
      </c>
      <c r="D610" s="7" t="s">
        <v>10</v>
      </c>
      <c r="E610" s="7" t="s">
        <v>659</v>
      </c>
      <c r="F610" s="7" t="s">
        <v>423</v>
      </c>
      <c r="G610" s="7" t="s">
        <v>444</v>
      </c>
      <c r="H610" s="7" t="s">
        <v>444</v>
      </c>
      <c r="I610" s="5" t="s">
        <v>2014</v>
      </c>
      <c r="K610" s="5">
        <f>SUMIF(BC!$E$6:$E$347,$A610,BC!$K$6:$K$347)</f>
        <v>0</v>
      </c>
      <c r="L610" s="5" t="e">
        <f>SUMIF(#REF!,$A610,#REF!)+SUMIF(#REF!,$A610,#REF!)</f>
        <v>#REF!</v>
      </c>
      <c r="M610" s="5" t="e">
        <f>SUMIF(#REF!,Casilleros!$A610,#REF!)+SUMIF(#REF!,Casilleros!$A610,#REF!)+SUMIF(#REF!,$A610,#REF!)</f>
        <v>#REF!</v>
      </c>
      <c r="N610" s="5" t="e">
        <f>SUMIF(#REF!,$A610,#REF!)</f>
        <v>#REF!</v>
      </c>
      <c r="O610" s="5" t="e">
        <f>SUMIF(#REF!,$A610,#REF!)+SUMIF(#REF!,$A610,#REF!)</f>
        <v>#REF!</v>
      </c>
      <c r="P610" s="5">
        <f>IFERROR(VLOOKUP($A610,#REF!,2,FALSE),0)</f>
        <v>0</v>
      </c>
      <c r="Q610" s="42" t="e">
        <f t="shared" si="10"/>
        <v>#REF!</v>
      </c>
    </row>
    <row r="611" spans="1:17">
      <c r="A611" s="56" t="s">
        <v>676</v>
      </c>
      <c r="B611" s="7" t="s">
        <v>561</v>
      </c>
      <c r="C611" s="7" t="s">
        <v>562</v>
      </c>
      <c r="D611" s="7" t="s">
        <v>10</v>
      </c>
      <c r="E611" s="7" t="s">
        <v>659</v>
      </c>
      <c r="F611" s="7" t="s">
        <v>425</v>
      </c>
      <c r="G611" s="7" t="s">
        <v>444</v>
      </c>
      <c r="H611" s="7" t="s">
        <v>444</v>
      </c>
      <c r="I611" s="5" t="s">
        <v>2015</v>
      </c>
      <c r="K611" s="5">
        <f>SUMIF(BC!$E$6:$E$347,$A611,BC!$K$6:$K$347)</f>
        <v>0</v>
      </c>
      <c r="L611" s="5" t="e">
        <f>SUMIF(#REF!,$A611,#REF!)+SUMIF(#REF!,$A611,#REF!)</f>
        <v>#REF!</v>
      </c>
      <c r="M611" s="5" t="e">
        <f>SUMIF(#REF!,Casilleros!$A611,#REF!)+SUMIF(#REF!,Casilleros!$A611,#REF!)+SUMIF(#REF!,$A611,#REF!)</f>
        <v>#REF!</v>
      </c>
      <c r="N611" s="5" t="e">
        <f>SUMIF(#REF!,$A611,#REF!)</f>
        <v>#REF!</v>
      </c>
      <c r="O611" s="5" t="e">
        <f>SUMIF(#REF!,$A611,#REF!)+SUMIF(#REF!,$A611,#REF!)</f>
        <v>#REF!</v>
      </c>
      <c r="P611" s="5">
        <f>IFERROR(VLOOKUP($A611,#REF!,2,FALSE),0)</f>
        <v>0</v>
      </c>
      <c r="Q611" s="42" t="e">
        <f t="shared" si="10"/>
        <v>#REF!</v>
      </c>
    </row>
    <row r="612" spans="1:17">
      <c r="A612" s="56" t="s">
        <v>680</v>
      </c>
      <c r="B612" s="7" t="s">
        <v>561</v>
      </c>
      <c r="C612" s="7" t="s">
        <v>562</v>
      </c>
      <c r="D612" s="7" t="s">
        <v>10</v>
      </c>
      <c r="E612" s="7" t="s">
        <v>677</v>
      </c>
      <c r="F612" s="7" t="s">
        <v>678</v>
      </c>
      <c r="G612" s="7" t="s">
        <v>444</v>
      </c>
      <c r="H612" s="7" t="s">
        <v>444</v>
      </c>
      <c r="I612" s="5" t="s">
        <v>2016</v>
      </c>
      <c r="K612" s="5">
        <f>SUMIF(BC!$E$6:$E$347,$A612,BC!$K$6:$K$347)</f>
        <v>0</v>
      </c>
      <c r="L612" s="5" t="e">
        <f>SUMIF(#REF!,$A612,#REF!)+SUMIF(#REF!,$A612,#REF!)</f>
        <v>#REF!</v>
      </c>
      <c r="M612" s="5" t="e">
        <f>SUMIF(#REF!,Casilleros!$A612,#REF!)+SUMIF(#REF!,Casilleros!$A612,#REF!)+SUMIF(#REF!,$A612,#REF!)</f>
        <v>#REF!</v>
      </c>
      <c r="N612" s="5" t="e">
        <f>SUMIF(#REF!,$A612,#REF!)</f>
        <v>#REF!</v>
      </c>
      <c r="O612" s="5" t="e">
        <f>SUMIF(#REF!,$A612,#REF!)+SUMIF(#REF!,$A612,#REF!)</f>
        <v>#REF!</v>
      </c>
      <c r="P612" s="5">
        <f>IFERROR(VLOOKUP($A612,#REF!,2,FALSE),0)</f>
        <v>0</v>
      </c>
      <c r="Q612" s="42" t="e">
        <f t="shared" si="10"/>
        <v>#REF!</v>
      </c>
    </row>
    <row r="613" spans="1:17">
      <c r="A613" s="56" t="s">
        <v>682</v>
      </c>
      <c r="B613" s="7" t="s">
        <v>561</v>
      </c>
      <c r="C613" s="7" t="s">
        <v>562</v>
      </c>
      <c r="D613" s="7" t="s">
        <v>10</v>
      </c>
      <c r="E613" s="7" t="s">
        <v>677</v>
      </c>
      <c r="F613" s="7" t="s">
        <v>122</v>
      </c>
      <c r="G613" s="7" t="s">
        <v>444</v>
      </c>
      <c r="H613" s="7" t="s">
        <v>444</v>
      </c>
      <c r="I613" s="5" t="s">
        <v>2017</v>
      </c>
      <c r="K613" s="5">
        <f>SUMIF(BC!$E$6:$E$347,$A613,BC!$K$6:$K$347)</f>
        <v>0</v>
      </c>
      <c r="L613" s="5" t="e">
        <f>SUMIF(#REF!,$A613,#REF!)+SUMIF(#REF!,$A613,#REF!)</f>
        <v>#REF!</v>
      </c>
      <c r="M613" s="5" t="e">
        <f>SUMIF(#REF!,Casilleros!$A613,#REF!)+SUMIF(#REF!,Casilleros!$A613,#REF!)+SUMIF(#REF!,$A613,#REF!)</f>
        <v>#REF!</v>
      </c>
      <c r="N613" s="5" t="e">
        <f>SUMIF(#REF!,$A613,#REF!)</f>
        <v>#REF!</v>
      </c>
      <c r="O613" s="5" t="e">
        <f>SUMIF(#REF!,$A613,#REF!)+SUMIF(#REF!,$A613,#REF!)</f>
        <v>#REF!</v>
      </c>
      <c r="P613" s="5">
        <f>IFERROR(VLOOKUP($A613,#REF!,2,FALSE),0)</f>
        <v>0</v>
      </c>
      <c r="Q613" s="42" t="e">
        <f t="shared" si="10"/>
        <v>#REF!</v>
      </c>
    </row>
    <row r="614" spans="1:17">
      <c r="A614" s="56" t="s">
        <v>686</v>
      </c>
      <c r="B614" s="7" t="s">
        <v>561</v>
      </c>
      <c r="C614" s="7" t="s">
        <v>562</v>
      </c>
      <c r="D614" s="7" t="s">
        <v>10</v>
      </c>
      <c r="E614" s="7" t="s">
        <v>683</v>
      </c>
      <c r="F614" s="7" t="s">
        <v>684</v>
      </c>
      <c r="G614" s="7" t="s">
        <v>444</v>
      </c>
      <c r="H614" s="7" t="s">
        <v>444</v>
      </c>
      <c r="I614" s="5" t="s">
        <v>2018</v>
      </c>
      <c r="K614" s="5">
        <f>SUMIF(BC!$E$6:$E$347,$A614,BC!$K$6:$K$347)</f>
        <v>0</v>
      </c>
      <c r="L614" s="5" t="e">
        <f>SUMIF(#REF!,$A614,#REF!)+SUMIF(#REF!,$A614,#REF!)</f>
        <v>#REF!</v>
      </c>
      <c r="M614" s="5" t="e">
        <f>SUMIF(#REF!,Casilleros!$A614,#REF!)+SUMIF(#REF!,Casilleros!$A614,#REF!)+SUMIF(#REF!,$A614,#REF!)</f>
        <v>#REF!</v>
      </c>
      <c r="N614" s="5" t="e">
        <f>SUMIF(#REF!,$A614,#REF!)</f>
        <v>#REF!</v>
      </c>
      <c r="O614" s="5" t="e">
        <f>SUMIF(#REF!,$A614,#REF!)+SUMIF(#REF!,$A614,#REF!)</f>
        <v>#REF!</v>
      </c>
      <c r="P614" s="5">
        <f>IFERROR(VLOOKUP($A614,#REF!,2,FALSE),0)</f>
        <v>0</v>
      </c>
      <c r="Q614" s="42" t="e">
        <f t="shared" si="10"/>
        <v>#REF!</v>
      </c>
    </row>
    <row r="615" spans="1:17">
      <c r="A615" s="56" t="s">
        <v>689</v>
      </c>
      <c r="B615" s="7" t="s">
        <v>561</v>
      </c>
      <c r="C615" s="7" t="s">
        <v>562</v>
      </c>
      <c r="D615" s="7" t="s">
        <v>10</v>
      </c>
      <c r="E615" s="7" t="s">
        <v>683</v>
      </c>
      <c r="F615" s="7" t="s">
        <v>687</v>
      </c>
      <c r="G615" s="7" t="s">
        <v>444</v>
      </c>
      <c r="H615" s="7" t="s">
        <v>444</v>
      </c>
      <c r="I615" s="5" t="s">
        <v>2019</v>
      </c>
      <c r="K615" s="5">
        <f>SUMIF(BC!$E$6:$E$347,$A615,BC!$K$6:$K$347)</f>
        <v>0</v>
      </c>
      <c r="L615" s="5" t="e">
        <f>SUMIF(#REF!,$A615,#REF!)+SUMIF(#REF!,$A615,#REF!)</f>
        <v>#REF!</v>
      </c>
      <c r="M615" s="5" t="e">
        <f>SUMIF(#REF!,Casilleros!$A615,#REF!)+SUMIF(#REF!,Casilleros!$A615,#REF!)+SUMIF(#REF!,$A615,#REF!)</f>
        <v>#REF!</v>
      </c>
      <c r="N615" s="5" t="e">
        <f>SUMIF(#REF!,$A615,#REF!)</f>
        <v>#REF!</v>
      </c>
      <c r="O615" s="5" t="e">
        <f>SUMIF(#REF!,$A615,#REF!)+SUMIF(#REF!,$A615,#REF!)</f>
        <v>#REF!</v>
      </c>
      <c r="P615" s="5">
        <f>IFERROR(VLOOKUP($A615,#REF!,2,FALSE),0)</f>
        <v>0</v>
      </c>
      <c r="Q615" s="42" t="e">
        <f t="shared" si="10"/>
        <v>#REF!</v>
      </c>
    </row>
    <row r="616" spans="1:17">
      <c r="A616" s="56" t="s">
        <v>691</v>
      </c>
      <c r="B616" s="7" t="s">
        <v>561</v>
      </c>
      <c r="C616" s="7" t="s">
        <v>562</v>
      </c>
      <c r="D616" s="7" t="s">
        <v>10</v>
      </c>
      <c r="E616" s="7" t="s">
        <v>683</v>
      </c>
      <c r="F616" s="7" t="s">
        <v>26</v>
      </c>
      <c r="G616" s="7" t="s">
        <v>444</v>
      </c>
      <c r="H616" s="7" t="s">
        <v>444</v>
      </c>
      <c r="I616" s="5" t="s">
        <v>2020</v>
      </c>
      <c r="K616" s="5">
        <f>SUMIF(BC!$E$6:$E$347,$A616,BC!$K$6:$K$347)</f>
        <v>0</v>
      </c>
      <c r="L616" s="5" t="e">
        <f>SUMIF(#REF!,$A616,#REF!)+SUMIF(#REF!,$A616,#REF!)</f>
        <v>#REF!</v>
      </c>
      <c r="M616" s="5" t="e">
        <f>SUMIF(#REF!,Casilleros!$A616,#REF!)+SUMIF(#REF!,Casilleros!$A616,#REF!)+SUMIF(#REF!,$A616,#REF!)</f>
        <v>#REF!</v>
      </c>
      <c r="N616" s="5" t="e">
        <f>SUMIF(#REF!,$A616,#REF!)</f>
        <v>#REF!</v>
      </c>
      <c r="O616" s="5" t="e">
        <f>SUMIF(#REF!,$A616,#REF!)+SUMIF(#REF!,$A616,#REF!)</f>
        <v>#REF!</v>
      </c>
      <c r="P616" s="5">
        <f>IFERROR(VLOOKUP($A616,#REF!,2,FALSE),0)</f>
        <v>0</v>
      </c>
      <c r="Q616" s="42" t="e">
        <f t="shared" si="10"/>
        <v>#REF!</v>
      </c>
    </row>
    <row r="617" spans="1:17">
      <c r="A617" s="56" t="s">
        <v>695</v>
      </c>
      <c r="B617" s="7" t="s">
        <v>561</v>
      </c>
      <c r="C617" s="7" t="s">
        <v>562</v>
      </c>
      <c r="D617" s="7" t="s">
        <v>10</v>
      </c>
      <c r="E617" s="7" t="s">
        <v>692</v>
      </c>
      <c r="F617" s="7" t="s">
        <v>693</v>
      </c>
      <c r="G617" s="7" t="s">
        <v>444</v>
      </c>
      <c r="H617" s="7" t="s">
        <v>444</v>
      </c>
      <c r="I617" s="5" t="s">
        <v>2021</v>
      </c>
      <c r="K617" s="5">
        <f>SUMIF(BC!$E$6:$E$347,$A617,BC!$K$6:$K$347)</f>
        <v>0</v>
      </c>
      <c r="L617" s="5" t="e">
        <f>SUMIF(#REF!,$A617,#REF!)+SUMIF(#REF!,$A617,#REF!)</f>
        <v>#REF!</v>
      </c>
      <c r="M617" s="5" t="e">
        <f>SUMIF(#REF!,Casilleros!$A617,#REF!)+SUMIF(#REF!,Casilleros!$A617,#REF!)+SUMIF(#REF!,$A617,#REF!)</f>
        <v>#REF!</v>
      </c>
      <c r="N617" s="5" t="e">
        <f>SUMIF(#REF!,$A617,#REF!)</f>
        <v>#REF!</v>
      </c>
      <c r="O617" s="5" t="e">
        <f>SUMIF(#REF!,$A617,#REF!)+SUMIF(#REF!,$A617,#REF!)</f>
        <v>#REF!</v>
      </c>
      <c r="P617" s="5">
        <f>IFERROR(VLOOKUP($A617,#REF!,2,FALSE),0)</f>
        <v>0</v>
      </c>
      <c r="Q617" s="42" t="e">
        <f t="shared" si="10"/>
        <v>#REF!</v>
      </c>
    </row>
    <row r="618" spans="1:17">
      <c r="A618" s="56" t="s">
        <v>697</v>
      </c>
      <c r="B618" s="7" t="s">
        <v>561</v>
      </c>
      <c r="C618" s="7" t="s">
        <v>562</v>
      </c>
      <c r="D618" s="7" t="s">
        <v>10</v>
      </c>
      <c r="E618" s="7" t="s">
        <v>692</v>
      </c>
      <c r="F618" s="7" t="s">
        <v>122</v>
      </c>
      <c r="G618" s="7" t="s">
        <v>444</v>
      </c>
      <c r="H618" s="7" t="s">
        <v>444</v>
      </c>
      <c r="I618" s="5" t="s">
        <v>2022</v>
      </c>
      <c r="K618" s="5">
        <f>SUMIF(BC!$E$6:$E$347,$A618,BC!$K$6:$K$347)</f>
        <v>0</v>
      </c>
      <c r="L618" s="5" t="e">
        <f>SUMIF(#REF!,$A618,#REF!)+SUMIF(#REF!,$A618,#REF!)</f>
        <v>#REF!</v>
      </c>
      <c r="M618" s="5" t="e">
        <f>SUMIF(#REF!,Casilleros!$A618,#REF!)+SUMIF(#REF!,Casilleros!$A618,#REF!)+SUMIF(#REF!,$A618,#REF!)</f>
        <v>#REF!</v>
      </c>
      <c r="N618" s="5" t="e">
        <f>SUMIF(#REF!,$A618,#REF!)</f>
        <v>#REF!</v>
      </c>
      <c r="O618" s="5" t="e">
        <f>SUMIF(#REF!,$A618,#REF!)+SUMIF(#REF!,$A618,#REF!)</f>
        <v>#REF!</v>
      </c>
      <c r="P618" s="5">
        <f>IFERROR(VLOOKUP($A618,#REF!,2,FALSE),0)</f>
        <v>0</v>
      </c>
      <c r="Q618" s="42" t="e">
        <f t="shared" si="10"/>
        <v>#REF!</v>
      </c>
    </row>
    <row r="619" spans="1:17">
      <c r="A619" s="56" t="s">
        <v>700</v>
      </c>
      <c r="B619" s="7" t="s">
        <v>561</v>
      </c>
      <c r="C619" s="7" t="s">
        <v>562</v>
      </c>
      <c r="D619" s="7" t="s">
        <v>10</v>
      </c>
      <c r="E619" s="7" t="s">
        <v>698</v>
      </c>
      <c r="F619" s="7" t="s">
        <v>444</v>
      </c>
      <c r="G619" s="7" t="s">
        <v>444</v>
      </c>
      <c r="H619" s="7" t="s">
        <v>444</v>
      </c>
      <c r="I619" s="5" t="s">
        <v>2023</v>
      </c>
      <c r="K619" s="5">
        <f>SUMIF(BC!$E$6:$E$347,$A619,BC!$K$6:$K$347)</f>
        <v>0</v>
      </c>
      <c r="L619" s="5" t="e">
        <f>SUMIF(#REF!,$A619,#REF!)+SUMIF(#REF!,$A619,#REF!)</f>
        <v>#REF!</v>
      </c>
      <c r="M619" s="5" t="e">
        <f>SUMIF(#REF!,Casilleros!$A619,#REF!)+SUMIF(#REF!,Casilleros!$A619,#REF!)+SUMIF(#REF!,$A619,#REF!)</f>
        <v>#REF!</v>
      </c>
      <c r="N619" s="5" t="e">
        <f>SUMIF(#REF!,$A619,#REF!)</f>
        <v>#REF!</v>
      </c>
      <c r="O619" s="5" t="e">
        <f>SUMIF(#REF!,$A619,#REF!)+SUMIF(#REF!,$A619,#REF!)</f>
        <v>#REF!</v>
      </c>
      <c r="P619" s="5">
        <f>IFERROR(VLOOKUP($A619,#REF!,2,FALSE),0)</f>
        <v>0</v>
      </c>
      <c r="Q619" s="42" t="e">
        <f t="shared" si="10"/>
        <v>#REF!</v>
      </c>
    </row>
    <row r="620" spans="1:17">
      <c r="A620" s="56" t="s">
        <v>702</v>
      </c>
      <c r="B620" s="7" t="s">
        <v>561</v>
      </c>
      <c r="C620" s="7" t="s">
        <v>562</v>
      </c>
      <c r="D620" s="7" t="s">
        <v>10</v>
      </c>
      <c r="E620" s="7" t="s">
        <v>122</v>
      </c>
      <c r="F620" s="7" t="s">
        <v>444</v>
      </c>
      <c r="G620" s="7" t="s">
        <v>444</v>
      </c>
      <c r="H620" s="7" t="s">
        <v>444</v>
      </c>
      <c r="I620" s="5" t="s">
        <v>2024</v>
      </c>
      <c r="K620" s="5">
        <f>SUMIF(BC!$E$6:$E$347,$A620,BC!$K$6:$K$347)</f>
        <v>0</v>
      </c>
      <c r="L620" s="5" t="e">
        <f>SUMIF(#REF!,$A620,#REF!)+SUMIF(#REF!,$A620,#REF!)</f>
        <v>#REF!</v>
      </c>
      <c r="M620" s="5" t="e">
        <f>SUMIF(#REF!,Casilleros!$A620,#REF!)+SUMIF(#REF!,Casilleros!$A620,#REF!)+SUMIF(#REF!,$A620,#REF!)</f>
        <v>#REF!</v>
      </c>
      <c r="N620" s="5" t="e">
        <f>SUMIF(#REF!,$A620,#REF!)</f>
        <v>#REF!</v>
      </c>
      <c r="O620" s="5" t="e">
        <f>SUMIF(#REF!,$A620,#REF!)+SUMIF(#REF!,$A620,#REF!)</f>
        <v>#REF!</v>
      </c>
      <c r="P620" s="5">
        <f>IFERROR(VLOOKUP($A620,#REF!,2,FALSE),0)</f>
        <v>0</v>
      </c>
      <c r="Q620" s="42" t="e">
        <f t="shared" si="10"/>
        <v>#REF!</v>
      </c>
    </row>
    <row r="621" spans="1:17">
      <c r="A621" s="56" t="s">
        <v>707</v>
      </c>
      <c r="B621" s="7" t="s">
        <v>561</v>
      </c>
      <c r="C621" s="7" t="s">
        <v>562</v>
      </c>
      <c r="D621" s="7" t="s">
        <v>703</v>
      </c>
      <c r="E621" s="7" t="s">
        <v>704</v>
      </c>
      <c r="F621" s="7" t="s">
        <v>705</v>
      </c>
      <c r="G621" s="7" t="s">
        <v>72</v>
      </c>
      <c r="H621" s="7" t="s">
        <v>25</v>
      </c>
      <c r="I621" s="5" t="s">
        <v>2025</v>
      </c>
      <c r="K621" s="5">
        <f>SUMIF(BC!$E$6:$E$347,$A621,BC!$K$6:$K$347)</f>
        <v>0</v>
      </c>
      <c r="L621" s="5" t="e">
        <f>SUMIF(#REF!,$A621,#REF!)+SUMIF(#REF!,$A621,#REF!)</f>
        <v>#REF!</v>
      </c>
      <c r="M621" s="5" t="e">
        <f>SUMIF(#REF!,Casilleros!$A621,#REF!)+SUMIF(#REF!,Casilleros!$A621,#REF!)+SUMIF(#REF!,$A621,#REF!)</f>
        <v>#REF!</v>
      </c>
      <c r="N621" s="5" t="e">
        <f>SUMIF(#REF!,$A621,#REF!)</f>
        <v>#REF!</v>
      </c>
      <c r="O621" s="5" t="e">
        <f>SUMIF(#REF!,$A621,#REF!)+SUMIF(#REF!,$A621,#REF!)</f>
        <v>#REF!</v>
      </c>
      <c r="P621" s="5">
        <f>IFERROR(VLOOKUP($A621,#REF!,2,FALSE),0)</f>
        <v>0</v>
      </c>
      <c r="Q621" s="42" t="e">
        <f t="shared" si="10"/>
        <v>#REF!</v>
      </c>
    </row>
    <row r="622" spans="1:17">
      <c r="A622" s="56" t="s">
        <v>709</v>
      </c>
      <c r="B622" s="7" t="s">
        <v>561</v>
      </c>
      <c r="C622" s="7" t="s">
        <v>562</v>
      </c>
      <c r="D622" s="7" t="s">
        <v>703</v>
      </c>
      <c r="E622" s="7" t="s">
        <v>704</v>
      </c>
      <c r="F622" s="7" t="s">
        <v>705</v>
      </c>
      <c r="G622" s="7" t="s">
        <v>72</v>
      </c>
      <c r="H622" s="7" t="s">
        <v>26</v>
      </c>
      <c r="I622" s="5" t="s">
        <v>2026</v>
      </c>
      <c r="K622" s="5">
        <f>SUMIF(BC!$E$6:$E$347,$A622,BC!$K$6:$K$347)</f>
        <v>0</v>
      </c>
      <c r="L622" s="5" t="e">
        <f>SUMIF(#REF!,$A622,#REF!)+SUMIF(#REF!,$A622,#REF!)</f>
        <v>#REF!</v>
      </c>
      <c r="M622" s="5" t="e">
        <f>SUMIF(#REF!,Casilleros!$A622,#REF!)+SUMIF(#REF!,Casilleros!$A622,#REF!)+SUMIF(#REF!,$A622,#REF!)</f>
        <v>#REF!</v>
      </c>
      <c r="N622" s="5" t="e">
        <f>SUMIF(#REF!,$A622,#REF!)</f>
        <v>#REF!</v>
      </c>
      <c r="O622" s="5" t="e">
        <f>SUMIF(#REF!,$A622,#REF!)+SUMIF(#REF!,$A622,#REF!)</f>
        <v>#REF!</v>
      </c>
      <c r="P622" s="5">
        <f>IFERROR(VLOOKUP($A622,#REF!,2,FALSE),0)</f>
        <v>0</v>
      </c>
      <c r="Q622" s="42" t="e">
        <f t="shared" si="10"/>
        <v>#REF!</v>
      </c>
    </row>
    <row r="623" spans="1:17">
      <c r="A623" s="56" t="s">
        <v>711</v>
      </c>
      <c r="B623" s="7" t="s">
        <v>561</v>
      </c>
      <c r="C623" s="7" t="s">
        <v>562</v>
      </c>
      <c r="D623" s="7" t="s">
        <v>703</v>
      </c>
      <c r="E623" s="7" t="s">
        <v>704</v>
      </c>
      <c r="F623" s="7" t="s">
        <v>705</v>
      </c>
      <c r="G623" s="7" t="s">
        <v>78</v>
      </c>
      <c r="H623" s="7" t="s">
        <v>25</v>
      </c>
      <c r="I623" s="5" t="s">
        <v>2027</v>
      </c>
      <c r="K623" s="5">
        <f>SUMIF(BC!$E$6:$E$347,$A623,BC!$K$6:$K$347)</f>
        <v>0</v>
      </c>
      <c r="L623" s="5" t="e">
        <f>SUMIF(#REF!,$A623,#REF!)+SUMIF(#REF!,$A623,#REF!)</f>
        <v>#REF!</v>
      </c>
      <c r="M623" s="5" t="e">
        <f>SUMIF(#REF!,Casilleros!$A623,#REF!)+SUMIF(#REF!,Casilleros!$A623,#REF!)+SUMIF(#REF!,$A623,#REF!)</f>
        <v>#REF!</v>
      </c>
      <c r="N623" s="5" t="e">
        <f>SUMIF(#REF!,$A623,#REF!)</f>
        <v>#REF!</v>
      </c>
      <c r="O623" s="5" t="e">
        <f>SUMIF(#REF!,$A623,#REF!)+SUMIF(#REF!,$A623,#REF!)</f>
        <v>#REF!</v>
      </c>
      <c r="P623" s="5">
        <f>IFERROR(VLOOKUP($A623,#REF!,2,FALSE),0)</f>
        <v>0</v>
      </c>
      <c r="Q623" s="42" t="e">
        <f t="shared" si="10"/>
        <v>#REF!</v>
      </c>
    </row>
    <row r="624" spans="1:17">
      <c r="A624" s="56" t="s">
        <v>713</v>
      </c>
      <c r="B624" s="7" t="s">
        <v>561</v>
      </c>
      <c r="C624" s="7" t="s">
        <v>562</v>
      </c>
      <c r="D624" s="7" t="s">
        <v>703</v>
      </c>
      <c r="E624" s="7" t="s">
        <v>704</v>
      </c>
      <c r="F624" s="7" t="s">
        <v>705</v>
      </c>
      <c r="G624" s="7" t="s">
        <v>78</v>
      </c>
      <c r="H624" s="7" t="s">
        <v>26</v>
      </c>
      <c r="I624" s="5" t="s">
        <v>2028</v>
      </c>
      <c r="K624" s="5">
        <f>SUMIF(BC!$E$6:$E$347,$A624,BC!$K$6:$K$347)</f>
        <v>0</v>
      </c>
      <c r="L624" s="5" t="e">
        <f>SUMIF(#REF!,$A624,#REF!)+SUMIF(#REF!,$A624,#REF!)</f>
        <v>#REF!</v>
      </c>
      <c r="M624" s="5" t="e">
        <f>SUMIF(#REF!,Casilleros!$A624,#REF!)+SUMIF(#REF!,Casilleros!$A624,#REF!)+SUMIF(#REF!,$A624,#REF!)</f>
        <v>#REF!</v>
      </c>
      <c r="N624" s="5" t="e">
        <f>SUMIF(#REF!,$A624,#REF!)</f>
        <v>#REF!</v>
      </c>
      <c r="O624" s="5" t="e">
        <f>SUMIF(#REF!,$A624,#REF!)+SUMIF(#REF!,$A624,#REF!)</f>
        <v>#REF!</v>
      </c>
      <c r="P624" s="5">
        <f>IFERROR(VLOOKUP($A624,#REF!,2,FALSE),0)</f>
        <v>0</v>
      </c>
      <c r="Q624" s="42" t="e">
        <f t="shared" si="10"/>
        <v>#REF!</v>
      </c>
    </row>
    <row r="625" spans="1:17">
      <c r="A625" s="56" t="s">
        <v>716</v>
      </c>
      <c r="B625" s="7" t="s">
        <v>561</v>
      </c>
      <c r="C625" s="7" t="s">
        <v>562</v>
      </c>
      <c r="D625" s="7" t="s">
        <v>703</v>
      </c>
      <c r="E625" s="7" t="s">
        <v>704</v>
      </c>
      <c r="F625" s="7" t="s">
        <v>714</v>
      </c>
      <c r="G625" s="7" t="s">
        <v>72</v>
      </c>
      <c r="H625" s="7" t="s">
        <v>25</v>
      </c>
      <c r="I625" s="5" t="s">
        <v>2029</v>
      </c>
      <c r="K625" s="5">
        <f>SUMIF(BC!$E$6:$E$347,$A625,BC!$K$6:$K$347)</f>
        <v>0</v>
      </c>
      <c r="L625" s="5" t="e">
        <f>SUMIF(#REF!,$A625,#REF!)+SUMIF(#REF!,$A625,#REF!)</f>
        <v>#REF!</v>
      </c>
      <c r="M625" s="5" t="e">
        <f>SUMIF(#REF!,Casilleros!$A625,#REF!)+SUMIF(#REF!,Casilleros!$A625,#REF!)+SUMIF(#REF!,$A625,#REF!)</f>
        <v>#REF!</v>
      </c>
      <c r="N625" s="5" t="e">
        <f>SUMIF(#REF!,$A625,#REF!)</f>
        <v>#REF!</v>
      </c>
      <c r="O625" s="5" t="e">
        <f>SUMIF(#REF!,$A625,#REF!)+SUMIF(#REF!,$A625,#REF!)</f>
        <v>#REF!</v>
      </c>
      <c r="P625" s="5">
        <f>IFERROR(VLOOKUP($A625,#REF!,2,FALSE),0)</f>
        <v>0</v>
      </c>
      <c r="Q625" s="42" t="e">
        <f t="shared" si="10"/>
        <v>#REF!</v>
      </c>
    </row>
    <row r="626" spans="1:17">
      <c r="A626" s="56" t="s">
        <v>718</v>
      </c>
      <c r="B626" s="7" t="s">
        <v>561</v>
      </c>
      <c r="C626" s="7" t="s">
        <v>562</v>
      </c>
      <c r="D626" s="7" t="s">
        <v>703</v>
      </c>
      <c r="E626" s="7" t="s">
        <v>704</v>
      </c>
      <c r="F626" s="7" t="s">
        <v>714</v>
      </c>
      <c r="G626" s="7" t="s">
        <v>72</v>
      </c>
      <c r="H626" s="7" t="s">
        <v>26</v>
      </c>
      <c r="I626" s="5" t="s">
        <v>2030</v>
      </c>
      <c r="K626" s="5">
        <f>SUMIF(BC!$E$6:$E$347,$A626,BC!$K$6:$K$347)</f>
        <v>0</v>
      </c>
      <c r="L626" s="5" t="e">
        <f>SUMIF(#REF!,$A626,#REF!)+SUMIF(#REF!,$A626,#REF!)</f>
        <v>#REF!</v>
      </c>
      <c r="M626" s="5" t="e">
        <f>SUMIF(#REF!,Casilleros!$A626,#REF!)+SUMIF(#REF!,Casilleros!$A626,#REF!)+SUMIF(#REF!,$A626,#REF!)</f>
        <v>#REF!</v>
      </c>
      <c r="N626" s="5" t="e">
        <f>SUMIF(#REF!,$A626,#REF!)</f>
        <v>#REF!</v>
      </c>
      <c r="O626" s="5" t="e">
        <f>SUMIF(#REF!,$A626,#REF!)+SUMIF(#REF!,$A626,#REF!)</f>
        <v>#REF!</v>
      </c>
      <c r="P626" s="5">
        <f>IFERROR(VLOOKUP($A626,#REF!,2,FALSE),0)</f>
        <v>0</v>
      </c>
      <c r="Q626" s="42" t="e">
        <f t="shared" si="10"/>
        <v>#REF!</v>
      </c>
    </row>
    <row r="627" spans="1:17">
      <c r="A627" s="56" t="s">
        <v>720</v>
      </c>
      <c r="B627" s="7" t="s">
        <v>561</v>
      </c>
      <c r="C627" s="7" t="s">
        <v>562</v>
      </c>
      <c r="D627" s="7" t="s">
        <v>703</v>
      </c>
      <c r="E627" s="7" t="s">
        <v>704</v>
      </c>
      <c r="F627" s="7" t="s">
        <v>714</v>
      </c>
      <c r="G627" s="7" t="s">
        <v>78</v>
      </c>
      <c r="H627" s="7" t="s">
        <v>25</v>
      </c>
      <c r="I627" s="5" t="s">
        <v>2031</v>
      </c>
      <c r="K627" s="5">
        <f>SUMIF(BC!$E$6:$E$347,$A627,BC!$K$6:$K$347)</f>
        <v>0</v>
      </c>
      <c r="L627" s="5" t="e">
        <f>SUMIF(#REF!,$A627,#REF!)+SUMIF(#REF!,$A627,#REF!)</f>
        <v>#REF!</v>
      </c>
      <c r="M627" s="5" t="e">
        <f>SUMIF(#REF!,Casilleros!$A627,#REF!)+SUMIF(#REF!,Casilleros!$A627,#REF!)+SUMIF(#REF!,$A627,#REF!)</f>
        <v>#REF!</v>
      </c>
      <c r="N627" s="5" t="e">
        <f>SUMIF(#REF!,$A627,#REF!)</f>
        <v>#REF!</v>
      </c>
      <c r="O627" s="5" t="e">
        <f>SUMIF(#REF!,$A627,#REF!)+SUMIF(#REF!,$A627,#REF!)</f>
        <v>#REF!</v>
      </c>
      <c r="P627" s="5">
        <f>IFERROR(VLOOKUP($A627,#REF!,2,FALSE),0)</f>
        <v>0</v>
      </c>
      <c r="Q627" s="42" t="e">
        <f t="shared" si="10"/>
        <v>#REF!</v>
      </c>
    </row>
    <row r="628" spans="1:17">
      <c r="A628" s="56" t="s">
        <v>722</v>
      </c>
      <c r="B628" s="7" t="s">
        <v>561</v>
      </c>
      <c r="C628" s="7" t="s">
        <v>562</v>
      </c>
      <c r="D628" s="7" t="s">
        <v>703</v>
      </c>
      <c r="E628" s="7" t="s">
        <v>704</v>
      </c>
      <c r="F628" s="7" t="s">
        <v>714</v>
      </c>
      <c r="G628" s="7" t="s">
        <v>78</v>
      </c>
      <c r="H628" s="7" t="s">
        <v>26</v>
      </c>
      <c r="I628" s="5" t="s">
        <v>2032</v>
      </c>
      <c r="K628" s="5">
        <f>SUMIF(BC!$E$6:$E$347,$A628,BC!$K$6:$K$347)</f>
        <v>0</v>
      </c>
      <c r="L628" s="5" t="e">
        <f>SUMIF(#REF!,$A628,#REF!)+SUMIF(#REF!,$A628,#REF!)</f>
        <v>#REF!</v>
      </c>
      <c r="M628" s="5" t="e">
        <f>SUMIF(#REF!,Casilleros!$A628,#REF!)+SUMIF(#REF!,Casilleros!$A628,#REF!)+SUMIF(#REF!,$A628,#REF!)</f>
        <v>#REF!</v>
      </c>
      <c r="N628" s="5" t="e">
        <f>SUMIF(#REF!,$A628,#REF!)</f>
        <v>#REF!</v>
      </c>
      <c r="O628" s="5" t="e">
        <f>SUMIF(#REF!,$A628,#REF!)+SUMIF(#REF!,$A628,#REF!)</f>
        <v>#REF!</v>
      </c>
      <c r="P628" s="5">
        <f>IFERROR(VLOOKUP($A628,#REF!,2,FALSE),0)</f>
        <v>0</v>
      </c>
      <c r="Q628" s="42" t="e">
        <f t="shared" si="10"/>
        <v>#REF!</v>
      </c>
    </row>
    <row r="629" spans="1:17">
      <c r="A629" s="56" t="s">
        <v>725</v>
      </c>
      <c r="B629" s="7" t="s">
        <v>561</v>
      </c>
      <c r="C629" s="7" t="s">
        <v>562</v>
      </c>
      <c r="D629" s="7" t="s">
        <v>703</v>
      </c>
      <c r="E629" s="7" t="s">
        <v>704</v>
      </c>
      <c r="F629" s="7" t="s">
        <v>723</v>
      </c>
      <c r="G629" s="7" t="s">
        <v>72</v>
      </c>
      <c r="H629" s="7" t="s">
        <v>25</v>
      </c>
      <c r="I629" s="5" t="s">
        <v>2033</v>
      </c>
      <c r="K629" s="5">
        <f>SUMIF(BC!$E$6:$E$347,$A629,BC!$K$6:$K$347)</f>
        <v>0</v>
      </c>
      <c r="L629" s="5" t="e">
        <f>SUMIF(#REF!,$A629,#REF!)+SUMIF(#REF!,$A629,#REF!)</f>
        <v>#REF!</v>
      </c>
      <c r="M629" s="5" t="e">
        <f>SUMIF(#REF!,Casilleros!$A629,#REF!)+SUMIF(#REF!,Casilleros!$A629,#REF!)+SUMIF(#REF!,$A629,#REF!)</f>
        <v>#REF!</v>
      </c>
      <c r="N629" s="5" t="e">
        <f>SUMIF(#REF!,$A629,#REF!)</f>
        <v>#REF!</v>
      </c>
      <c r="O629" s="5" t="e">
        <f>SUMIF(#REF!,$A629,#REF!)+SUMIF(#REF!,$A629,#REF!)</f>
        <v>#REF!</v>
      </c>
      <c r="P629" s="5">
        <f>IFERROR(VLOOKUP($A629,#REF!,2,FALSE),0)</f>
        <v>0</v>
      </c>
      <c r="Q629" s="42" t="e">
        <f t="shared" si="10"/>
        <v>#REF!</v>
      </c>
    </row>
    <row r="630" spans="1:17">
      <c r="A630" s="56" t="s">
        <v>727</v>
      </c>
      <c r="B630" s="7" t="s">
        <v>561</v>
      </c>
      <c r="C630" s="7" t="s">
        <v>562</v>
      </c>
      <c r="D630" s="7" t="s">
        <v>703</v>
      </c>
      <c r="E630" s="7" t="s">
        <v>704</v>
      </c>
      <c r="F630" s="7" t="s">
        <v>723</v>
      </c>
      <c r="G630" s="7" t="s">
        <v>72</v>
      </c>
      <c r="H630" s="7" t="s">
        <v>26</v>
      </c>
      <c r="I630" s="5" t="s">
        <v>2034</v>
      </c>
      <c r="K630" s="5">
        <f>SUMIF(BC!$E$6:$E$347,$A630,BC!$K$6:$K$347)</f>
        <v>0</v>
      </c>
      <c r="L630" s="5" t="e">
        <f>SUMIF(#REF!,$A630,#REF!)+SUMIF(#REF!,$A630,#REF!)</f>
        <v>#REF!</v>
      </c>
      <c r="M630" s="5" t="e">
        <f>SUMIF(#REF!,Casilleros!$A630,#REF!)+SUMIF(#REF!,Casilleros!$A630,#REF!)+SUMIF(#REF!,$A630,#REF!)</f>
        <v>#REF!</v>
      </c>
      <c r="N630" s="5" t="e">
        <f>SUMIF(#REF!,$A630,#REF!)</f>
        <v>#REF!</v>
      </c>
      <c r="O630" s="5" t="e">
        <f>SUMIF(#REF!,$A630,#REF!)+SUMIF(#REF!,$A630,#REF!)</f>
        <v>#REF!</v>
      </c>
      <c r="P630" s="5">
        <f>IFERROR(VLOOKUP($A630,#REF!,2,FALSE),0)</f>
        <v>0</v>
      </c>
      <c r="Q630" s="42" t="e">
        <f t="shared" si="10"/>
        <v>#REF!</v>
      </c>
    </row>
    <row r="631" spans="1:17">
      <c r="A631" s="56" t="s">
        <v>729</v>
      </c>
      <c r="B631" s="7" t="s">
        <v>561</v>
      </c>
      <c r="C631" s="7" t="s">
        <v>562</v>
      </c>
      <c r="D631" s="7" t="s">
        <v>703</v>
      </c>
      <c r="E631" s="7" t="s">
        <v>704</v>
      </c>
      <c r="F631" s="7" t="s">
        <v>723</v>
      </c>
      <c r="G631" s="7" t="s">
        <v>78</v>
      </c>
      <c r="H631" s="7" t="s">
        <v>25</v>
      </c>
      <c r="I631" s="5" t="s">
        <v>2035</v>
      </c>
      <c r="K631" s="5">
        <f>SUMIF(BC!$E$6:$E$347,$A631,BC!$K$6:$K$347)</f>
        <v>0</v>
      </c>
      <c r="L631" s="5" t="e">
        <f>SUMIF(#REF!,$A631,#REF!)+SUMIF(#REF!,$A631,#REF!)</f>
        <v>#REF!</v>
      </c>
      <c r="M631" s="5" t="e">
        <f>SUMIF(#REF!,Casilleros!$A631,#REF!)+SUMIF(#REF!,Casilleros!$A631,#REF!)+SUMIF(#REF!,$A631,#REF!)</f>
        <v>#REF!</v>
      </c>
      <c r="N631" s="5" t="e">
        <f>SUMIF(#REF!,$A631,#REF!)</f>
        <v>#REF!</v>
      </c>
      <c r="O631" s="5" t="e">
        <f>SUMIF(#REF!,$A631,#REF!)+SUMIF(#REF!,$A631,#REF!)</f>
        <v>#REF!</v>
      </c>
      <c r="P631" s="5">
        <f>IFERROR(VLOOKUP($A631,#REF!,2,FALSE),0)</f>
        <v>0</v>
      </c>
      <c r="Q631" s="42" t="e">
        <f t="shared" si="10"/>
        <v>#REF!</v>
      </c>
    </row>
    <row r="632" spans="1:17">
      <c r="A632" s="56" t="s">
        <v>731</v>
      </c>
      <c r="B632" s="7" t="s">
        <v>561</v>
      </c>
      <c r="C632" s="7" t="s">
        <v>562</v>
      </c>
      <c r="D632" s="7" t="s">
        <v>703</v>
      </c>
      <c r="E632" s="7" t="s">
        <v>704</v>
      </c>
      <c r="F632" s="7" t="s">
        <v>723</v>
      </c>
      <c r="G632" s="7" t="s">
        <v>78</v>
      </c>
      <c r="H632" s="7" t="s">
        <v>26</v>
      </c>
      <c r="I632" s="5" t="s">
        <v>2036</v>
      </c>
      <c r="K632" s="5">
        <f>SUMIF(BC!$E$6:$E$347,$A632,BC!$K$6:$K$347)</f>
        <v>0</v>
      </c>
      <c r="L632" s="5" t="e">
        <f>SUMIF(#REF!,$A632,#REF!)+SUMIF(#REF!,$A632,#REF!)</f>
        <v>#REF!</v>
      </c>
      <c r="M632" s="5" t="e">
        <f>SUMIF(#REF!,Casilleros!$A632,#REF!)+SUMIF(#REF!,Casilleros!$A632,#REF!)+SUMIF(#REF!,$A632,#REF!)</f>
        <v>#REF!</v>
      </c>
      <c r="N632" s="5" t="e">
        <f>SUMIF(#REF!,$A632,#REF!)</f>
        <v>#REF!</v>
      </c>
      <c r="O632" s="5" t="e">
        <f>SUMIF(#REF!,$A632,#REF!)+SUMIF(#REF!,$A632,#REF!)</f>
        <v>#REF!</v>
      </c>
      <c r="P632" s="5">
        <f>IFERROR(VLOOKUP($A632,#REF!,2,FALSE),0)</f>
        <v>0</v>
      </c>
      <c r="Q632" s="42" t="e">
        <f t="shared" si="10"/>
        <v>#REF!</v>
      </c>
    </row>
    <row r="633" spans="1:17">
      <c r="A633" s="56" t="s">
        <v>734</v>
      </c>
      <c r="B633" s="7" t="s">
        <v>561</v>
      </c>
      <c r="C633" s="7" t="s">
        <v>562</v>
      </c>
      <c r="D633" s="7" t="s">
        <v>703</v>
      </c>
      <c r="E633" s="7" t="s">
        <v>704</v>
      </c>
      <c r="F633" s="7" t="s">
        <v>732</v>
      </c>
      <c r="G633" s="7" t="s">
        <v>72</v>
      </c>
      <c r="H633" s="7" t="s">
        <v>25</v>
      </c>
      <c r="I633" s="5" t="s">
        <v>2037</v>
      </c>
      <c r="K633" s="5">
        <f>SUMIF(BC!$E$6:$E$347,$A633,BC!$K$6:$K$347)</f>
        <v>0</v>
      </c>
      <c r="L633" s="5" t="e">
        <f>SUMIF(#REF!,$A633,#REF!)+SUMIF(#REF!,$A633,#REF!)</f>
        <v>#REF!</v>
      </c>
      <c r="M633" s="5" t="e">
        <f>SUMIF(#REF!,Casilleros!$A633,#REF!)+SUMIF(#REF!,Casilleros!$A633,#REF!)+SUMIF(#REF!,$A633,#REF!)</f>
        <v>#REF!</v>
      </c>
      <c r="N633" s="5" t="e">
        <f>SUMIF(#REF!,$A633,#REF!)</f>
        <v>#REF!</v>
      </c>
      <c r="O633" s="5" t="e">
        <f>SUMIF(#REF!,$A633,#REF!)+SUMIF(#REF!,$A633,#REF!)</f>
        <v>#REF!</v>
      </c>
      <c r="P633" s="5">
        <f>IFERROR(VLOOKUP($A633,#REF!,2,FALSE),0)</f>
        <v>0</v>
      </c>
      <c r="Q633" s="42" t="e">
        <f t="shared" si="10"/>
        <v>#REF!</v>
      </c>
    </row>
    <row r="634" spans="1:17">
      <c r="A634" s="56" t="s">
        <v>736</v>
      </c>
      <c r="B634" s="7" t="s">
        <v>561</v>
      </c>
      <c r="C634" s="7" t="s">
        <v>562</v>
      </c>
      <c r="D634" s="7" t="s">
        <v>703</v>
      </c>
      <c r="E634" s="7" t="s">
        <v>704</v>
      </c>
      <c r="F634" s="7" t="s">
        <v>732</v>
      </c>
      <c r="G634" s="7" t="s">
        <v>72</v>
      </c>
      <c r="H634" s="7" t="s">
        <v>26</v>
      </c>
      <c r="I634" s="5" t="s">
        <v>2038</v>
      </c>
      <c r="K634" s="5">
        <f>SUMIF(BC!$E$6:$E$347,$A634,BC!$K$6:$K$347)</f>
        <v>0</v>
      </c>
      <c r="L634" s="5" t="e">
        <f>SUMIF(#REF!,$A634,#REF!)+SUMIF(#REF!,$A634,#REF!)</f>
        <v>#REF!</v>
      </c>
      <c r="M634" s="5" t="e">
        <f>SUMIF(#REF!,Casilleros!$A634,#REF!)+SUMIF(#REF!,Casilleros!$A634,#REF!)+SUMIF(#REF!,$A634,#REF!)</f>
        <v>#REF!</v>
      </c>
      <c r="N634" s="5" t="e">
        <f>SUMIF(#REF!,$A634,#REF!)</f>
        <v>#REF!</v>
      </c>
      <c r="O634" s="5" t="e">
        <f>SUMIF(#REF!,$A634,#REF!)+SUMIF(#REF!,$A634,#REF!)</f>
        <v>#REF!</v>
      </c>
      <c r="P634" s="5">
        <f>IFERROR(VLOOKUP($A634,#REF!,2,FALSE),0)</f>
        <v>0</v>
      </c>
      <c r="Q634" s="42" t="e">
        <f t="shared" si="10"/>
        <v>#REF!</v>
      </c>
    </row>
    <row r="635" spans="1:17">
      <c r="A635" s="56" t="s">
        <v>738</v>
      </c>
      <c r="B635" s="7" t="s">
        <v>561</v>
      </c>
      <c r="C635" s="7" t="s">
        <v>562</v>
      </c>
      <c r="D635" s="7" t="s">
        <v>703</v>
      </c>
      <c r="E635" s="7" t="s">
        <v>704</v>
      </c>
      <c r="F635" s="7" t="s">
        <v>732</v>
      </c>
      <c r="G635" s="7" t="s">
        <v>78</v>
      </c>
      <c r="H635" s="7" t="s">
        <v>25</v>
      </c>
      <c r="I635" s="5" t="s">
        <v>2039</v>
      </c>
      <c r="K635" s="5">
        <f>SUMIF(BC!$E$6:$E$347,$A635,BC!$K$6:$K$347)</f>
        <v>0</v>
      </c>
      <c r="L635" s="5" t="e">
        <f>SUMIF(#REF!,$A635,#REF!)+SUMIF(#REF!,$A635,#REF!)</f>
        <v>#REF!</v>
      </c>
      <c r="M635" s="5" t="e">
        <f>SUMIF(#REF!,Casilleros!$A635,#REF!)+SUMIF(#REF!,Casilleros!$A635,#REF!)+SUMIF(#REF!,$A635,#REF!)</f>
        <v>#REF!</v>
      </c>
      <c r="N635" s="5" t="e">
        <f>SUMIF(#REF!,$A635,#REF!)</f>
        <v>#REF!</v>
      </c>
      <c r="O635" s="5" t="e">
        <f>SUMIF(#REF!,$A635,#REF!)+SUMIF(#REF!,$A635,#REF!)</f>
        <v>#REF!</v>
      </c>
      <c r="P635" s="5">
        <f>IFERROR(VLOOKUP($A635,#REF!,2,FALSE),0)</f>
        <v>0</v>
      </c>
      <c r="Q635" s="42" t="e">
        <f t="shared" si="10"/>
        <v>#REF!</v>
      </c>
    </row>
    <row r="636" spans="1:17">
      <c r="A636" s="56" t="s">
        <v>740</v>
      </c>
      <c r="B636" s="7" t="s">
        <v>561</v>
      </c>
      <c r="C636" s="7" t="s">
        <v>562</v>
      </c>
      <c r="D636" s="7" t="s">
        <v>703</v>
      </c>
      <c r="E636" s="7" t="s">
        <v>704</v>
      </c>
      <c r="F636" s="7" t="s">
        <v>732</v>
      </c>
      <c r="G636" s="7" t="s">
        <v>78</v>
      </c>
      <c r="H636" s="7" t="s">
        <v>26</v>
      </c>
      <c r="I636" s="5" t="s">
        <v>2040</v>
      </c>
      <c r="K636" s="5">
        <f>SUMIF(BC!$E$6:$E$347,$A636,BC!$K$6:$K$347)</f>
        <v>0</v>
      </c>
      <c r="L636" s="5" t="e">
        <f>SUMIF(#REF!,$A636,#REF!)+SUMIF(#REF!,$A636,#REF!)</f>
        <v>#REF!</v>
      </c>
      <c r="M636" s="5" t="e">
        <f>SUMIF(#REF!,Casilleros!$A636,#REF!)+SUMIF(#REF!,Casilleros!$A636,#REF!)+SUMIF(#REF!,$A636,#REF!)</f>
        <v>#REF!</v>
      </c>
      <c r="N636" s="5" t="e">
        <f>SUMIF(#REF!,$A636,#REF!)</f>
        <v>#REF!</v>
      </c>
      <c r="O636" s="5" t="e">
        <f>SUMIF(#REF!,$A636,#REF!)+SUMIF(#REF!,$A636,#REF!)</f>
        <v>#REF!</v>
      </c>
      <c r="P636" s="5">
        <f>IFERROR(VLOOKUP($A636,#REF!,2,FALSE),0)</f>
        <v>0</v>
      </c>
      <c r="Q636" s="42" t="e">
        <f t="shared" si="10"/>
        <v>#REF!</v>
      </c>
    </row>
    <row r="637" spans="1:17">
      <c r="A637" s="56" t="s">
        <v>744</v>
      </c>
      <c r="B637" s="7" t="s">
        <v>561</v>
      </c>
      <c r="C637" s="7" t="s">
        <v>562</v>
      </c>
      <c r="D637" s="7" t="s">
        <v>703</v>
      </c>
      <c r="E637" s="7" t="s">
        <v>704</v>
      </c>
      <c r="F637" s="7" t="s">
        <v>742</v>
      </c>
      <c r="G637" s="7" t="s">
        <v>444</v>
      </c>
      <c r="H637" s="7" t="s">
        <v>444</v>
      </c>
      <c r="I637" s="5" t="s">
        <v>2041</v>
      </c>
      <c r="K637" s="5">
        <f>SUMIF(BC!$E$6:$E$347,$A637,BC!$K$6:$K$347)</f>
        <v>0</v>
      </c>
      <c r="L637" s="5" t="e">
        <f>SUMIF(#REF!,$A637,#REF!)+SUMIF(#REF!,$A637,#REF!)</f>
        <v>#REF!</v>
      </c>
      <c r="M637" s="5" t="e">
        <f>SUMIF(#REF!,Casilleros!$A637,#REF!)+SUMIF(#REF!,Casilleros!$A637,#REF!)+SUMIF(#REF!,$A637,#REF!)</f>
        <v>#REF!</v>
      </c>
      <c r="N637" s="5" t="e">
        <f>SUMIF(#REF!,$A637,#REF!)</f>
        <v>#REF!</v>
      </c>
      <c r="O637" s="5" t="e">
        <f>SUMIF(#REF!,$A637,#REF!)+SUMIF(#REF!,$A637,#REF!)</f>
        <v>#REF!</v>
      </c>
      <c r="P637" s="5">
        <f>IFERROR(VLOOKUP($A637,#REF!,2,FALSE),0)</f>
        <v>0</v>
      </c>
      <c r="Q637" s="42" t="e">
        <f t="shared" si="10"/>
        <v>#REF!</v>
      </c>
    </row>
    <row r="638" spans="1:17">
      <c r="A638" s="56" t="s">
        <v>746</v>
      </c>
      <c r="B638" s="7" t="s">
        <v>561</v>
      </c>
      <c r="C638" s="7" t="s">
        <v>562</v>
      </c>
      <c r="D638" s="7" t="s">
        <v>703</v>
      </c>
      <c r="E638" s="7" t="s">
        <v>704</v>
      </c>
      <c r="F638" s="7" t="s">
        <v>122</v>
      </c>
      <c r="G638" s="7" t="s">
        <v>444</v>
      </c>
      <c r="H638" s="7" t="s">
        <v>444</v>
      </c>
      <c r="I638" s="5" t="s">
        <v>2042</v>
      </c>
      <c r="K638" s="5">
        <f>SUMIF(BC!$E$6:$E$347,$A638,BC!$K$6:$K$347)</f>
        <v>0</v>
      </c>
      <c r="L638" s="5" t="e">
        <f>SUMIF(#REF!,$A638,#REF!)+SUMIF(#REF!,$A638,#REF!)</f>
        <v>#REF!</v>
      </c>
      <c r="M638" s="5" t="e">
        <f>SUMIF(#REF!,Casilleros!$A638,#REF!)+SUMIF(#REF!,Casilleros!$A638,#REF!)+SUMIF(#REF!,$A638,#REF!)</f>
        <v>#REF!</v>
      </c>
      <c r="N638" s="5" t="e">
        <f>SUMIF(#REF!,$A638,#REF!)</f>
        <v>#REF!</v>
      </c>
      <c r="O638" s="5" t="e">
        <f>SUMIF(#REF!,$A638,#REF!)+SUMIF(#REF!,$A638,#REF!)</f>
        <v>#REF!</v>
      </c>
      <c r="P638" s="5">
        <f>IFERROR(VLOOKUP($A638,#REF!,2,FALSE),0)</f>
        <v>0</v>
      </c>
      <c r="Q638" s="42" t="e">
        <f t="shared" si="10"/>
        <v>#REF!</v>
      </c>
    </row>
    <row r="639" spans="1:17">
      <c r="A639" s="56" t="s">
        <v>749</v>
      </c>
      <c r="B639" s="7" t="s">
        <v>561</v>
      </c>
      <c r="C639" s="7" t="s">
        <v>562</v>
      </c>
      <c r="D639" s="7" t="s">
        <v>703</v>
      </c>
      <c r="E639" s="7" t="s">
        <v>747</v>
      </c>
      <c r="F639" s="7" t="s">
        <v>444</v>
      </c>
      <c r="G639" s="7" t="s">
        <v>444</v>
      </c>
      <c r="H639" s="7" t="s">
        <v>444</v>
      </c>
      <c r="I639" s="5" t="s">
        <v>2043</v>
      </c>
      <c r="K639" s="5">
        <f>SUMIF(BC!$E$6:$E$347,$A639,BC!$K$6:$K$347)</f>
        <v>0</v>
      </c>
      <c r="L639" s="5" t="e">
        <f>SUMIF(#REF!,$A639,#REF!)+SUMIF(#REF!,$A639,#REF!)</f>
        <v>#REF!</v>
      </c>
      <c r="M639" s="5" t="e">
        <f>SUMIF(#REF!,Casilleros!$A639,#REF!)+SUMIF(#REF!,Casilleros!$A639,#REF!)+SUMIF(#REF!,$A639,#REF!)</f>
        <v>#REF!</v>
      </c>
      <c r="N639" s="5" t="e">
        <f>SUMIF(#REF!,$A639,#REF!)</f>
        <v>#REF!</v>
      </c>
      <c r="O639" s="5" t="e">
        <f>SUMIF(#REF!,$A639,#REF!)+SUMIF(#REF!,$A639,#REF!)</f>
        <v>#REF!</v>
      </c>
      <c r="P639" s="5">
        <f>IFERROR(VLOOKUP($A639,#REF!,2,FALSE),0)</f>
        <v>0</v>
      </c>
      <c r="Q639" s="42" t="e">
        <f t="shared" si="10"/>
        <v>#REF!</v>
      </c>
    </row>
    <row r="640" spans="1:17">
      <c r="A640" s="56" t="s">
        <v>751</v>
      </c>
      <c r="B640" s="7" t="s">
        <v>561</v>
      </c>
      <c r="C640" s="7" t="s">
        <v>562</v>
      </c>
      <c r="D640" s="7" t="s">
        <v>703</v>
      </c>
      <c r="E640" s="7" t="s">
        <v>122</v>
      </c>
      <c r="F640" s="7" t="s">
        <v>444</v>
      </c>
      <c r="G640" s="7" t="s">
        <v>444</v>
      </c>
      <c r="H640" s="7" t="s">
        <v>444</v>
      </c>
      <c r="I640" s="5" t="s">
        <v>2024</v>
      </c>
      <c r="K640" s="5">
        <f>SUMIF(BC!$E$6:$E$347,$A640,BC!$K$6:$K$347)</f>
        <v>0</v>
      </c>
      <c r="L640" s="5" t="e">
        <f>SUMIF(#REF!,$A640,#REF!)+SUMIF(#REF!,$A640,#REF!)</f>
        <v>#REF!</v>
      </c>
      <c r="M640" s="5" t="e">
        <f>SUMIF(#REF!,Casilleros!$A640,#REF!)+SUMIF(#REF!,Casilleros!$A640,#REF!)+SUMIF(#REF!,$A640,#REF!)</f>
        <v>#REF!</v>
      </c>
      <c r="N640" s="5" t="e">
        <f>SUMIF(#REF!,$A640,#REF!)</f>
        <v>#REF!</v>
      </c>
      <c r="O640" s="5" t="e">
        <f>SUMIF(#REF!,$A640,#REF!)+SUMIF(#REF!,$A640,#REF!)</f>
        <v>#REF!</v>
      </c>
      <c r="P640" s="5">
        <f>IFERROR(VLOOKUP($A640,#REF!,2,FALSE),0)</f>
        <v>0</v>
      </c>
      <c r="Q640" s="42" t="e">
        <f t="shared" si="10"/>
        <v>#REF!</v>
      </c>
    </row>
    <row r="641" spans="1:17">
      <c r="A641" s="56" t="s">
        <v>756</v>
      </c>
      <c r="B641" s="7" t="s">
        <v>561</v>
      </c>
      <c r="C641" s="7" t="s">
        <v>562</v>
      </c>
      <c r="D641" s="7" t="s">
        <v>754</v>
      </c>
      <c r="E641" s="7" t="s">
        <v>444</v>
      </c>
      <c r="F641" s="7" t="s">
        <v>444</v>
      </c>
      <c r="G641" s="7" t="s">
        <v>444</v>
      </c>
      <c r="H641" s="7" t="s">
        <v>444</v>
      </c>
      <c r="I641" s="5" t="s">
        <v>2044</v>
      </c>
      <c r="K641" s="5">
        <f>SUMIF(BC!$E$6:$E$347,$A641,BC!$K$6:$K$347)</f>
        <v>0</v>
      </c>
      <c r="L641" s="5" t="e">
        <f>SUMIF(#REF!,$A641,#REF!)+SUMIF(#REF!,$A641,#REF!)</f>
        <v>#REF!</v>
      </c>
      <c r="M641" s="5" t="e">
        <f>SUMIF(#REF!,Casilleros!$A641,#REF!)+SUMIF(#REF!,Casilleros!$A641,#REF!)+SUMIF(#REF!,$A641,#REF!)</f>
        <v>#REF!</v>
      </c>
      <c r="N641" s="5" t="e">
        <f>SUMIF(#REF!,$A641,#REF!)</f>
        <v>#REF!</v>
      </c>
      <c r="O641" s="5" t="e">
        <f>SUMIF(#REF!,$A641,#REF!)+SUMIF(#REF!,$A641,#REF!)</f>
        <v>#REF!</v>
      </c>
      <c r="P641" s="5">
        <f>IFERROR(VLOOKUP($A641,#REF!,2,FALSE),0)</f>
        <v>0</v>
      </c>
      <c r="Q641" s="42" t="e">
        <f t="shared" si="10"/>
        <v>#REF!</v>
      </c>
    </row>
    <row r="642" spans="1:17">
      <c r="A642" s="56" t="s">
        <v>799</v>
      </c>
      <c r="B642" s="7" t="s">
        <v>561</v>
      </c>
      <c r="C642" s="7" t="s">
        <v>2252</v>
      </c>
      <c r="D642" s="7" t="s">
        <v>790</v>
      </c>
      <c r="E642" s="7" t="s">
        <v>797</v>
      </c>
      <c r="F642" s="7" t="s">
        <v>444</v>
      </c>
      <c r="G642" s="7" t="s">
        <v>444</v>
      </c>
      <c r="H642" s="7" t="s">
        <v>444</v>
      </c>
      <c r="I642" s="7" t="s">
        <v>1370</v>
      </c>
      <c r="J642" s="5" t="s">
        <v>2289</v>
      </c>
      <c r="K642" s="5">
        <f>SUMIF(BC!$E$6:$E$347,$A642,BC!$K$6:$K$347)</f>
        <v>0</v>
      </c>
      <c r="L642" s="5" t="e">
        <f>SUMIF(#REF!,$A642,#REF!)+SUMIF(#REF!,$A642,#REF!)</f>
        <v>#REF!</v>
      </c>
      <c r="M642" s="5" t="e">
        <f>SUMIF(#REF!,Casilleros!$A642,#REF!)+SUMIF(#REF!,Casilleros!$A642,#REF!)+SUMIF(#REF!,$A642,#REF!)</f>
        <v>#REF!</v>
      </c>
      <c r="N642" s="5" t="e">
        <f>SUMIF(#REF!,$A642,#REF!)</f>
        <v>#REF!</v>
      </c>
      <c r="O642" s="5" t="e">
        <f>SUMIF(#REF!,$A642,#REF!)+SUMIF(#REF!,$A642,#REF!)</f>
        <v>#REF!</v>
      </c>
      <c r="P642" s="5">
        <f>IFERROR(VLOOKUP($A642,#REF!,2,FALSE),0)</f>
        <v>0</v>
      </c>
      <c r="Q642" s="42" t="e">
        <f t="shared" si="10"/>
        <v>#REF!</v>
      </c>
    </row>
    <row r="643" spans="1:17">
      <c r="A643" s="56" t="s">
        <v>1371</v>
      </c>
      <c r="B643" s="7" t="s">
        <v>561</v>
      </c>
      <c r="C643" s="7" t="s">
        <v>2252</v>
      </c>
      <c r="D643" s="7" t="s">
        <v>790</v>
      </c>
      <c r="E643" s="7" t="s">
        <v>821</v>
      </c>
      <c r="F643" s="7" t="s">
        <v>444</v>
      </c>
      <c r="G643" s="7" t="s">
        <v>444</v>
      </c>
      <c r="H643" s="7" t="s">
        <v>444</v>
      </c>
      <c r="I643" s="7" t="s">
        <v>1372</v>
      </c>
      <c r="J643" s="5" t="s">
        <v>2289</v>
      </c>
      <c r="K643" s="5">
        <f>SUMIF(BC!$E$6:$E$347,$A643,BC!$K$6:$K$347)</f>
        <v>0</v>
      </c>
      <c r="L643" s="5" t="e">
        <f>SUMIF(#REF!,$A643,#REF!)+SUMIF(#REF!,$A643,#REF!)</f>
        <v>#REF!</v>
      </c>
      <c r="M643" s="5" t="e">
        <f>SUMIF(#REF!,Casilleros!$A643,#REF!)+SUMIF(#REF!,Casilleros!$A643,#REF!)+SUMIF(#REF!,$A643,#REF!)</f>
        <v>#REF!</v>
      </c>
      <c r="N643" s="5" t="e">
        <f>SUMIF(#REF!,$A643,#REF!)</f>
        <v>#REF!</v>
      </c>
      <c r="O643" s="5" t="e">
        <f>SUMIF(#REF!,$A643,#REF!)+SUMIF(#REF!,$A643,#REF!)</f>
        <v>#REF!</v>
      </c>
      <c r="P643" s="5">
        <f>IFERROR(VLOOKUP($A643,#REF!,2,FALSE),0)</f>
        <v>0</v>
      </c>
      <c r="Q643" s="42" t="e">
        <f t="shared" si="10"/>
        <v>#REF!</v>
      </c>
    </row>
    <row r="644" spans="1:17">
      <c r="A644" s="56" t="s">
        <v>826</v>
      </c>
      <c r="B644" s="7" t="s">
        <v>561</v>
      </c>
      <c r="C644" s="7" t="s">
        <v>2252</v>
      </c>
      <c r="D644" s="7" t="s">
        <v>823</v>
      </c>
      <c r="E644" s="7" t="s">
        <v>824</v>
      </c>
      <c r="F644" s="7" t="s">
        <v>444</v>
      </c>
      <c r="G644" s="7" t="s">
        <v>444</v>
      </c>
      <c r="H644" s="7" t="s">
        <v>444</v>
      </c>
      <c r="I644" s="7" t="s">
        <v>1373</v>
      </c>
      <c r="J644" s="1" t="s">
        <v>2290</v>
      </c>
      <c r="K644" s="5" t="e">
        <f>SUMIF(BC!$E$6:$E$347,$A644,BC!$K$6:$K$347)</f>
        <v>#REF!</v>
      </c>
      <c r="L644" s="5" t="e">
        <f>SUMIF(#REF!,$A644,#REF!)+SUMIF(#REF!,$A644,#REF!)</f>
        <v>#REF!</v>
      </c>
      <c r="M644" s="5" t="e">
        <f>SUMIF(#REF!,Casilleros!$A644,#REF!)+SUMIF(#REF!,Casilleros!$A644,#REF!)+SUMIF(#REF!,$A644,#REF!)</f>
        <v>#REF!</v>
      </c>
      <c r="N644" s="5" t="e">
        <f>SUMIF(#REF!,$A644,#REF!)</f>
        <v>#REF!</v>
      </c>
      <c r="O644" s="5" t="e">
        <f>SUMIF(#REF!,$A644,#REF!)+SUMIF(#REF!,$A644,#REF!)</f>
        <v>#REF!</v>
      </c>
      <c r="P644" s="5">
        <f>IFERROR(VLOOKUP($A644,#REF!,2,FALSE),0)</f>
        <v>0</v>
      </c>
      <c r="Q644" s="42" t="e">
        <f t="shared" si="10"/>
        <v>#REF!</v>
      </c>
    </row>
    <row r="645" spans="1:17">
      <c r="A645" s="56" t="s">
        <v>830</v>
      </c>
      <c r="B645" s="7" t="s">
        <v>561</v>
      </c>
      <c r="C645" s="7" t="s">
        <v>2252</v>
      </c>
      <c r="D645" s="7" t="s">
        <v>823</v>
      </c>
      <c r="E645" s="7" t="s">
        <v>828</v>
      </c>
      <c r="F645" s="7" t="s">
        <v>444</v>
      </c>
      <c r="G645" s="7" t="s">
        <v>444</v>
      </c>
      <c r="H645" s="7" t="s">
        <v>444</v>
      </c>
      <c r="I645" s="7" t="s">
        <v>1374</v>
      </c>
      <c r="J645" s="1" t="s">
        <v>2290</v>
      </c>
      <c r="K645" s="5" t="e">
        <f>SUMIF(BC!$E$6:$E$347,$A645,BC!$K$6:$K$347)</f>
        <v>#REF!</v>
      </c>
      <c r="L645" s="5" t="e">
        <f>SUMIF(#REF!,$A645,#REF!)+SUMIF(#REF!,$A645,#REF!)</f>
        <v>#REF!</v>
      </c>
      <c r="M645" s="5" t="e">
        <f>SUMIF(#REF!,Casilleros!$A645,#REF!)+SUMIF(#REF!,Casilleros!$A645,#REF!)+SUMIF(#REF!,$A645,#REF!)</f>
        <v>#REF!</v>
      </c>
      <c r="N645" s="5" t="e">
        <f>SUMIF(#REF!,$A645,#REF!)</f>
        <v>#REF!</v>
      </c>
      <c r="O645" s="5" t="e">
        <f>SUMIF(#REF!,$A645,#REF!)+SUMIF(#REF!,$A645,#REF!)</f>
        <v>#REF!</v>
      </c>
      <c r="P645" s="5">
        <f>IFERROR(VLOOKUP($A645,#REF!,2,FALSE),0)</f>
        <v>0</v>
      </c>
      <c r="Q645" s="42" t="e">
        <f t="shared" si="10"/>
        <v>#REF!</v>
      </c>
    </row>
    <row r="646" spans="1:17">
      <c r="A646" s="56" t="s">
        <v>834</v>
      </c>
      <c r="B646" s="7" t="s">
        <v>561</v>
      </c>
      <c r="C646" s="7" t="s">
        <v>2252</v>
      </c>
      <c r="D646" s="7" t="s">
        <v>823</v>
      </c>
      <c r="E646" s="7" t="s">
        <v>832</v>
      </c>
      <c r="F646" s="7" t="s">
        <v>444</v>
      </c>
      <c r="G646" s="7" t="s">
        <v>444</v>
      </c>
      <c r="H646" s="7" t="s">
        <v>444</v>
      </c>
      <c r="I646" s="7" t="s">
        <v>1375</v>
      </c>
      <c r="J646" s="1" t="s">
        <v>2290</v>
      </c>
      <c r="K646" s="5" t="e">
        <f>SUMIF(BC!$E$6:$E$347,$A646,BC!$K$6:$K$347)</f>
        <v>#REF!</v>
      </c>
      <c r="L646" s="5" t="e">
        <f>SUMIF(#REF!,$A646,#REF!)+SUMIF(#REF!,$A646,#REF!)</f>
        <v>#REF!</v>
      </c>
      <c r="M646" s="5" t="e">
        <f>SUMIF(#REF!,Casilleros!$A646,#REF!)+SUMIF(#REF!,Casilleros!$A646,#REF!)+SUMIF(#REF!,$A646,#REF!)</f>
        <v>#REF!</v>
      </c>
      <c r="N646" s="5" t="e">
        <f>SUMIF(#REF!,$A646,#REF!)</f>
        <v>#REF!</v>
      </c>
      <c r="O646" s="5" t="e">
        <f>SUMIF(#REF!,$A646,#REF!)+SUMIF(#REF!,$A646,#REF!)</f>
        <v>#REF!</v>
      </c>
      <c r="P646" s="5">
        <f>IFERROR(VLOOKUP($A646,#REF!,2,FALSE),0)</f>
        <v>0</v>
      </c>
      <c r="Q646" s="42" t="e">
        <f t="shared" si="10"/>
        <v>#REF!</v>
      </c>
    </row>
    <row r="647" spans="1:17">
      <c r="A647" s="56" t="s">
        <v>838</v>
      </c>
      <c r="B647" s="7" t="s">
        <v>561</v>
      </c>
      <c r="C647" s="7" t="s">
        <v>2252</v>
      </c>
      <c r="D647" s="7" t="s">
        <v>823</v>
      </c>
      <c r="E647" s="7" t="s">
        <v>836</v>
      </c>
      <c r="F647" s="7" t="s">
        <v>444</v>
      </c>
      <c r="G647" s="7" t="s">
        <v>444</v>
      </c>
      <c r="H647" s="7" t="s">
        <v>444</v>
      </c>
      <c r="I647" s="7" t="s">
        <v>1376</v>
      </c>
      <c r="J647" s="1" t="s">
        <v>2290</v>
      </c>
      <c r="K647" s="5" t="e">
        <f>SUMIF(BC!$E$6:$E$347,$A647,BC!$K$6:$K$347)</f>
        <v>#REF!</v>
      </c>
      <c r="L647" s="5" t="e">
        <f>SUMIF(#REF!,$A647,#REF!)+SUMIF(#REF!,$A647,#REF!)</f>
        <v>#REF!</v>
      </c>
      <c r="M647" s="5" t="e">
        <f>SUMIF(#REF!,Casilleros!$A647,#REF!)+SUMIF(#REF!,Casilleros!$A647,#REF!)+SUMIF(#REF!,$A647,#REF!)</f>
        <v>#REF!</v>
      </c>
      <c r="N647" s="5" t="e">
        <f>SUMIF(#REF!,$A647,#REF!)</f>
        <v>#REF!</v>
      </c>
      <c r="O647" s="5" t="e">
        <f>SUMIF(#REF!,$A647,#REF!)+SUMIF(#REF!,$A647,#REF!)</f>
        <v>#REF!</v>
      </c>
      <c r="P647" s="5">
        <f>IFERROR(VLOOKUP($A647,#REF!,2,FALSE),0)</f>
        <v>0</v>
      </c>
      <c r="Q647" s="42" t="e">
        <f t="shared" si="10"/>
        <v>#REF!</v>
      </c>
    </row>
    <row r="648" spans="1:17">
      <c r="A648" s="56" t="s">
        <v>842</v>
      </c>
      <c r="B648" s="7" t="s">
        <v>561</v>
      </c>
      <c r="C648" s="7" t="s">
        <v>2252</v>
      </c>
      <c r="D648" s="7" t="s">
        <v>823</v>
      </c>
      <c r="E648" s="7" t="s">
        <v>840</v>
      </c>
      <c r="F648" s="7" t="s">
        <v>444</v>
      </c>
      <c r="G648" s="7" t="s">
        <v>444</v>
      </c>
      <c r="H648" s="7" t="s">
        <v>444</v>
      </c>
      <c r="I648" s="7" t="s">
        <v>1377</v>
      </c>
      <c r="J648" s="1" t="s">
        <v>2290</v>
      </c>
      <c r="K648" s="5">
        <f>SUMIF(BC!$E$6:$E$347,$A648,BC!$K$6:$K$347)</f>
        <v>0</v>
      </c>
      <c r="L648" s="5" t="e">
        <f>SUMIF(#REF!,$A648,#REF!)+SUMIF(#REF!,$A648,#REF!)</f>
        <v>#REF!</v>
      </c>
      <c r="M648" s="5" t="e">
        <f>SUMIF(#REF!,Casilleros!$A648,#REF!)+SUMIF(#REF!,Casilleros!$A648,#REF!)+SUMIF(#REF!,$A648,#REF!)</f>
        <v>#REF!</v>
      </c>
      <c r="N648" s="5" t="e">
        <f>SUMIF(#REF!,$A648,#REF!)</f>
        <v>#REF!</v>
      </c>
      <c r="O648" s="5" t="e">
        <f>SUMIF(#REF!,$A648,#REF!)+SUMIF(#REF!,$A648,#REF!)</f>
        <v>#REF!</v>
      </c>
      <c r="P648" s="5">
        <f>IFERROR(VLOOKUP($A648,#REF!,2,FALSE),0)</f>
        <v>0</v>
      </c>
      <c r="Q648" s="42" t="e">
        <f t="shared" si="10"/>
        <v>#REF!</v>
      </c>
    </row>
    <row r="649" spans="1:17">
      <c r="A649" s="56" t="s">
        <v>846</v>
      </c>
      <c r="B649" s="7" t="s">
        <v>561</v>
      </c>
      <c r="C649" s="7" t="s">
        <v>2252</v>
      </c>
      <c r="D649" s="7" t="s">
        <v>823</v>
      </c>
      <c r="E649" s="7" t="s">
        <v>844</v>
      </c>
      <c r="F649" s="7" t="s">
        <v>444</v>
      </c>
      <c r="G649" s="7" t="s">
        <v>444</v>
      </c>
      <c r="H649" s="7" t="s">
        <v>444</v>
      </c>
      <c r="I649" s="7" t="s">
        <v>1378</v>
      </c>
      <c r="J649" s="1" t="s">
        <v>2290</v>
      </c>
      <c r="K649" s="5" t="e">
        <f>SUMIF(BC!$E$6:$E$347,$A649,BC!$K$6:$K$347)</f>
        <v>#REF!</v>
      </c>
      <c r="L649" s="5" t="e">
        <f>SUMIF(#REF!,$A649,#REF!)+SUMIF(#REF!,$A649,#REF!)</f>
        <v>#REF!</v>
      </c>
      <c r="M649" s="5" t="e">
        <f>SUMIF(#REF!,Casilleros!$A649,#REF!)+SUMIF(#REF!,Casilleros!$A649,#REF!)+SUMIF(#REF!,$A649,#REF!)</f>
        <v>#REF!</v>
      </c>
      <c r="N649" s="5" t="e">
        <f>SUMIF(#REF!,$A649,#REF!)</f>
        <v>#REF!</v>
      </c>
      <c r="O649" s="5" t="e">
        <f>SUMIF(#REF!,$A649,#REF!)+SUMIF(#REF!,$A649,#REF!)</f>
        <v>#REF!</v>
      </c>
      <c r="P649" s="5">
        <f>IFERROR(VLOOKUP($A649,#REF!,2,FALSE),0)</f>
        <v>0</v>
      </c>
      <c r="Q649" s="42" t="e">
        <f t="shared" si="10"/>
        <v>#REF!</v>
      </c>
    </row>
    <row r="650" spans="1:17">
      <c r="A650" s="56" t="s">
        <v>849</v>
      </c>
      <c r="B650" s="7" t="s">
        <v>561</v>
      </c>
      <c r="C650" s="7" t="s">
        <v>2252</v>
      </c>
      <c r="D650" s="7" t="s">
        <v>823</v>
      </c>
      <c r="E650" s="7" t="s">
        <v>473</v>
      </c>
      <c r="F650" s="7" t="s">
        <v>444</v>
      </c>
      <c r="G650" s="7" t="s">
        <v>444</v>
      </c>
      <c r="H650" s="7" t="s">
        <v>444</v>
      </c>
      <c r="I650" s="7" t="s">
        <v>1379</v>
      </c>
      <c r="J650" s="1" t="s">
        <v>2290</v>
      </c>
      <c r="K650" s="5" t="e">
        <f>SUMIF(BC!$E$6:$E$347,$A650,BC!$K$6:$K$347)</f>
        <v>#REF!</v>
      </c>
      <c r="L650" s="5" t="e">
        <f>SUMIF(#REF!,$A650,#REF!)+SUMIF(#REF!,$A650,#REF!)</f>
        <v>#REF!</v>
      </c>
      <c r="M650" s="5" t="e">
        <f>SUMIF(#REF!,Casilleros!$A650,#REF!)+SUMIF(#REF!,Casilleros!$A650,#REF!)+SUMIF(#REF!,$A650,#REF!)</f>
        <v>#REF!</v>
      </c>
      <c r="N650" s="5" t="e">
        <f>SUMIF(#REF!,$A650,#REF!)</f>
        <v>#REF!</v>
      </c>
      <c r="O650" s="5" t="e">
        <f>SUMIF(#REF!,$A650,#REF!)+SUMIF(#REF!,$A650,#REF!)</f>
        <v>#REF!</v>
      </c>
      <c r="P650" s="5">
        <f>IFERROR(VLOOKUP($A650,#REF!,2,FALSE),0)</f>
        <v>0</v>
      </c>
      <c r="Q650" s="42" t="e">
        <f t="shared" si="10"/>
        <v>#REF!</v>
      </c>
    </row>
    <row r="651" spans="1:17">
      <c r="A651" s="56" t="s">
        <v>852</v>
      </c>
      <c r="B651" s="7" t="s">
        <v>561</v>
      </c>
      <c r="C651" s="7" t="s">
        <v>2252</v>
      </c>
      <c r="D651" s="7" t="s">
        <v>823</v>
      </c>
      <c r="E651" s="7" t="s">
        <v>122</v>
      </c>
      <c r="F651" s="7" t="s">
        <v>444</v>
      </c>
      <c r="G651" s="7" t="s">
        <v>444</v>
      </c>
      <c r="H651" s="7" t="s">
        <v>444</v>
      </c>
      <c r="I651" s="7" t="s">
        <v>1380</v>
      </c>
      <c r="J651" s="1" t="s">
        <v>2290</v>
      </c>
      <c r="K651" s="5">
        <f>SUMIF(BC!$E$6:$E$347,$A651,BC!$K$6:$K$347)</f>
        <v>0</v>
      </c>
      <c r="L651" s="5" t="e">
        <f>SUMIF(#REF!,$A651,#REF!)+SUMIF(#REF!,$A651,#REF!)</f>
        <v>#REF!</v>
      </c>
      <c r="M651" s="5" t="e">
        <f>SUMIF(#REF!,Casilleros!$A651,#REF!)+SUMIF(#REF!,Casilleros!$A651,#REF!)+SUMIF(#REF!,$A651,#REF!)</f>
        <v>#REF!</v>
      </c>
      <c r="N651" s="5" t="e">
        <f>SUMIF(#REF!,$A651,#REF!)</f>
        <v>#REF!</v>
      </c>
      <c r="O651" s="5" t="e">
        <f>SUMIF(#REF!,$A651,#REF!)+SUMIF(#REF!,$A651,#REF!)</f>
        <v>#REF!</v>
      </c>
      <c r="P651" s="5">
        <f>IFERROR(VLOOKUP($A651,#REF!,2,FALSE),0)</f>
        <v>0</v>
      </c>
      <c r="Q651" s="42" t="e">
        <f t="shared" si="10"/>
        <v>#REF!</v>
      </c>
    </row>
    <row r="652" spans="1:17">
      <c r="A652" s="56" t="s">
        <v>858</v>
      </c>
      <c r="B652" s="7" t="s">
        <v>561</v>
      </c>
      <c r="C652" s="7" t="s">
        <v>2252</v>
      </c>
      <c r="D652" s="7" t="s">
        <v>854</v>
      </c>
      <c r="E652" s="7" t="s">
        <v>855</v>
      </c>
      <c r="F652" s="7" t="s">
        <v>856</v>
      </c>
      <c r="G652" s="7" t="s">
        <v>444</v>
      </c>
      <c r="H652" s="7" t="s">
        <v>444</v>
      </c>
      <c r="I652" s="7" t="s">
        <v>1383</v>
      </c>
      <c r="J652" s="1" t="s">
        <v>2291</v>
      </c>
      <c r="K652" s="5">
        <f>SUMIF(BC!$E$6:$E$347,$A652,BC!$K$6:$K$347)</f>
        <v>0</v>
      </c>
      <c r="L652" s="5" t="e">
        <f>SUMIF(#REF!,$A652,#REF!)+SUMIF(#REF!,$A652,#REF!)</f>
        <v>#REF!</v>
      </c>
      <c r="M652" s="5" t="e">
        <f>SUMIF(#REF!,Casilleros!$A652,#REF!)+SUMIF(#REF!,Casilleros!$A652,#REF!)+SUMIF(#REF!,$A652,#REF!)</f>
        <v>#REF!</v>
      </c>
      <c r="N652" s="5" t="e">
        <f>SUMIF(#REF!,$A652,#REF!)</f>
        <v>#REF!</v>
      </c>
      <c r="O652" s="5" t="e">
        <f>SUMIF(#REF!,$A652,#REF!)+SUMIF(#REF!,$A652,#REF!)</f>
        <v>#REF!</v>
      </c>
      <c r="P652" s="5">
        <f>IFERROR(VLOOKUP($A652,#REF!,2,FALSE),0)</f>
        <v>0</v>
      </c>
      <c r="Q652" s="42" t="e">
        <f t="shared" si="10"/>
        <v>#REF!</v>
      </c>
    </row>
    <row r="653" spans="1:17">
      <c r="A653" s="56" t="s">
        <v>862</v>
      </c>
      <c r="B653" s="7" t="s">
        <v>561</v>
      </c>
      <c r="C653" s="7" t="s">
        <v>2252</v>
      </c>
      <c r="D653" s="7" t="s">
        <v>854</v>
      </c>
      <c r="E653" s="7" t="s">
        <v>855</v>
      </c>
      <c r="F653" s="7" t="s">
        <v>860</v>
      </c>
      <c r="G653" s="7" t="s">
        <v>444</v>
      </c>
      <c r="H653" s="7" t="s">
        <v>444</v>
      </c>
      <c r="I653" s="7" t="s">
        <v>1384</v>
      </c>
      <c r="J653" s="1" t="s">
        <v>2291</v>
      </c>
      <c r="K653" s="5" t="e">
        <f>SUMIF(BC!$E$6:$E$347,$A653,BC!$K$6:$K$347)</f>
        <v>#REF!</v>
      </c>
      <c r="L653" s="5" t="e">
        <f>SUMIF(#REF!,$A653,#REF!)+SUMIF(#REF!,$A653,#REF!)</f>
        <v>#REF!</v>
      </c>
      <c r="M653" s="5" t="e">
        <f>SUMIF(#REF!,Casilleros!$A653,#REF!)+SUMIF(#REF!,Casilleros!$A653,#REF!)+SUMIF(#REF!,$A653,#REF!)</f>
        <v>#REF!</v>
      </c>
      <c r="N653" s="5" t="e">
        <f>SUMIF(#REF!,$A653,#REF!)</f>
        <v>#REF!</v>
      </c>
      <c r="O653" s="5" t="e">
        <f>SUMIF(#REF!,$A653,#REF!)+SUMIF(#REF!,$A653,#REF!)</f>
        <v>#REF!</v>
      </c>
      <c r="P653" s="5">
        <f>IFERROR(VLOOKUP($A653,#REF!,2,FALSE),0)</f>
        <v>0</v>
      </c>
      <c r="Q653" s="42" t="e">
        <f t="shared" si="10"/>
        <v>#REF!</v>
      </c>
    </row>
    <row r="654" spans="1:17">
      <c r="A654" s="56" t="s">
        <v>866</v>
      </c>
      <c r="B654" s="7" t="s">
        <v>561</v>
      </c>
      <c r="C654" s="7" t="s">
        <v>2252</v>
      </c>
      <c r="D654" s="7" t="s">
        <v>854</v>
      </c>
      <c r="E654" s="7" t="s">
        <v>864</v>
      </c>
      <c r="F654" s="7" t="s">
        <v>444</v>
      </c>
      <c r="G654" s="7" t="s">
        <v>444</v>
      </c>
      <c r="H654" s="7" t="s">
        <v>444</v>
      </c>
      <c r="I654" s="7" t="s">
        <v>1385</v>
      </c>
      <c r="J654" s="1" t="s">
        <v>2291</v>
      </c>
      <c r="K654" s="5">
        <f>SUMIF(BC!$E$6:$E$347,$A654,BC!$K$6:$K$347)</f>
        <v>0</v>
      </c>
      <c r="L654" s="5" t="e">
        <f>SUMIF(#REF!,$A654,#REF!)+SUMIF(#REF!,$A654,#REF!)</f>
        <v>#REF!</v>
      </c>
      <c r="M654" s="5" t="e">
        <f>SUMIF(#REF!,Casilleros!$A654,#REF!)+SUMIF(#REF!,Casilleros!$A654,#REF!)+SUMIF(#REF!,$A654,#REF!)</f>
        <v>#REF!</v>
      </c>
      <c r="N654" s="5" t="e">
        <f>SUMIF(#REF!,$A654,#REF!)</f>
        <v>#REF!</v>
      </c>
      <c r="O654" s="5" t="e">
        <f>SUMIF(#REF!,$A654,#REF!)+SUMIF(#REF!,$A654,#REF!)</f>
        <v>#REF!</v>
      </c>
      <c r="P654" s="5">
        <f>IFERROR(VLOOKUP($A654,#REF!,2,FALSE),0)</f>
        <v>0</v>
      </c>
      <c r="Q654" s="42" t="e">
        <f t="shared" si="10"/>
        <v>#REF!</v>
      </c>
    </row>
    <row r="655" spans="1:17">
      <c r="A655" s="56" t="s">
        <v>870</v>
      </c>
      <c r="B655" s="7" t="s">
        <v>561</v>
      </c>
      <c r="C655" s="7" t="s">
        <v>2252</v>
      </c>
      <c r="D655" s="7" t="s">
        <v>854</v>
      </c>
      <c r="E655" s="7" t="s">
        <v>868</v>
      </c>
      <c r="F655" s="7" t="s">
        <v>444</v>
      </c>
      <c r="G655" s="7" t="s">
        <v>444</v>
      </c>
      <c r="H655" s="7" t="s">
        <v>444</v>
      </c>
      <c r="I655" s="7" t="s">
        <v>1386</v>
      </c>
      <c r="J655" s="1" t="s">
        <v>2291</v>
      </c>
      <c r="K655" s="5">
        <f>SUMIF(BC!$E$6:$E$347,$A655,BC!$K$6:$K$347)</f>
        <v>0</v>
      </c>
      <c r="L655" s="5" t="e">
        <f>SUMIF(#REF!,$A655,#REF!)+SUMIF(#REF!,$A655,#REF!)</f>
        <v>#REF!</v>
      </c>
      <c r="M655" s="5" t="e">
        <f>SUMIF(#REF!,Casilleros!$A655,#REF!)+SUMIF(#REF!,Casilleros!$A655,#REF!)+SUMIF(#REF!,$A655,#REF!)</f>
        <v>#REF!</v>
      </c>
      <c r="N655" s="5" t="e">
        <f>SUMIF(#REF!,$A655,#REF!)</f>
        <v>#REF!</v>
      </c>
      <c r="O655" s="5" t="e">
        <f>SUMIF(#REF!,$A655,#REF!)+SUMIF(#REF!,$A655,#REF!)</f>
        <v>#REF!</v>
      </c>
      <c r="P655" s="5">
        <f>IFERROR(VLOOKUP($A655,#REF!,2,FALSE),0)</f>
        <v>0</v>
      </c>
      <c r="Q655" s="42" t="e">
        <f t="shared" ref="Q655:Q718" si="11">SUM(K655:P655)</f>
        <v>#REF!</v>
      </c>
    </row>
    <row r="656" spans="1:17">
      <c r="A656" s="56" t="s">
        <v>875</v>
      </c>
      <c r="B656" s="7" t="s">
        <v>561</v>
      </c>
      <c r="C656" s="7" t="s">
        <v>2252</v>
      </c>
      <c r="D656" s="7" t="s">
        <v>854</v>
      </c>
      <c r="E656" s="7" t="s">
        <v>872</v>
      </c>
      <c r="F656" s="7" t="s">
        <v>873</v>
      </c>
      <c r="G656" s="7" t="s">
        <v>444</v>
      </c>
      <c r="H656" s="7" t="s">
        <v>444</v>
      </c>
      <c r="I656" s="7" t="s">
        <v>1388</v>
      </c>
      <c r="J656" s="1" t="s">
        <v>2291</v>
      </c>
      <c r="K656" s="5">
        <f>SUMIF(BC!$E$6:$E$347,$A656,BC!$K$6:$K$347)</f>
        <v>0</v>
      </c>
      <c r="L656" s="5" t="e">
        <f>SUMIF(#REF!,$A656,#REF!)+SUMIF(#REF!,$A656,#REF!)</f>
        <v>#REF!</v>
      </c>
      <c r="M656" s="5" t="e">
        <f>SUMIF(#REF!,Casilleros!$A656,#REF!)+SUMIF(#REF!,Casilleros!$A656,#REF!)+SUMIF(#REF!,$A656,#REF!)</f>
        <v>#REF!</v>
      </c>
      <c r="N656" s="5" t="e">
        <f>SUMIF(#REF!,$A656,#REF!)</f>
        <v>#REF!</v>
      </c>
      <c r="O656" s="5" t="e">
        <f>SUMIF(#REF!,$A656,#REF!)+SUMIF(#REF!,$A656,#REF!)</f>
        <v>#REF!</v>
      </c>
      <c r="P656" s="5">
        <f>IFERROR(VLOOKUP($A656,#REF!,2,FALSE),0)</f>
        <v>0</v>
      </c>
      <c r="Q656" s="42" t="e">
        <f t="shared" si="11"/>
        <v>#REF!</v>
      </c>
    </row>
    <row r="657" spans="1:17">
      <c r="A657" s="56" t="s">
        <v>879</v>
      </c>
      <c r="B657" s="7" t="s">
        <v>561</v>
      </c>
      <c r="C657" s="7" t="s">
        <v>2252</v>
      </c>
      <c r="D657" s="7" t="s">
        <v>854</v>
      </c>
      <c r="E657" s="7" t="s">
        <v>872</v>
      </c>
      <c r="F657" s="7" t="s">
        <v>877</v>
      </c>
      <c r="G657" s="7" t="s">
        <v>444</v>
      </c>
      <c r="H657" s="7" t="s">
        <v>444</v>
      </c>
      <c r="I657" s="7" t="s">
        <v>1389</v>
      </c>
      <c r="J657" s="1" t="s">
        <v>2291</v>
      </c>
      <c r="K657" s="5">
        <f>SUMIF(BC!$E$6:$E$347,$A657,BC!$K$6:$K$347)</f>
        <v>0</v>
      </c>
      <c r="L657" s="5" t="e">
        <f>SUMIF(#REF!,$A657,#REF!)+SUMIF(#REF!,$A657,#REF!)</f>
        <v>#REF!</v>
      </c>
      <c r="M657" s="5" t="e">
        <f>SUMIF(#REF!,Casilleros!$A657,#REF!)+SUMIF(#REF!,Casilleros!$A657,#REF!)+SUMIF(#REF!,$A657,#REF!)</f>
        <v>#REF!</v>
      </c>
      <c r="N657" s="5" t="e">
        <f>SUMIF(#REF!,$A657,#REF!)</f>
        <v>#REF!</v>
      </c>
      <c r="O657" s="5" t="e">
        <f>SUMIF(#REF!,$A657,#REF!)+SUMIF(#REF!,$A657,#REF!)</f>
        <v>#REF!</v>
      </c>
      <c r="P657" s="5">
        <f>IFERROR(VLOOKUP($A657,#REF!,2,FALSE),0)</f>
        <v>0</v>
      </c>
      <c r="Q657" s="42" t="e">
        <f t="shared" si="11"/>
        <v>#REF!</v>
      </c>
    </row>
    <row r="658" spans="1:17">
      <c r="A658" s="56" t="s">
        <v>883</v>
      </c>
      <c r="B658" s="7" t="s">
        <v>561</v>
      </c>
      <c r="C658" s="7" t="s">
        <v>2252</v>
      </c>
      <c r="D658" s="7" t="s">
        <v>854</v>
      </c>
      <c r="E658" s="7" t="s">
        <v>872</v>
      </c>
      <c r="F658" s="7" t="s">
        <v>881</v>
      </c>
      <c r="G658" s="7" t="s">
        <v>444</v>
      </c>
      <c r="H658" s="7" t="s">
        <v>444</v>
      </c>
      <c r="I658" s="7" t="s">
        <v>1390</v>
      </c>
      <c r="J658" s="1" t="s">
        <v>2291</v>
      </c>
      <c r="K658" s="5">
        <f>SUMIF(BC!$E$6:$E$347,$A658,BC!$K$6:$K$347)</f>
        <v>0</v>
      </c>
      <c r="L658" s="5" t="e">
        <f>SUMIF(#REF!,$A658,#REF!)+SUMIF(#REF!,$A658,#REF!)</f>
        <v>#REF!</v>
      </c>
      <c r="M658" s="5" t="e">
        <f>SUMIF(#REF!,Casilleros!$A658,#REF!)+SUMIF(#REF!,Casilleros!$A658,#REF!)+SUMIF(#REF!,$A658,#REF!)</f>
        <v>#REF!</v>
      </c>
      <c r="N658" s="5" t="e">
        <f>SUMIF(#REF!,$A658,#REF!)</f>
        <v>#REF!</v>
      </c>
      <c r="O658" s="5" t="e">
        <f>SUMIF(#REF!,$A658,#REF!)+SUMIF(#REF!,$A658,#REF!)</f>
        <v>#REF!</v>
      </c>
      <c r="P658" s="5">
        <f>IFERROR(VLOOKUP($A658,#REF!,2,FALSE),0)</f>
        <v>0</v>
      </c>
      <c r="Q658" s="42" t="e">
        <f t="shared" si="11"/>
        <v>#REF!</v>
      </c>
    </row>
    <row r="659" spans="1:17">
      <c r="A659" s="56" t="s">
        <v>886</v>
      </c>
      <c r="B659" s="7" t="s">
        <v>561</v>
      </c>
      <c r="C659" s="7" t="s">
        <v>2252</v>
      </c>
      <c r="D659" s="7" t="s">
        <v>854</v>
      </c>
      <c r="E659" s="7" t="s">
        <v>872</v>
      </c>
      <c r="F659" s="7" t="s">
        <v>122</v>
      </c>
      <c r="G659" s="7" t="s">
        <v>444</v>
      </c>
      <c r="H659" s="7" t="s">
        <v>444</v>
      </c>
      <c r="I659" s="7" t="s">
        <v>1391</v>
      </c>
      <c r="J659" s="1" t="s">
        <v>2291</v>
      </c>
      <c r="K659" s="5">
        <f>SUMIF(BC!$E$6:$E$347,$A659,BC!$K$6:$K$347)</f>
        <v>0</v>
      </c>
      <c r="L659" s="5" t="e">
        <f>SUMIF(#REF!,$A659,#REF!)+SUMIF(#REF!,$A659,#REF!)</f>
        <v>#REF!</v>
      </c>
      <c r="M659" s="5" t="e">
        <f>SUMIF(#REF!,Casilleros!$A659,#REF!)+SUMIF(#REF!,Casilleros!$A659,#REF!)+SUMIF(#REF!,$A659,#REF!)</f>
        <v>#REF!</v>
      </c>
      <c r="N659" s="5" t="e">
        <f>SUMIF(#REF!,$A659,#REF!)</f>
        <v>#REF!</v>
      </c>
      <c r="O659" s="5" t="e">
        <f>SUMIF(#REF!,$A659,#REF!)+SUMIF(#REF!,$A659,#REF!)</f>
        <v>#REF!</v>
      </c>
      <c r="P659" s="5">
        <f>IFERROR(VLOOKUP($A659,#REF!,2,FALSE),0)</f>
        <v>0</v>
      </c>
      <c r="Q659" s="42" t="e">
        <f t="shared" si="11"/>
        <v>#REF!</v>
      </c>
    </row>
    <row r="660" spans="1:17">
      <c r="A660" s="56" t="s">
        <v>890</v>
      </c>
      <c r="B660" s="7" t="s">
        <v>561</v>
      </c>
      <c r="C660" s="7" t="s">
        <v>2252</v>
      </c>
      <c r="D660" s="7" t="s">
        <v>854</v>
      </c>
      <c r="E660" s="7" t="s">
        <v>888</v>
      </c>
      <c r="F660" s="7" t="s">
        <v>444</v>
      </c>
      <c r="G660" s="7" t="s">
        <v>444</v>
      </c>
      <c r="H660" s="7" t="s">
        <v>444</v>
      </c>
      <c r="I660" s="7" t="s">
        <v>1392</v>
      </c>
      <c r="J660" s="1" t="s">
        <v>2291</v>
      </c>
      <c r="K660" s="5">
        <f>SUMIF(BC!$E$6:$E$347,$A660,BC!$K$6:$K$347)</f>
        <v>0</v>
      </c>
      <c r="L660" s="5" t="e">
        <f>SUMIF(#REF!,$A660,#REF!)+SUMIF(#REF!,$A660,#REF!)</f>
        <v>#REF!</v>
      </c>
      <c r="M660" s="5" t="e">
        <f>SUMIF(#REF!,Casilleros!$A660,#REF!)+SUMIF(#REF!,Casilleros!$A660,#REF!)+SUMIF(#REF!,$A660,#REF!)</f>
        <v>#REF!</v>
      </c>
      <c r="N660" s="5" t="e">
        <f>SUMIF(#REF!,$A660,#REF!)</f>
        <v>#REF!</v>
      </c>
      <c r="O660" s="5" t="e">
        <f>SUMIF(#REF!,$A660,#REF!)+SUMIF(#REF!,$A660,#REF!)</f>
        <v>#REF!</v>
      </c>
      <c r="P660" s="5">
        <f>IFERROR(VLOOKUP($A660,#REF!,2,FALSE),0)</f>
        <v>0</v>
      </c>
      <c r="Q660" s="42" t="e">
        <f t="shared" si="11"/>
        <v>#REF!</v>
      </c>
    </row>
    <row r="661" spans="1:17">
      <c r="A661" s="56" t="s">
        <v>894</v>
      </c>
      <c r="B661" s="7" t="s">
        <v>561</v>
      </c>
      <c r="C661" s="7" t="s">
        <v>2252</v>
      </c>
      <c r="D661" s="7" t="s">
        <v>854</v>
      </c>
      <c r="E661" s="7" t="s">
        <v>892</v>
      </c>
      <c r="F661" s="7" t="s">
        <v>444</v>
      </c>
      <c r="G661" s="7" t="s">
        <v>444</v>
      </c>
      <c r="H661" s="7" t="s">
        <v>444</v>
      </c>
      <c r="I661" s="7" t="s">
        <v>1393</v>
      </c>
      <c r="J661" s="1" t="s">
        <v>2291</v>
      </c>
      <c r="K661" s="5">
        <f>SUMIF(BC!$E$6:$E$347,$A661,BC!$K$6:$K$347)</f>
        <v>0</v>
      </c>
      <c r="L661" s="5" t="e">
        <f>SUMIF(#REF!,$A661,#REF!)+SUMIF(#REF!,$A661,#REF!)</f>
        <v>#REF!</v>
      </c>
      <c r="M661" s="5" t="e">
        <f>SUMIF(#REF!,Casilleros!$A661,#REF!)+SUMIF(#REF!,Casilleros!$A661,#REF!)+SUMIF(#REF!,$A661,#REF!)</f>
        <v>#REF!</v>
      </c>
      <c r="N661" s="5" t="e">
        <f>SUMIF(#REF!,$A661,#REF!)</f>
        <v>#REF!</v>
      </c>
      <c r="O661" s="5" t="e">
        <f>SUMIF(#REF!,$A661,#REF!)+SUMIF(#REF!,$A661,#REF!)</f>
        <v>#REF!</v>
      </c>
      <c r="P661" s="5">
        <f>IFERROR(VLOOKUP($A661,#REF!,2,FALSE),0)</f>
        <v>0</v>
      </c>
      <c r="Q661" s="42" t="e">
        <f t="shared" si="11"/>
        <v>#REF!</v>
      </c>
    </row>
    <row r="662" spans="1:17">
      <c r="A662" s="56" t="s">
        <v>899</v>
      </c>
      <c r="B662" s="7" t="s">
        <v>561</v>
      </c>
      <c r="C662" s="7" t="s">
        <v>2252</v>
      </c>
      <c r="D662" s="7" t="s">
        <v>896</v>
      </c>
      <c r="E662" s="7" t="s">
        <v>897</v>
      </c>
      <c r="F662" s="7" t="s">
        <v>444</v>
      </c>
      <c r="G662" s="7" t="s">
        <v>444</v>
      </c>
      <c r="H662" s="7" t="s">
        <v>444</v>
      </c>
      <c r="I662" s="7" t="s">
        <v>1395</v>
      </c>
      <c r="J662" s="1" t="s">
        <v>2292</v>
      </c>
      <c r="K662" s="5">
        <f>SUMIF(BC!$E$6:$E$347,$A662,BC!$K$6:$K$347)</f>
        <v>0</v>
      </c>
      <c r="L662" s="5" t="e">
        <f>SUMIF(#REF!,$A662,#REF!)+SUMIF(#REF!,$A662,#REF!)</f>
        <v>#REF!</v>
      </c>
      <c r="M662" s="5" t="e">
        <f>SUMIF(#REF!,Casilleros!$A662,#REF!)+SUMIF(#REF!,Casilleros!$A662,#REF!)+SUMIF(#REF!,$A662,#REF!)</f>
        <v>#REF!</v>
      </c>
      <c r="N662" s="5" t="e">
        <f>SUMIF(#REF!,$A662,#REF!)</f>
        <v>#REF!</v>
      </c>
      <c r="O662" s="5" t="e">
        <f>SUMIF(#REF!,$A662,#REF!)+SUMIF(#REF!,$A662,#REF!)</f>
        <v>#REF!</v>
      </c>
      <c r="P662" s="5">
        <f>IFERROR(VLOOKUP($A662,#REF!,2,FALSE),0)</f>
        <v>0</v>
      </c>
      <c r="Q662" s="42" t="e">
        <f t="shared" si="11"/>
        <v>#REF!</v>
      </c>
    </row>
    <row r="663" spans="1:17">
      <c r="A663" s="56" t="s">
        <v>903</v>
      </c>
      <c r="B663" s="7" t="s">
        <v>561</v>
      </c>
      <c r="C663" s="7" t="s">
        <v>2252</v>
      </c>
      <c r="D663" s="7" t="s">
        <v>896</v>
      </c>
      <c r="E663" s="7" t="s">
        <v>901</v>
      </c>
      <c r="F663" s="7" t="s">
        <v>444</v>
      </c>
      <c r="G663" s="7" t="s">
        <v>444</v>
      </c>
      <c r="H663" s="7" t="s">
        <v>444</v>
      </c>
      <c r="I663" s="7" t="s">
        <v>1396</v>
      </c>
      <c r="J663" s="1" t="s">
        <v>2292</v>
      </c>
      <c r="K663" s="5">
        <f>SUMIF(BC!$E$6:$E$347,$A663,BC!$K$6:$K$347)</f>
        <v>0</v>
      </c>
      <c r="L663" s="5" t="e">
        <f>SUMIF(#REF!,$A663,#REF!)+SUMIF(#REF!,$A663,#REF!)</f>
        <v>#REF!</v>
      </c>
      <c r="M663" s="5" t="e">
        <f>SUMIF(#REF!,Casilleros!$A663,#REF!)+SUMIF(#REF!,Casilleros!$A663,#REF!)+SUMIF(#REF!,$A663,#REF!)</f>
        <v>#REF!</v>
      </c>
      <c r="N663" s="5" t="e">
        <f>SUMIF(#REF!,$A663,#REF!)</f>
        <v>#REF!</v>
      </c>
      <c r="O663" s="5" t="e">
        <f>SUMIF(#REF!,$A663,#REF!)+SUMIF(#REF!,$A663,#REF!)</f>
        <v>#REF!</v>
      </c>
      <c r="P663" s="5">
        <f>IFERROR(VLOOKUP($A663,#REF!,2,FALSE),0)</f>
        <v>0</v>
      </c>
      <c r="Q663" s="42" t="e">
        <f t="shared" si="11"/>
        <v>#REF!</v>
      </c>
    </row>
    <row r="664" spans="1:17">
      <c r="A664" s="56" t="s">
        <v>906</v>
      </c>
      <c r="B664" s="7" t="s">
        <v>561</v>
      </c>
      <c r="C664" s="7" t="s">
        <v>2252</v>
      </c>
      <c r="D664" s="7" t="s">
        <v>896</v>
      </c>
      <c r="E664" s="7" t="s">
        <v>872</v>
      </c>
      <c r="F664" s="7" t="s">
        <v>541</v>
      </c>
      <c r="G664" s="7" t="s">
        <v>444</v>
      </c>
      <c r="H664" s="7" t="s">
        <v>444</v>
      </c>
      <c r="I664" s="7" t="s">
        <v>1398</v>
      </c>
      <c r="J664" s="1" t="s">
        <v>2292</v>
      </c>
      <c r="K664" s="5">
        <f>SUMIF(BC!$E$6:$E$347,$A664,BC!$K$6:$K$347)</f>
        <v>0</v>
      </c>
      <c r="L664" s="5" t="e">
        <f>SUMIF(#REF!,$A664,#REF!)+SUMIF(#REF!,$A664,#REF!)</f>
        <v>#REF!</v>
      </c>
      <c r="M664" s="5" t="e">
        <f>SUMIF(#REF!,Casilleros!$A664,#REF!)+SUMIF(#REF!,Casilleros!$A664,#REF!)+SUMIF(#REF!,$A664,#REF!)</f>
        <v>#REF!</v>
      </c>
      <c r="N664" s="5" t="e">
        <f>SUMIF(#REF!,$A664,#REF!)</f>
        <v>#REF!</v>
      </c>
      <c r="O664" s="5" t="e">
        <f>SUMIF(#REF!,$A664,#REF!)+SUMIF(#REF!,$A664,#REF!)</f>
        <v>#REF!</v>
      </c>
      <c r="P664" s="5">
        <f>IFERROR(VLOOKUP($A664,#REF!,2,FALSE),0)</f>
        <v>0</v>
      </c>
      <c r="Q664" s="42" t="e">
        <f t="shared" si="11"/>
        <v>#REF!</v>
      </c>
    </row>
    <row r="665" spans="1:17">
      <c r="A665" s="56" t="s">
        <v>910</v>
      </c>
      <c r="B665" s="7" t="s">
        <v>561</v>
      </c>
      <c r="C665" s="7" t="s">
        <v>2252</v>
      </c>
      <c r="D665" s="7" t="s">
        <v>896</v>
      </c>
      <c r="E665" s="7" t="s">
        <v>872</v>
      </c>
      <c r="F665" s="7" t="s">
        <v>908</v>
      </c>
      <c r="G665" s="7" t="s">
        <v>444</v>
      </c>
      <c r="H665" s="7" t="s">
        <v>444</v>
      </c>
      <c r="I665" s="7" t="s">
        <v>1399</v>
      </c>
      <c r="J665" s="1" t="s">
        <v>2292</v>
      </c>
      <c r="K665" s="5">
        <f>SUMIF(BC!$E$6:$E$347,$A665,BC!$K$6:$K$347)</f>
        <v>0</v>
      </c>
      <c r="L665" s="5" t="e">
        <f>SUMIF(#REF!,$A665,#REF!)+SUMIF(#REF!,$A665,#REF!)</f>
        <v>#REF!</v>
      </c>
      <c r="M665" s="5" t="e">
        <f>SUMIF(#REF!,Casilleros!$A665,#REF!)+SUMIF(#REF!,Casilleros!$A665,#REF!)+SUMIF(#REF!,$A665,#REF!)</f>
        <v>#REF!</v>
      </c>
      <c r="N665" s="5" t="e">
        <f>SUMIF(#REF!,$A665,#REF!)</f>
        <v>#REF!</v>
      </c>
      <c r="O665" s="5" t="e">
        <f>SUMIF(#REF!,$A665,#REF!)+SUMIF(#REF!,$A665,#REF!)</f>
        <v>#REF!</v>
      </c>
      <c r="P665" s="5">
        <f>IFERROR(VLOOKUP($A665,#REF!,2,FALSE),0)</f>
        <v>0</v>
      </c>
      <c r="Q665" s="42" t="e">
        <f t="shared" si="11"/>
        <v>#REF!</v>
      </c>
    </row>
    <row r="666" spans="1:17">
      <c r="A666" s="56" t="s">
        <v>913</v>
      </c>
      <c r="B666" s="7" t="s">
        <v>561</v>
      </c>
      <c r="C666" s="7" t="s">
        <v>2252</v>
      </c>
      <c r="D666" s="7" t="s">
        <v>896</v>
      </c>
      <c r="E666" s="7" t="s">
        <v>872</v>
      </c>
      <c r="F666" s="7" t="s">
        <v>122</v>
      </c>
      <c r="G666" s="7" t="s">
        <v>444</v>
      </c>
      <c r="H666" s="7" t="s">
        <v>444</v>
      </c>
      <c r="I666" s="7" t="s">
        <v>1391</v>
      </c>
      <c r="J666" s="1" t="s">
        <v>2292</v>
      </c>
      <c r="K666" s="5">
        <f>SUMIF(BC!$E$6:$E$347,$A666,BC!$K$6:$K$347)</f>
        <v>0</v>
      </c>
      <c r="L666" s="5" t="e">
        <f>SUMIF(#REF!,$A666,#REF!)+SUMIF(#REF!,$A666,#REF!)</f>
        <v>#REF!</v>
      </c>
      <c r="M666" s="5" t="e">
        <f>SUMIF(#REF!,Casilleros!$A666,#REF!)+SUMIF(#REF!,Casilleros!$A666,#REF!)+SUMIF(#REF!,$A666,#REF!)</f>
        <v>#REF!</v>
      </c>
      <c r="N666" s="5" t="e">
        <f>SUMIF(#REF!,$A666,#REF!)</f>
        <v>#REF!</v>
      </c>
      <c r="O666" s="5" t="e">
        <f>SUMIF(#REF!,$A666,#REF!)+SUMIF(#REF!,$A666,#REF!)</f>
        <v>#REF!</v>
      </c>
      <c r="P666" s="5">
        <f>IFERROR(VLOOKUP($A666,#REF!,2,FALSE),0)</f>
        <v>0</v>
      </c>
      <c r="Q666" s="42" t="e">
        <f t="shared" si="11"/>
        <v>#REF!</v>
      </c>
    </row>
    <row r="667" spans="1:17">
      <c r="A667" s="56" t="s">
        <v>917</v>
      </c>
      <c r="B667" s="7" t="s">
        <v>561</v>
      </c>
      <c r="C667" s="7" t="s">
        <v>2252</v>
      </c>
      <c r="D667" s="7" t="s">
        <v>896</v>
      </c>
      <c r="E667" s="7" t="s">
        <v>915</v>
      </c>
      <c r="F667" s="7" t="s">
        <v>444</v>
      </c>
      <c r="G667" s="7" t="s">
        <v>444</v>
      </c>
      <c r="H667" s="7" t="s">
        <v>444</v>
      </c>
      <c r="I667" s="7" t="s">
        <v>1400</v>
      </c>
      <c r="J667" s="1" t="s">
        <v>2292</v>
      </c>
      <c r="K667" s="5">
        <f>SUMIF(BC!$E$6:$E$347,$A667,BC!$K$6:$K$347)</f>
        <v>0</v>
      </c>
      <c r="L667" s="5" t="e">
        <f>SUMIF(#REF!,$A667,#REF!)+SUMIF(#REF!,$A667,#REF!)</f>
        <v>#REF!</v>
      </c>
      <c r="M667" s="5" t="e">
        <f>SUMIF(#REF!,Casilleros!$A667,#REF!)+SUMIF(#REF!,Casilleros!$A667,#REF!)+SUMIF(#REF!,$A667,#REF!)</f>
        <v>#REF!</v>
      </c>
      <c r="N667" s="5" t="e">
        <f>SUMIF(#REF!,$A667,#REF!)</f>
        <v>#REF!</v>
      </c>
      <c r="O667" s="5" t="e">
        <f>SUMIF(#REF!,$A667,#REF!)+SUMIF(#REF!,$A667,#REF!)</f>
        <v>#REF!</v>
      </c>
      <c r="P667" s="5">
        <f>IFERROR(VLOOKUP($A667,#REF!,2,FALSE),0)</f>
        <v>0</v>
      </c>
      <c r="Q667" s="42" t="e">
        <f t="shared" si="11"/>
        <v>#REF!</v>
      </c>
    </row>
    <row r="668" spans="1:17">
      <c r="A668" s="56" t="s">
        <v>921</v>
      </c>
      <c r="B668" s="7" t="s">
        <v>561</v>
      </c>
      <c r="C668" s="7" t="s">
        <v>2252</v>
      </c>
      <c r="D668" s="7" t="s">
        <v>919</v>
      </c>
      <c r="E668" s="7" t="s">
        <v>920</v>
      </c>
      <c r="F668" s="7" t="s">
        <v>444</v>
      </c>
      <c r="G668" s="7" t="s">
        <v>444</v>
      </c>
      <c r="H668" s="7" t="s">
        <v>444</v>
      </c>
      <c r="I668" s="7" t="s">
        <v>1402</v>
      </c>
      <c r="J668" s="1" t="s">
        <v>2293</v>
      </c>
      <c r="K668" s="5">
        <f>SUMIF(BC!$E$6:$E$347,$A668,BC!$K$6:$K$347)</f>
        <v>0</v>
      </c>
      <c r="L668" s="5" t="e">
        <f>SUMIF(#REF!,$A668,#REF!)+SUMIF(#REF!,$A668,#REF!)</f>
        <v>#REF!</v>
      </c>
      <c r="M668" s="5" t="e">
        <f>SUMIF(#REF!,Casilleros!$A668,#REF!)+SUMIF(#REF!,Casilleros!$A668,#REF!)+SUMIF(#REF!,$A668,#REF!)</f>
        <v>#REF!</v>
      </c>
      <c r="N668" s="5" t="e">
        <f>SUMIF(#REF!,$A668,#REF!)</f>
        <v>#REF!</v>
      </c>
      <c r="O668" s="5" t="e">
        <f>SUMIF(#REF!,$A668,#REF!)+SUMIF(#REF!,$A668,#REF!)</f>
        <v>#REF!</v>
      </c>
      <c r="P668" s="5">
        <f>IFERROR(VLOOKUP($A668,#REF!,2,FALSE),0)</f>
        <v>0</v>
      </c>
      <c r="Q668" s="42" t="e">
        <f t="shared" si="11"/>
        <v>#REF!</v>
      </c>
    </row>
    <row r="669" spans="1:17">
      <c r="A669" s="56" t="s">
        <v>924</v>
      </c>
      <c r="B669" s="7" t="s">
        <v>561</v>
      </c>
      <c r="C669" s="7" t="s">
        <v>2252</v>
      </c>
      <c r="D669" s="7" t="s">
        <v>919</v>
      </c>
      <c r="E669" s="7" t="s">
        <v>633</v>
      </c>
      <c r="F669" s="7" t="s">
        <v>444</v>
      </c>
      <c r="G669" s="7" t="s">
        <v>444</v>
      </c>
      <c r="H669" s="7" t="s">
        <v>444</v>
      </c>
      <c r="I669" s="7" t="s">
        <v>1403</v>
      </c>
      <c r="J669" s="1" t="s">
        <v>2293</v>
      </c>
      <c r="K669" s="5">
        <f>SUMIF(BC!$E$6:$E$347,$A669,BC!$K$6:$K$347)</f>
        <v>0</v>
      </c>
      <c r="L669" s="5" t="e">
        <f>SUMIF(#REF!,$A669,#REF!)+SUMIF(#REF!,$A669,#REF!)</f>
        <v>#REF!</v>
      </c>
      <c r="M669" s="5" t="e">
        <f>SUMIF(#REF!,Casilleros!$A669,#REF!)+SUMIF(#REF!,Casilleros!$A669,#REF!)+SUMIF(#REF!,$A669,#REF!)</f>
        <v>#REF!</v>
      </c>
      <c r="N669" s="5" t="e">
        <f>SUMIF(#REF!,$A669,#REF!)</f>
        <v>#REF!</v>
      </c>
      <c r="O669" s="5" t="e">
        <f>SUMIF(#REF!,$A669,#REF!)+SUMIF(#REF!,$A669,#REF!)</f>
        <v>#REF!</v>
      </c>
      <c r="P669" s="5">
        <f>IFERROR(VLOOKUP($A669,#REF!,2,FALSE),0)</f>
        <v>0</v>
      </c>
      <c r="Q669" s="42" t="e">
        <f t="shared" si="11"/>
        <v>#REF!</v>
      </c>
    </row>
    <row r="670" spans="1:17">
      <c r="A670" s="56" t="s">
        <v>926</v>
      </c>
      <c r="B670" s="7" t="s">
        <v>561</v>
      </c>
      <c r="C670" s="7" t="s">
        <v>2252</v>
      </c>
      <c r="D670" s="7" t="s">
        <v>919</v>
      </c>
      <c r="E670" s="7" t="s">
        <v>636</v>
      </c>
      <c r="F670" s="7" t="s">
        <v>444</v>
      </c>
      <c r="G670" s="7" t="s">
        <v>444</v>
      </c>
      <c r="H670" s="7" t="s">
        <v>444</v>
      </c>
      <c r="I670" s="7" t="s">
        <v>1404</v>
      </c>
      <c r="J670" s="1" t="s">
        <v>2293</v>
      </c>
      <c r="K670" s="5">
        <f>SUMIF(BC!$E$6:$E$347,$A670,BC!$K$6:$K$347)</f>
        <v>0</v>
      </c>
      <c r="L670" s="5" t="e">
        <f>SUMIF(#REF!,$A670,#REF!)+SUMIF(#REF!,$A670,#REF!)</f>
        <v>#REF!</v>
      </c>
      <c r="M670" s="5" t="e">
        <f>SUMIF(#REF!,Casilleros!$A670,#REF!)+SUMIF(#REF!,Casilleros!$A670,#REF!)+SUMIF(#REF!,$A670,#REF!)</f>
        <v>#REF!</v>
      </c>
      <c r="N670" s="5" t="e">
        <f>SUMIF(#REF!,$A670,#REF!)</f>
        <v>#REF!</v>
      </c>
      <c r="O670" s="5" t="e">
        <f>SUMIF(#REF!,$A670,#REF!)+SUMIF(#REF!,$A670,#REF!)</f>
        <v>#REF!</v>
      </c>
      <c r="P670" s="5">
        <f>IFERROR(VLOOKUP($A670,#REF!,2,FALSE),0)</f>
        <v>0</v>
      </c>
      <c r="Q670" s="42" t="e">
        <f t="shared" si="11"/>
        <v>#REF!</v>
      </c>
    </row>
    <row r="671" spans="1:17">
      <c r="A671" s="56" t="s">
        <v>928</v>
      </c>
      <c r="B671" s="7" t="s">
        <v>561</v>
      </c>
      <c r="C671" s="7" t="s">
        <v>2252</v>
      </c>
      <c r="D671" s="7" t="s">
        <v>919</v>
      </c>
      <c r="E671" s="7" t="s">
        <v>639</v>
      </c>
      <c r="F671" s="7" t="s">
        <v>444</v>
      </c>
      <c r="G671" s="7" t="s">
        <v>444</v>
      </c>
      <c r="H671" s="7" t="s">
        <v>444</v>
      </c>
      <c r="I671" s="7" t="s">
        <v>1405</v>
      </c>
      <c r="J671" s="1" t="s">
        <v>2293</v>
      </c>
      <c r="K671" s="5">
        <f>SUMIF(BC!$E$6:$E$347,$A671,BC!$K$6:$K$347)</f>
        <v>0</v>
      </c>
      <c r="L671" s="5" t="e">
        <f>SUMIF(#REF!,$A671,#REF!)+SUMIF(#REF!,$A671,#REF!)</f>
        <v>#REF!</v>
      </c>
      <c r="M671" s="5" t="e">
        <f>SUMIF(#REF!,Casilleros!$A671,#REF!)+SUMIF(#REF!,Casilleros!$A671,#REF!)+SUMIF(#REF!,$A671,#REF!)</f>
        <v>#REF!</v>
      </c>
      <c r="N671" s="5" t="e">
        <f>SUMIF(#REF!,$A671,#REF!)</f>
        <v>#REF!</v>
      </c>
      <c r="O671" s="5" t="e">
        <f>SUMIF(#REF!,$A671,#REF!)+SUMIF(#REF!,$A671,#REF!)</f>
        <v>#REF!</v>
      </c>
      <c r="P671" s="5">
        <f>IFERROR(VLOOKUP($A671,#REF!,2,FALSE),0)</f>
        <v>0</v>
      </c>
      <c r="Q671" s="42" t="e">
        <f t="shared" si="11"/>
        <v>#REF!</v>
      </c>
    </row>
    <row r="672" spans="1:17">
      <c r="A672" s="56" t="s">
        <v>931</v>
      </c>
      <c r="B672" s="7" t="s">
        <v>561</v>
      </c>
      <c r="C672" s="7" t="s">
        <v>2252</v>
      </c>
      <c r="D672" s="7" t="s">
        <v>919</v>
      </c>
      <c r="E672" s="7" t="s">
        <v>642</v>
      </c>
      <c r="F672" s="7" t="s">
        <v>444</v>
      </c>
      <c r="G672" s="7" t="s">
        <v>444</v>
      </c>
      <c r="H672" s="7" t="s">
        <v>444</v>
      </c>
      <c r="I672" s="7" t="s">
        <v>1406</v>
      </c>
      <c r="J672" s="1" t="s">
        <v>2293</v>
      </c>
      <c r="K672" s="5">
        <f>SUMIF(BC!$E$6:$E$347,$A672,BC!$K$6:$K$347)</f>
        <v>0</v>
      </c>
      <c r="L672" s="5" t="e">
        <f>SUMIF(#REF!,$A672,#REF!)+SUMIF(#REF!,$A672,#REF!)</f>
        <v>#REF!</v>
      </c>
      <c r="M672" s="5" t="e">
        <f>SUMIF(#REF!,Casilleros!$A672,#REF!)+SUMIF(#REF!,Casilleros!$A672,#REF!)+SUMIF(#REF!,$A672,#REF!)</f>
        <v>#REF!</v>
      </c>
      <c r="N672" s="5" t="e">
        <f>SUMIF(#REF!,$A672,#REF!)</f>
        <v>#REF!</v>
      </c>
      <c r="O672" s="5" t="e">
        <f>SUMIF(#REF!,$A672,#REF!)+SUMIF(#REF!,$A672,#REF!)</f>
        <v>#REF!</v>
      </c>
      <c r="P672" s="5">
        <f>IFERROR(VLOOKUP($A672,#REF!,2,FALSE),0)</f>
        <v>0</v>
      </c>
      <c r="Q672" s="42" t="e">
        <f t="shared" si="11"/>
        <v>#REF!</v>
      </c>
    </row>
    <row r="673" spans="1:17">
      <c r="A673" s="56" t="s">
        <v>934</v>
      </c>
      <c r="B673" s="7" t="s">
        <v>561</v>
      </c>
      <c r="C673" s="7" t="s">
        <v>2252</v>
      </c>
      <c r="D673" s="7" t="s">
        <v>919</v>
      </c>
      <c r="E673" s="7" t="s">
        <v>645</v>
      </c>
      <c r="F673" s="7" t="s">
        <v>444</v>
      </c>
      <c r="G673" s="7" t="s">
        <v>444</v>
      </c>
      <c r="H673" s="7" t="s">
        <v>444</v>
      </c>
      <c r="I673" s="7" t="s">
        <v>1407</v>
      </c>
      <c r="J673" s="1" t="s">
        <v>2293</v>
      </c>
      <c r="K673" s="5">
        <f>SUMIF(BC!$E$6:$E$347,$A673,BC!$K$6:$K$347)</f>
        <v>0</v>
      </c>
      <c r="L673" s="5" t="e">
        <f>SUMIF(#REF!,$A673,#REF!)+SUMIF(#REF!,$A673,#REF!)</f>
        <v>#REF!</v>
      </c>
      <c r="M673" s="5" t="e">
        <f>SUMIF(#REF!,Casilleros!$A673,#REF!)+SUMIF(#REF!,Casilleros!$A673,#REF!)+SUMIF(#REF!,$A673,#REF!)</f>
        <v>#REF!</v>
      </c>
      <c r="N673" s="5" t="e">
        <f>SUMIF(#REF!,$A673,#REF!)</f>
        <v>#REF!</v>
      </c>
      <c r="O673" s="5" t="e">
        <f>SUMIF(#REF!,$A673,#REF!)+SUMIF(#REF!,$A673,#REF!)</f>
        <v>#REF!</v>
      </c>
      <c r="P673" s="5">
        <f>IFERROR(VLOOKUP($A673,#REF!,2,FALSE),0)</f>
        <v>0</v>
      </c>
      <c r="Q673" s="42" t="e">
        <f t="shared" si="11"/>
        <v>#REF!</v>
      </c>
    </row>
    <row r="674" spans="1:17">
      <c r="A674" s="56" t="s">
        <v>936</v>
      </c>
      <c r="B674" s="7" t="s">
        <v>561</v>
      </c>
      <c r="C674" s="7" t="s">
        <v>2252</v>
      </c>
      <c r="D674" s="7" t="s">
        <v>919</v>
      </c>
      <c r="E674" s="7" t="s">
        <v>648</v>
      </c>
      <c r="F674" s="7" t="s">
        <v>444</v>
      </c>
      <c r="G674" s="7" t="s">
        <v>444</v>
      </c>
      <c r="H674" s="7" t="s">
        <v>444</v>
      </c>
      <c r="I674" s="7" t="s">
        <v>1408</v>
      </c>
      <c r="J674" s="1" t="s">
        <v>2293</v>
      </c>
      <c r="K674" s="5">
        <f>SUMIF(BC!$E$6:$E$347,$A674,BC!$K$6:$K$347)</f>
        <v>0</v>
      </c>
      <c r="L674" s="5" t="e">
        <f>SUMIF(#REF!,$A674,#REF!)+SUMIF(#REF!,$A674,#REF!)</f>
        <v>#REF!</v>
      </c>
      <c r="M674" s="5" t="e">
        <f>SUMIF(#REF!,Casilleros!$A674,#REF!)+SUMIF(#REF!,Casilleros!$A674,#REF!)+SUMIF(#REF!,$A674,#REF!)</f>
        <v>#REF!</v>
      </c>
      <c r="N674" s="5" t="e">
        <f>SUMIF(#REF!,$A674,#REF!)</f>
        <v>#REF!</v>
      </c>
      <c r="O674" s="5" t="e">
        <f>SUMIF(#REF!,$A674,#REF!)+SUMIF(#REF!,$A674,#REF!)</f>
        <v>#REF!</v>
      </c>
      <c r="P674" s="5">
        <f>IFERROR(VLOOKUP($A674,#REF!,2,FALSE),0)</f>
        <v>0</v>
      </c>
      <c r="Q674" s="42" t="e">
        <f t="shared" si="11"/>
        <v>#REF!</v>
      </c>
    </row>
    <row r="675" spans="1:17">
      <c r="A675" s="56" t="s">
        <v>938</v>
      </c>
      <c r="B675" s="7" t="s">
        <v>561</v>
      </c>
      <c r="C675" s="7" t="s">
        <v>2252</v>
      </c>
      <c r="D675" s="7" t="s">
        <v>919</v>
      </c>
      <c r="E675" s="7" t="s">
        <v>651</v>
      </c>
      <c r="F675" s="7" t="s">
        <v>444</v>
      </c>
      <c r="G675" s="7" t="s">
        <v>444</v>
      </c>
      <c r="H675" s="7" t="s">
        <v>444</v>
      </c>
      <c r="I675" s="7" t="s">
        <v>1409</v>
      </c>
      <c r="J675" s="1" t="s">
        <v>2293</v>
      </c>
      <c r="K675" s="5">
        <f>SUMIF(BC!$E$6:$E$347,$A675,BC!$K$6:$K$347)</f>
        <v>0</v>
      </c>
      <c r="L675" s="5" t="e">
        <f>SUMIF(#REF!,$A675,#REF!)+SUMIF(#REF!,$A675,#REF!)</f>
        <v>#REF!</v>
      </c>
      <c r="M675" s="5" t="e">
        <f>SUMIF(#REF!,Casilleros!$A675,#REF!)+SUMIF(#REF!,Casilleros!$A675,#REF!)+SUMIF(#REF!,$A675,#REF!)</f>
        <v>#REF!</v>
      </c>
      <c r="N675" s="5" t="e">
        <f>SUMIF(#REF!,$A675,#REF!)</f>
        <v>#REF!</v>
      </c>
      <c r="O675" s="5" t="e">
        <f>SUMIF(#REF!,$A675,#REF!)+SUMIF(#REF!,$A675,#REF!)</f>
        <v>#REF!</v>
      </c>
      <c r="P675" s="5">
        <f>IFERROR(VLOOKUP($A675,#REF!,2,FALSE),0)</f>
        <v>0</v>
      </c>
      <c r="Q675" s="42" t="e">
        <f t="shared" si="11"/>
        <v>#REF!</v>
      </c>
    </row>
    <row r="676" spans="1:17">
      <c r="A676" s="56" t="s">
        <v>940</v>
      </c>
      <c r="B676" s="7" t="s">
        <v>561</v>
      </c>
      <c r="C676" s="7" t="s">
        <v>2252</v>
      </c>
      <c r="D676" s="7" t="s">
        <v>919</v>
      </c>
      <c r="E676" s="7" t="s">
        <v>654</v>
      </c>
      <c r="F676" s="7" t="s">
        <v>444</v>
      </c>
      <c r="G676" s="7" t="s">
        <v>444</v>
      </c>
      <c r="H676" s="7" t="s">
        <v>444</v>
      </c>
      <c r="I676" s="7" t="s">
        <v>1410</v>
      </c>
      <c r="J676" s="1" t="s">
        <v>2293</v>
      </c>
      <c r="K676" s="5">
        <f>SUMIF(BC!$E$6:$E$347,$A676,BC!$K$6:$K$347)</f>
        <v>0</v>
      </c>
      <c r="L676" s="5" t="e">
        <f>SUMIF(#REF!,$A676,#REF!)+SUMIF(#REF!,$A676,#REF!)</f>
        <v>#REF!</v>
      </c>
      <c r="M676" s="5" t="e">
        <f>SUMIF(#REF!,Casilleros!$A676,#REF!)+SUMIF(#REF!,Casilleros!$A676,#REF!)+SUMIF(#REF!,$A676,#REF!)</f>
        <v>#REF!</v>
      </c>
      <c r="N676" s="5" t="e">
        <f>SUMIF(#REF!,$A676,#REF!)</f>
        <v>#REF!</v>
      </c>
      <c r="O676" s="5" t="e">
        <f>SUMIF(#REF!,$A676,#REF!)+SUMIF(#REF!,$A676,#REF!)</f>
        <v>#REF!</v>
      </c>
      <c r="P676" s="5">
        <f>IFERROR(VLOOKUP($A676,#REF!,2,FALSE),0)</f>
        <v>0</v>
      </c>
      <c r="Q676" s="42" t="e">
        <f t="shared" si="11"/>
        <v>#REF!</v>
      </c>
    </row>
    <row r="677" spans="1:17">
      <c r="A677" s="56" t="s">
        <v>943</v>
      </c>
      <c r="B677" s="7" t="s">
        <v>561</v>
      </c>
      <c r="C677" s="7" t="s">
        <v>2252</v>
      </c>
      <c r="D677" s="7" t="s">
        <v>919</v>
      </c>
      <c r="E677" s="7" t="s">
        <v>425</v>
      </c>
      <c r="F677" s="7" t="s">
        <v>444</v>
      </c>
      <c r="G677" s="7" t="s">
        <v>444</v>
      </c>
      <c r="H677" s="7" t="s">
        <v>444</v>
      </c>
      <c r="I677" s="7" t="s">
        <v>1411</v>
      </c>
      <c r="J677" s="1" t="s">
        <v>2293</v>
      </c>
      <c r="K677" s="5">
        <f>SUMIF(BC!$E$6:$E$347,$A677,BC!$K$6:$K$347)</f>
        <v>0</v>
      </c>
      <c r="L677" s="5" t="e">
        <f>SUMIF(#REF!,$A677,#REF!)+SUMIF(#REF!,$A677,#REF!)</f>
        <v>#REF!</v>
      </c>
      <c r="M677" s="5" t="e">
        <f>SUMIF(#REF!,Casilleros!$A677,#REF!)+SUMIF(#REF!,Casilleros!$A677,#REF!)+SUMIF(#REF!,$A677,#REF!)</f>
        <v>#REF!</v>
      </c>
      <c r="N677" s="5" t="e">
        <f>SUMIF(#REF!,$A677,#REF!)</f>
        <v>#REF!</v>
      </c>
      <c r="O677" s="5" t="e">
        <f>SUMIF(#REF!,$A677,#REF!)+SUMIF(#REF!,$A677,#REF!)</f>
        <v>#REF!</v>
      </c>
      <c r="P677" s="5">
        <f>IFERROR(VLOOKUP($A677,#REF!,2,FALSE),0)</f>
        <v>0</v>
      </c>
      <c r="Q677" s="42" t="e">
        <f t="shared" si="11"/>
        <v>#REF!</v>
      </c>
    </row>
    <row r="678" spans="1:17">
      <c r="A678" s="56" t="s">
        <v>947</v>
      </c>
      <c r="B678" s="7" t="s">
        <v>561</v>
      </c>
      <c r="C678" s="7" t="s">
        <v>2252</v>
      </c>
      <c r="D678" s="7" t="s">
        <v>945</v>
      </c>
      <c r="E678" s="7" t="s">
        <v>411</v>
      </c>
      <c r="F678" s="7" t="s">
        <v>444</v>
      </c>
      <c r="G678" s="7" t="s">
        <v>444</v>
      </c>
      <c r="H678" s="7" t="s">
        <v>444</v>
      </c>
      <c r="I678" s="7" t="s">
        <v>1413</v>
      </c>
      <c r="J678" s="1" t="s">
        <v>2294</v>
      </c>
      <c r="K678" s="5">
        <f>SUMIF(BC!$E$6:$E$347,$A678,BC!$K$6:$K$347)</f>
        <v>0</v>
      </c>
      <c r="L678" s="5" t="e">
        <f>SUMIF(#REF!,$A678,#REF!)+SUMIF(#REF!,$A678,#REF!)</f>
        <v>#REF!</v>
      </c>
      <c r="M678" s="5" t="e">
        <f>SUMIF(#REF!,Casilleros!$A678,#REF!)+SUMIF(#REF!,Casilleros!$A678,#REF!)+SUMIF(#REF!,$A678,#REF!)</f>
        <v>#REF!</v>
      </c>
      <c r="N678" s="5" t="e">
        <f>SUMIF(#REF!,$A678,#REF!)</f>
        <v>#REF!</v>
      </c>
      <c r="O678" s="5" t="e">
        <f>SUMIF(#REF!,$A678,#REF!)+SUMIF(#REF!,$A678,#REF!)</f>
        <v>#REF!</v>
      </c>
      <c r="P678" s="5">
        <f>IFERROR(VLOOKUP($A678,#REF!,2,FALSE),0)</f>
        <v>0</v>
      </c>
      <c r="Q678" s="42" t="e">
        <f t="shared" si="11"/>
        <v>#REF!</v>
      </c>
    </row>
    <row r="679" spans="1:17">
      <c r="A679" s="56" t="s">
        <v>950</v>
      </c>
      <c r="B679" s="7" t="s">
        <v>561</v>
      </c>
      <c r="C679" s="7" t="s">
        <v>2252</v>
      </c>
      <c r="D679" s="7" t="s">
        <v>945</v>
      </c>
      <c r="E679" s="7" t="s">
        <v>662</v>
      </c>
      <c r="F679" s="7" t="s">
        <v>444</v>
      </c>
      <c r="G679" s="7" t="s">
        <v>444</v>
      </c>
      <c r="H679" s="7" t="s">
        <v>444</v>
      </c>
      <c r="I679" s="7" t="s">
        <v>1414</v>
      </c>
      <c r="J679" s="1" t="s">
        <v>2294</v>
      </c>
      <c r="K679" s="5">
        <f>SUMIF(BC!$E$6:$E$347,$A679,BC!$K$6:$K$347)</f>
        <v>0</v>
      </c>
      <c r="L679" s="5" t="e">
        <f>SUMIF(#REF!,$A679,#REF!)+SUMIF(#REF!,$A679,#REF!)</f>
        <v>#REF!</v>
      </c>
      <c r="M679" s="5" t="e">
        <f>SUMIF(#REF!,Casilleros!$A679,#REF!)+SUMIF(#REF!,Casilleros!$A679,#REF!)+SUMIF(#REF!,$A679,#REF!)</f>
        <v>#REF!</v>
      </c>
      <c r="N679" s="5" t="e">
        <f>SUMIF(#REF!,$A679,#REF!)</f>
        <v>#REF!</v>
      </c>
      <c r="O679" s="5" t="e">
        <f>SUMIF(#REF!,$A679,#REF!)+SUMIF(#REF!,$A679,#REF!)</f>
        <v>#REF!</v>
      </c>
      <c r="P679" s="5">
        <f>IFERROR(VLOOKUP($A679,#REF!,2,FALSE),0)</f>
        <v>0</v>
      </c>
      <c r="Q679" s="42" t="e">
        <f t="shared" si="11"/>
        <v>#REF!</v>
      </c>
    </row>
    <row r="680" spans="1:17">
      <c r="A680" s="56" t="s">
        <v>952</v>
      </c>
      <c r="B680" s="7" t="s">
        <v>561</v>
      </c>
      <c r="C680" s="7" t="s">
        <v>2252</v>
      </c>
      <c r="D680" s="7" t="s">
        <v>945</v>
      </c>
      <c r="E680" s="7" t="s">
        <v>415</v>
      </c>
      <c r="F680" s="7" t="s">
        <v>444</v>
      </c>
      <c r="G680" s="7" t="s">
        <v>444</v>
      </c>
      <c r="H680" s="7" t="s">
        <v>444</v>
      </c>
      <c r="I680" s="7" t="s">
        <v>1415</v>
      </c>
      <c r="J680" s="1" t="s">
        <v>2294</v>
      </c>
      <c r="K680" s="5">
        <f>SUMIF(BC!$E$6:$E$347,$A680,BC!$K$6:$K$347)</f>
        <v>0</v>
      </c>
      <c r="L680" s="5" t="e">
        <f>SUMIF(#REF!,$A680,#REF!)+SUMIF(#REF!,$A680,#REF!)</f>
        <v>#REF!</v>
      </c>
      <c r="M680" s="5" t="e">
        <f>SUMIF(#REF!,Casilleros!$A680,#REF!)+SUMIF(#REF!,Casilleros!$A680,#REF!)+SUMIF(#REF!,$A680,#REF!)</f>
        <v>#REF!</v>
      </c>
      <c r="N680" s="5" t="e">
        <f>SUMIF(#REF!,$A680,#REF!)</f>
        <v>#REF!</v>
      </c>
      <c r="O680" s="5" t="e">
        <f>SUMIF(#REF!,$A680,#REF!)+SUMIF(#REF!,$A680,#REF!)</f>
        <v>#REF!</v>
      </c>
      <c r="P680" s="5">
        <f>IFERROR(VLOOKUP($A680,#REF!,2,FALSE),0)</f>
        <v>0</v>
      </c>
      <c r="Q680" s="42" t="e">
        <f t="shared" si="11"/>
        <v>#REF!</v>
      </c>
    </row>
    <row r="681" spans="1:17">
      <c r="A681" s="56" t="s">
        <v>954</v>
      </c>
      <c r="B681" s="7" t="s">
        <v>561</v>
      </c>
      <c r="C681" s="7" t="s">
        <v>2252</v>
      </c>
      <c r="D681" s="7" t="s">
        <v>945</v>
      </c>
      <c r="E681" s="7" t="s">
        <v>417</v>
      </c>
      <c r="F681" s="7" t="s">
        <v>444</v>
      </c>
      <c r="G681" s="7" t="s">
        <v>444</v>
      </c>
      <c r="H681" s="7" t="s">
        <v>444</v>
      </c>
      <c r="I681" s="7" t="s">
        <v>1416</v>
      </c>
      <c r="J681" s="1" t="s">
        <v>2294</v>
      </c>
      <c r="K681" s="5">
        <f>SUMIF(BC!$E$6:$E$347,$A681,BC!$K$6:$K$347)</f>
        <v>0</v>
      </c>
      <c r="L681" s="5" t="e">
        <f>SUMIF(#REF!,$A681,#REF!)+SUMIF(#REF!,$A681,#REF!)</f>
        <v>#REF!</v>
      </c>
      <c r="M681" s="5" t="e">
        <f>SUMIF(#REF!,Casilleros!$A681,#REF!)+SUMIF(#REF!,Casilleros!$A681,#REF!)+SUMIF(#REF!,$A681,#REF!)</f>
        <v>#REF!</v>
      </c>
      <c r="N681" s="5" t="e">
        <f>SUMIF(#REF!,$A681,#REF!)</f>
        <v>#REF!</v>
      </c>
      <c r="O681" s="5" t="e">
        <f>SUMIF(#REF!,$A681,#REF!)+SUMIF(#REF!,$A681,#REF!)</f>
        <v>#REF!</v>
      </c>
      <c r="P681" s="5">
        <f>IFERROR(VLOOKUP($A681,#REF!,2,FALSE),0)</f>
        <v>0</v>
      </c>
      <c r="Q681" s="42" t="e">
        <f t="shared" si="11"/>
        <v>#REF!</v>
      </c>
    </row>
    <row r="682" spans="1:17">
      <c r="A682" s="56" t="s">
        <v>956</v>
      </c>
      <c r="B682" s="7" t="s">
        <v>561</v>
      </c>
      <c r="C682" s="7" t="s">
        <v>2252</v>
      </c>
      <c r="D682" s="7" t="s">
        <v>945</v>
      </c>
      <c r="E682" s="7" t="s">
        <v>419</v>
      </c>
      <c r="F682" s="7" t="s">
        <v>444</v>
      </c>
      <c r="G682" s="7" t="s">
        <v>444</v>
      </c>
      <c r="H682" s="7" t="s">
        <v>444</v>
      </c>
      <c r="I682" s="7" t="s">
        <v>1417</v>
      </c>
      <c r="J682" s="1" t="s">
        <v>2294</v>
      </c>
      <c r="K682" s="5">
        <f>SUMIF(BC!$E$6:$E$347,$A682,BC!$K$6:$K$347)</f>
        <v>0</v>
      </c>
      <c r="L682" s="5" t="e">
        <f>SUMIF(#REF!,$A682,#REF!)+SUMIF(#REF!,$A682,#REF!)</f>
        <v>#REF!</v>
      </c>
      <c r="M682" s="5" t="e">
        <f>SUMIF(#REF!,Casilleros!$A682,#REF!)+SUMIF(#REF!,Casilleros!$A682,#REF!)+SUMIF(#REF!,$A682,#REF!)</f>
        <v>#REF!</v>
      </c>
      <c r="N682" s="5" t="e">
        <f>SUMIF(#REF!,$A682,#REF!)</f>
        <v>#REF!</v>
      </c>
      <c r="O682" s="5" t="e">
        <f>SUMIF(#REF!,$A682,#REF!)+SUMIF(#REF!,$A682,#REF!)</f>
        <v>#REF!</v>
      </c>
      <c r="P682" s="5">
        <f>IFERROR(VLOOKUP($A682,#REF!,2,FALSE),0)</f>
        <v>0</v>
      </c>
      <c r="Q682" s="42" t="e">
        <f t="shared" si="11"/>
        <v>#REF!</v>
      </c>
    </row>
    <row r="683" spans="1:17">
      <c r="A683" s="56" t="s">
        <v>958</v>
      </c>
      <c r="B683" s="7" t="s">
        <v>561</v>
      </c>
      <c r="C683" s="7" t="s">
        <v>2252</v>
      </c>
      <c r="D683" s="7" t="s">
        <v>945</v>
      </c>
      <c r="E683" s="7" t="s">
        <v>421</v>
      </c>
      <c r="F683" s="7" t="s">
        <v>444</v>
      </c>
      <c r="G683" s="7" t="s">
        <v>444</v>
      </c>
      <c r="H683" s="7" t="s">
        <v>444</v>
      </c>
      <c r="I683" s="7" t="s">
        <v>1418</v>
      </c>
      <c r="J683" s="1" t="s">
        <v>2294</v>
      </c>
      <c r="K683" s="5">
        <f>SUMIF(BC!$E$6:$E$347,$A683,BC!$K$6:$K$347)</f>
        <v>0</v>
      </c>
      <c r="L683" s="5" t="e">
        <f>SUMIF(#REF!,$A683,#REF!)+SUMIF(#REF!,$A683,#REF!)</f>
        <v>#REF!</v>
      </c>
      <c r="M683" s="5" t="e">
        <f>SUMIF(#REF!,Casilleros!$A683,#REF!)+SUMIF(#REF!,Casilleros!$A683,#REF!)+SUMIF(#REF!,$A683,#REF!)</f>
        <v>#REF!</v>
      </c>
      <c r="N683" s="5" t="e">
        <f>SUMIF(#REF!,$A683,#REF!)</f>
        <v>#REF!</v>
      </c>
      <c r="O683" s="5" t="e">
        <f>SUMIF(#REF!,$A683,#REF!)+SUMIF(#REF!,$A683,#REF!)</f>
        <v>#REF!</v>
      </c>
      <c r="P683" s="5">
        <f>IFERROR(VLOOKUP($A683,#REF!,2,FALSE),0)</f>
        <v>0</v>
      </c>
      <c r="Q683" s="42" t="e">
        <f t="shared" si="11"/>
        <v>#REF!</v>
      </c>
    </row>
    <row r="684" spans="1:17">
      <c r="A684" s="56" t="s">
        <v>961</v>
      </c>
      <c r="B684" s="7" t="s">
        <v>561</v>
      </c>
      <c r="C684" s="7" t="s">
        <v>2252</v>
      </c>
      <c r="D684" s="7" t="s">
        <v>945</v>
      </c>
      <c r="E684" s="7" t="s">
        <v>423</v>
      </c>
      <c r="F684" s="7" t="s">
        <v>444</v>
      </c>
      <c r="G684" s="7" t="s">
        <v>444</v>
      </c>
      <c r="H684" s="7" t="s">
        <v>444</v>
      </c>
      <c r="I684" s="7" t="s">
        <v>1419</v>
      </c>
      <c r="J684" s="1" t="s">
        <v>2294</v>
      </c>
      <c r="K684" s="5">
        <f>SUMIF(BC!$E$6:$E$347,$A684,BC!$K$6:$K$347)</f>
        <v>0</v>
      </c>
      <c r="L684" s="5" t="e">
        <f>SUMIF(#REF!,$A684,#REF!)+SUMIF(#REF!,$A684,#REF!)</f>
        <v>#REF!</v>
      </c>
      <c r="M684" s="5" t="e">
        <f>SUMIF(#REF!,Casilleros!$A684,#REF!)+SUMIF(#REF!,Casilleros!$A684,#REF!)+SUMIF(#REF!,$A684,#REF!)</f>
        <v>#REF!</v>
      </c>
      <c r="N684" s="5" t="e">
        <f>SUMIF(#REF!,$A684,#REF!)</f>
        <v>#REF!</v>
      </c>
      <c r="O684" s="5" t="e">
        <f>SUMIF(#REF!,$A684,#REF!)+SUMIF(#REF!,$A684,#REF!)</f>
        <v>#REF!</v>
      </c>
      <c r="P684" s="5">
        <f>IFERROR(VLOOKUP($A684,#REF!,2,FALSE),0)</f>
        <v>0</v>
      </c>
      <c r="Q684" s="42" t="e">
        <f t="shared" si="11"/>
        <v>#REF!</v>
      </c>
    </row>
    <row r="685" spans="1:17">
      <c r="A685" s="56" t="s">
        <v>964</v>
      </c>
      <c r="B685" s="7" t="s">
        <v>561</v>
      </c>
      <c r="C685" s="7" t="s">
        <v>2252</v>
      </c>
      <c r="D685" s="7" t="s">
        <v>945</v>
      </c>
      <c r="E685" s="7" t="s">
        <v>122</v>
      </c>
      <c r="F685" s="7" t="s">
        <v>444</v>
      </c>
      <c r="G685" s="7" t="s">
        <v>444</v>
      </c>
      <c r="H685" s="7" t="s">
        <v>444</v>
      </c>
      <c r="I685" s="7" t="s">
        <v>1420</v>
      </c>
      <c r="J685" s="1" t="s">
        <v>2294</v>
      </c>
      <c r="K685" s="5">
        <f>SUMIF(BC!$E$6:$E$347,$A685,BC!$K$6:$K$347)</f>
        <v>0</v>
      </c>
      <c r="L685" s="5" t="e">
        <f>SUMIF(#REF!,$A685,#REF!)+SUMIF(#REF!,$A685,#REF!)</f>
        <v>#REF!</v>
      </c>
      <c r="M685" s="5" t="e">
        <f>SUMIF(#REF!,Casilleros!$A685,#REF!)+SUMIF(#REF!,Casilleros!$A685,#REF!)+SUMIF(#REF!,$A685,#REF!)</f>
        <v>#REF!</v>
      </c>
      <c r="N685" s="5" t="e">
        <f>SUMIF(#REF!,$A685,#REF!)</f>
        <v>#REF!</v>
      </c>
      <c r="O685" s="5" t="e">
        <f>SUMIF(#REF!,$A685,#REF!)+SUMIF(#REF!,$A685,#REF!)</f>
        <v>#REF!</v>
      </c>
      <c r="P685" s="5">
        <f>IFERROR(VLOOKUP($A685,#REF!,2,FALSE),0)</f>
        <v>0</v>
      </c>
      <c r="Q685" s="42" t="e">
        <f t="shared" si="11"/>
        <v>#REF!</v>
      </c>
    </row>
    <row r="686" spans="1:17">
      <c r="A686" s="56" t="s">
        <v>967</v>
      </c>
      <c r="B686" s="7" t="s">
        <v>561</v>
      </c>
      <c r="C686" s="7" t="s">
        <v>2252</v>
      </c>
      <c r="D686" s="7" t="s">
        <v>966</v>
      </c>
      <c r="E686" s="7" t="s">
        <v>108</v>
      </c>
      <c r="F686" s="7" t="s">
        <v>444</v>
      </c>
      <c r="G686" s="7" t="s">
        <v>444</v>
      </c>
      <c r="H686" s="7" t="s">
        <v>444</v>
      </c>
      <c r="I686" s="7" t="s">
        <v>1422</v>
      </c>
      <c r="J686" s="1" t="s">
        <v>2295</v>
      </c>
      <c r="K686" s="5">
        <f>SUMIF(BC!$E$6:$E$347,$A686,BC!$K$6:$K$347)</f>
        <v>0</v>
      </c>
      <c r="L686" s="5" t="e">
        <f>SUMIF(#REF!,$A686,#REF!)+SUMIF(#REF!,$A686,#REF!)</f>
        <v>#REF!</v>
      </c>
      <c r="M686" s="5" t="e">
        <f>SUMIF(#REF!,Casilleros!$A686,#REF!)+SUMIF(#REF!,Casilleros!$A686,#REF!)+SUMIF(#REF!,$A686,#REF!)</f>
        <v>#REF!</v>
      </c>
      <c r="N686" s="5" t="e">
        <f>SUMIF(#REF!,$A686,#REF!)</f>
        <v>#REF!</v>
      </c>
      <c r="O686" s="5" t="e">
        <f>SUMIF(#REF!,$A686,#REF!)+SUMIF(#REF!,$A686,#REF!)</f>
        <v>#REF!</v>
      </c>
      <c r="P686" s="5">
        <f>IFERROR(VLOOKUP($A686,#REF!,2,FALSE),0)</f>
        <v>0</v>
      </c>
      <c r="Q686" s="42" t="e">
        <f t="shared" si="11"/>
        <v>#REF!</v>
      </c>
    </row>
    <row r="687" spans="1:17">
      <c r="A687" s="56" t="s">
        <v>968</v>
      </c>
      <c r="B687" s="7" t="s">
        <v>561</v>
      </c>
      <c r="C687" s="7" t="s">
        <v>2252</v>
      </c>
      <c r="D687" s="7" t="s">
        <v>966</v>
      </c>
      <c r="E687" s="7" t="s">
        <v>110</v>
      </c>
      <c r="F687" s="7" t="s">
        <v>444</v>
      </c>
      <c r="G687" s="7" t="s">
        <v>444</v>
      </c>
      <c r="H687" s="7" t="s">
        <v>444</v>
      </c>
      <c r="I687" s="7" t="s">
        <v>1423</v>
      </c>
      <c r="J687" s="1" t="s">
        <v>2295</v>
      </c>
      <c r="K687" s="5">
        <f>SUMIF(BC!$E$6:$E$347,$A687,BC!$K$6:$K$347)</f>
        <v>0</v>
      </c>
      <c r="L687" s="5" t="e">
        <f>SUMIF(#REF!,$A687,#REF!)+SUMIF(#REF!,$A687,#REF!)</f>
        <v>#REF!</v>
      </c>
      <c r="M687" s="5" t="e">
        <f>SUMIF(#REF!,Casilleros!$A687,#REF!)+SUMIF(#REF!,Casilleros!$A687,#REF!)+SUMIF(#REF!,$A687,#REF!)</f>
        <v>#REF!</v>
      </c>
      <c r="N687" s="5" t="e">
        <f>SUMIF(#REF!,$A687,#REF!)</f>
        <v>#REF!</v>
      </c>
      <c r="O687" s="5" t="e">
        <f>SUMIF(#REF!,$A687,#REF!)+SUMIF(#REF!,$A687,#REF!)</f>
        <v>#REF!</v>
      </c>
      <c r="P687" s="5">
        <f>IFERROR(VLOOKUP($A687,#REF!,2,FALSE),0)</f>
        <v>0</v>
      </c>
      <c r="Q687" s="42" t="e">
        <f t="shared" si="11"/>
        <v>#REF!</v>
      </c>
    </row>
    <row r="688" spans="1:17">
      <c r="A688" s="56" t="s">
        <v>971</v>
      </c>
      <c r="B688" s="7" t="s">
        <v>561</v>
      </c>
      <c r="C688" s="7" t="s">
        <v>2252</v>
      </c>
      <c r="D688" s="7" t="s">
        <v>12</v>
      </c>
      <c r="E688" s="7" t="s">
        <v>444</v>
      </c>
      <c r="F688" s="7" t="s">
        <v>444</v>
      </c>
      <c r="G688" s="7" t="s">
        <v>444</v>
      </c>
      <c r="H688" s="7" t="s">
        <v>444</v>
      </c>
      <c r="I688" s="7" t="s">
        <v>1424</v>
      </c>
      <c r="J688" s="1" t="s">
        <v>2296</v>
      </c>
      <c r="K688" s="5">
        <f>SUMIF(BC!$E$6:$E$347,$A688,BC!$K$6:$K$347)</f>
        <v>0</v>
      </c>
      <c r="L688" s="5" t="e">
        <f>SUMIF(#REF!,$A688,#REF!)+SUMIF(#REF!,$A688,#REF!)</f>
        <v>#REF!</v>
      </c>
      <c r="M688" s="5" t="e">
        <f>SUMIF(#REF!,Casilleros!$A688,#REF!)+SUMIF(#REF!,Casilleros!$A688,#REF!)+SUMIF(#REF!,$A688,#REF!)</f>
        <v>#REF!</v>
      </c>
      <c r="N688" s="5" t="e">
        <f>SUMIF(#REF!,$A688,#REF!)</f>
        <v>#REF!</v>
      </c>
      <c r="O688" s="5" t="e">
        <f>SUMIF(#REF!,$A688,#REF!)+SUMIF(#REF!,$A688,#REF!)</f>
        <v>#REF!</v>
      </c>
      <c r="P688" s="5">
        <f>IFERROR(VLOOKUP($A688,#REF!,2,FALSE),0)</f>
        <v>0</v>
      </c>
      <c r="Q688" s="42" t="e">
        <f t="shared" si="11"/>
        <v>#REF!</v>
      </c>
    </row>
    <row r="689" spans="1:17">
      <c r="A689" s="56" t="s">
        <v>973</v>
      </c>
      <c r="B689" s="7" t="s">
        <v>561</v>
      </c>
      <c r="C689" s="7" t="s">
        <v>2252</v>
      </c>
      <c r="D689" s="7" t="s">
        <v>12</v>
      </c>
      <c r="E689" s="7" t="s">
        <v>24</v>
      </c>
      <c r="F689" s="7" t="s">
        <v>444</v>
      </c>
      <c r="G689" s="7" t="s">
        <v>444</v>
      </c>
      <c r="H689" s="7" t="s">
        <v>444</v>
      </c>
      <c r="I689" s="7" t="s">
        <v>1425</v>
      </c>
      <c r="J689" s="1" t="s">
        <v>2296</v>
      </c>
      <c r="K689" s="5" t="e">
        <f>SUMIF(BC!$E$6:$E$347,$A689,BC!$K$6:$K$347)</f>
        <v>#REF!</v>
      </c>
      <c r="L689" s="5" t="e">
        <f>SUMIF(#REF!,$A689,#REF!)+SUMIF(#REF!,$A689,#REF!)</f>
        <v>#REF!</v>
      </c>
      <c r="M689" s="5" t="e">
        <f>SUMIF(#REF!,Casilleros!$A689,#REF!)+SUMIF(#REF!,Casilleros!$A689,#REF!)+SUMIF(#REF!,$A689,#REF!)</f>
        <v>#REF!</v>
      </c>
      <c r="N689" s="5" t="e">
        <f>SUMIF(#REF!,$A689,#REF!)</f>
        <v>#REF!</v>
      </c>
      <c r="O689" s="5" t="e">
        <f>SUMIF(#REF!,$A689,#REF!)+SUMIF(#REF!,$A689,#REF!)</f>
        <v>#REF!</v>
      </c>
      <c r="P689" s="5">
        <f>IFERROR(VLOOKUP($A689,#REF!,2,FALSE),0)</f>
        <v>0</v>
      </c>
      <c r="Q689" s="42" t="e">
        <f t="shared" si="11"/>
        <v>#REF!</v>
      </c>
    </row>
    <row r="690" spans="1:17">
      <c r="A690" s="56" t="s">
        <v>976</v>
      </c>
      <c r="B690" s="7" t="s">
        <v>561</v>
      </c>
      <c r="C690" s="7" t="s">
        <v>2252</v>
      </c>
      <c r="D690" s="7" t="s">
        <v>12</v>
      </c>
      <c r="E690" s="7" t="s">
        <v>975</v>
      </c>
      <c r="F690" s="7" t="s">
        <v>444</v>
      </c>
      <c r="G690" s="7" t="s">
        <v>444</v>
      </c>
      <c r="H690" s="7" t="s">
        <v>444</v>
      </c>
      <c r="I690" s="7" t="s">
        <v>1426</v>
      </c>
      <c r="J690" s="1" t="s">
        <v>2296</v>
      </c>
      <c r="K690" s="5" t="e">
        <f>SUMIF(BC!$E$6:$E$347,$A690,BC!$K$6:$K$347)</f>
        <v>#REF!</v>
      </c>
      <c r="L690" s="5" t="e">
        <f>SUMIF(#REF!,$A690,#REF!)+SUMIF(#REF!,$A690,#REF!)</f>
        <v>#REF!</v>
      </c>
      <c r="M690" s="5" t="e">
        <f>SUMIF(#REF!,Casilleros!$A690,#REF!)+SUMIF(#REF!,Casilleros!$A690,#REF!)+SUMIF(#REF!,$A690,#REF!)</f>
        <v>#REF!</v>
      </c>
      <c r="N690" s="5" t="e">
        <f>SUMIF(#REF!,$A690,#REF!)</f>
        <v>#REF!</v>
      </c>
      <c r="O690" s="5" t="e">
        <f>SUMIF(#REF!,$A690,#REF!)+SUMIF(#REF!,$A690,#REF!)</f>
        <v>#REF!</v>
      </c>
      <c r="P690" s="5">
        <f>IFERROR(VLOOKUP($A690,#REF!,2,FALSE),0)</f>
        <v>0</v>
      </c>
      <c r="Q690" s="42" t="e">
        <f t="shared" si="11"/>
        <v>#REF!</v>
      </c>
    </row>
    <row r="691" spans="1:17">
      <c r="A691" s="56" t="s">
        <v>980</v>
      </c>
      <c r="B691" s="7" t="s">
        <v>561</v>
      </c>
      <c r="C691" s="7" t="s">
        <v>2252</v>
      </c>
      <c r="D691" s="7" t="s">
        <v>12</v>
      </c>
      <c r="E691" s="7" t="s">
        <v>978</v>
      </c>
      <c r="F691" s="7" t="s">
        <v>444</v>
      </c>
      <c r="G691" s="7" t="s">
        <v>444</v>
      </c>
      <c r="H691" s="7" t="s">
        <v>444</v>
      </c>
      <c r="I691" s="7" t="s">
        <v>1427</v>
      </c>
      <c r="J691" s="1" t="s">
        <v>2296</v>
      </c>
      <c r="K691" s="5">
        <f>SUMIF(BC!$E$6:$E$347,$A691,BC!$K$6:$K$347)</f>
        <v>0</v>
      </c>
      <c r="L691" s="5" t="e">
        <f>SUMIF(#REF!,$A691,#REF!)+SUMIF(#REF!,$A691,#REF!)</f>
        <v>#REF!</v>
      </c>
      <c r="M691" s="5" t="e">
        <f>SUMIF(#REF!,Casilleros!$A691,#REF!)+SUMIF(#REF!,Casilleros!$A691,#REF!)+SUMIF(#REF!,$A691,#REF!)</f>
        <v>#REF!</v>
      </c>
      <c r="N691" s="5" t="e">
        <f>SUMIF(#REF!,$A691,#REF!)</f>
        <v>#REF!</v>
      </c>
      <c r="O691" s="5" t="e">
        <f>SUMIF(#REF!,$A691,#REF!)+SUMIF(#REF!,$A691,#REF!)</f>
        <v>#REF!</v>
      </c>
      <c r="P691" s="5">
        <f>IFERROR(VLOOKUP($A691,#REF!,2,FALSE),0)</f>
        <v>0</v>
      </c>
      <c r="Q691" s="42" t="e">
        <f t="shared" si="11"/>
        <v>#REF!</v>
      </c>
    </row>
    <row r="692" spans="1:17">
      <c r="A692" s="56" t="s">
        <v>982</v>
      </c>
      <c r="B692" s="7" t="s">
        <v>561</v>
      </c>
      <c r="C692" s="7" t="s">
        <v>2252</v>
      </c>
      <c r="D692" s="7" t="s">
        <v>12</v>
      </c>
      <c r="E692" s="7" t="s">
        <v>15</v>
      </c>
      <c r="F692" s="7" t="s">
        <v>444</v>
      </c>
      <c r="G692" s="7" t="s">
        <v>444</v>
      </c>
      <c r="H692" s="7" t="s">
        <v>444</v>
      </c>
      <c r="I692" s="7" t="s">
        <v>1428</v>
      </c>
      <c r="J692" s="1" t="s">
        <v>2296</v>
      </c>
      <c r="K692" s="5" t="e">
        <f>SUMIF(BC!$E$6:$E$347,$A692,BC!$K$6:$K$347)</f>
        <v>#REF!</v>
      </c>
      <c r="L692" s="5" t="e">
        <f>SUMIF(#REF!,$A692,#REF!)+SUMIF(#REF!,$A692,#REF!)</f>
        <v>#REF!</v>
      </c>
      <c r="M692" s="5" t="e">
        <f>SUMIF(#REF!,Casilleros!$A692,#REF!)+SUMIF(#REF!,Casilleros!$A692,#REF!)+SUMIF(#REF!,$A692,#REF!)</f>
        <v>#REF!</v>
      </c>
      <c r="N692" s="5" t="e">
        <f>SUMIF(#REF!,$A692,#REF!)</f>
        <v>#REF!</v>
      </c>
      <c r="O692" s="5" t="e">
        <f>SUMIF(#REF!,$A692,#REF!)+SUMIF(#REF!,$A692,#REF!)</f>
        <v>#REF!</v>
      </c>
      <c r="P692" s="5">
        <f>IFERROR(VLOOKUP($A692,#REF!,2,FALSE),0)</f>
        <v>0</v>
      </c>
      <c r="Q692" s="42" t="e">
        <f t="shared" si="11"/>
        <v>#REF!</v>
      </c>
    </row>
    <row r="693" spans="1:17">
      <c r="A693" s="56" t="s">
        <v>984</v>
      </c>
      <c r="B693" s="7" t="s">
        <v>561</v>
      </c>
      <c r="C693" s="7" t="s">
        <v>2252</v>
      </c>
      <c r="D693" s="7" t="s">
        <v>12</v>
      </c>
      <c r="E693" s="7" t="s">
        <v>18</v>
      </c>
      <c r="F693" s="7" t="s">
        <v>444</v>
      </c>
      <c r="G693" s="7" t="s">
        <v>444</v>
      </c>
      <c r="H693" s="7" t="s">
        <v>444</v>
      </c>
      <c r="I693" s="7" t="s">
        <v>1429</v>
      </c>
      <c r="J693" s="1" t="s">
        <v>2296</v>
      </c>
      <c r="K693" s="5">
        <f>SUMIF(BC!$E$6:$E$347,$A693,BC!$K$6:$K$347)</f>
        <v>0</v>
      </c>
      <c r="L693" s="5" t="e">
        <f>SUMIF(#REF!,$A693,#REF!)+SUMIF(#REF!,$A693,#REF!)</f>
        <v>#REF!</v>
      </c>
      <c r="M693" s="5" t="e">
        <f>SUMIF(#REF!,Casilleros!$A693,#REF!)+SUMIF(#REF!,Casilleros!$A693,#REF!)+SUMIF(#REF!,$A693,#REF!)</f>
        <v>#REF!</v>
      </c>
      <c r="N693" s="5" t="e">
        <f>SUMIF(#REF!,$A693,#REF!)</f>
        <v>#REF!</v>
      </c>
      <c r="O693" s="5" t="e">
        <f>SUMIF(#REF!,$A693,#REF!)+SUMIF(#REF!,$A693,#REF!)</f>
        <v>#REF!</v>
      </c>
      <c r="P693" s="5">
        <f>IFERROR(VLOOKUP($A693,#REF!,2,FALSE),0)</f>
        <v>0</v>
      </c>
      <c r="Q693" s="42" t="e">
        <f t="shared" si="11"/>
        <v>#REF!</v>
      </c>
    </row>
    <row r="694" spans="1:17">
      <c r="A694" s="56" t="s">
        <v>987</v>
      </c>
      <c r="B694" s="7" t="s">
        <v>561</v>
      </c>
      <c r="C694" s="7" t="s">
        <v>2252</v>
      </c>
      <c r="D694" s="7" t="s">
        <v>12</v>
      </c>
      <c r="E694" s="7" t="s">
        <v>986</v>
      </c>
      <c r="F694" s="7" t="s">
        <v>444</v>
      </c>
      <c r="G694" s="7" t="s">
        <v>444</v>
      </c>
      <c r="H694" s="7" t="s">
        <v>444</v>
      </c>
      <c r="I694" s="7" t="s">
        <v>1430</v>
      </c>
      <c r="J694" s="1" t="s">
        <v>2296</v>
      </c>
      <c r="K694" s="5" t="e">
        <f>SUMIF(BC!$E$6:$E$347,$A694,BC!$K$6:$K$347)</f>
        <v>#REF!</v>
      </c>
      <c r="L694" s="5" t="e">
        <f>SUMIF(#REF!,$A694,#REF!)+SUMIF(#REF!,$A694,#REF!)</f>
        <v>#REF!</v>
      </c>
      <c r="M694" s="5" t="e">
        <f>SUMIF(#REF!,Casilleros!$A694,#REF!)+SUMIF(#REF!,Casilleros!$A694,#REF!)+SUMIF(#REF!,$A694,#REF!)</f>
        <v>#REF!</v>
      </c>
      <c r="N694" s="5" t="e">
        <f>SUMIF(#REF!,$A694,#REF!)</f>
        <v>#REF!</v>
      </c>
      <c r="O694" s="5" t="e">
        <f>SUMIF(#REF!,$A694,#REF!)+SUMIF(#REF!,$A694,#REF!)</f>
        <v>#REF!</v>
      </c>
      <c r="P694" s="5">
        <f>IFERROR(VLOOKUP($A694,#REF!,2,FALSE),0)</f>
        <v>0</v>
      </c>
      <c r="Q694" s="42" t="e">
        <f t="shared" si="11"/>
        <v>#REF!</v>
      </c>
    </row>
    <row r="695" spans="1:17">
      <c r="A695" s="56" t="s">
        <v>991</v>
      </c>
      <c r="B695" s="7" t="s">
        <v>561</v>
      </c>
      <c r="C695" s="7" t="s">
        <v>2252</v>
      </c>
      <c r="D695" s="7" t="s">
        <v>12</v>
      </c>
      <c r="E695" s="7" t="s">
        <v>989</v>
      </c>
      <c r="F695" s="7" t="s">
        <v>444</v>
      </c>
      <c r="G695" s="7" t="s">
        <v>444</v>
      </c>
      <c r="H695" s="7" t="s">
        <v>444</v>
      </c>
      <c r="I695" s="7" t="s">
        <v>1431</v>
      </c>
      <c r="J695" s="1" t="s">
        <v>2296</v>
      </c>
      <c r="K695" s="5" t="e">
        <f>SUMIF(BC!$E$6:$E$347,$A695,BC!$K$6:$K$347)</f>
        <v>#REF!</v>
      </c>
      <c r="L695" s="5" t="e">
        <f>SUMIF(#REF!,$A695,#REF!)+SUMIF(#REF!,$A695,#REF!)</f>
        <v>#REF!</v>
      </c>
      <c r="M695" s="5" t="e">
        <f>SUMIF(#REF!,Casilleros!$A695,#REF!)+SUMIF(#REF!,Casilleros!$A695,#REF!)+SUMIF(#REF!,$A695,#REF!)</f>
        <v>#REF!</v>
      </c>
      <c r="N695" s="5" t="e">
        <f>SUMIF(#REF!,$A695,#REF!)</f>
        <v>#REF!</v>
      </c>
      <c r="O695" s="5" t="e">
        <f>SUMIF(#REF!,$A695,#REF!)+SUMIF(#REF!,$A695,#REF!)</f>
        <v>#REF!</v>
      </c>
      <c r="P695" s="5">
        <f>IFERROR(VLOOKUP($A695,#REF!,2,FALSE),0)</f>
        <v>0</v>
      </c>
      <c r="Q695" s="42" t="e">
        <f t="shared" si="11"/>
        <v>#REF!</v>
      </c>
    </row>
    <row r="696" spans="1:17">
      <c r="A696" s="56" t="s">
        <v>994</v>
      </c>
      <c r="B696" s="7" t="s">
        <v>561</v>
      </c>
      <c r="C696" s="7" t="s">
        <v>2252</v>
      </c>
      <c r="D696" s="7" t="s">
        <v>12</v>
      </c>
      <c r="E696" s="7" t="s">
        <v>993</v>
      </c>
      <c r="F696" s="7" t="s">
        <v>444</v>
      </c>
      <c r="G696" s="7" t="s">
        <v>444</v>
      </c>
      <c r="H696" s="7" t="s">
        <v>444</v>
      </c>
      <c r="I696" s="7" t="s">
        <v>1432</v>
      </c>
      <c r="J696" s="1" t="s">
        <v>2296</v>
      </c>
      <c r="K696" s="5">
        <f>SUMIF(BC!$E$6:$E$347,$A696,BC!$K$6:$K$347)</f>
        <v>0</v>
      </c>
      <c r="L696" s="5" t="e">
        <f>SUMIF(#REF!,$A696,#REF!)+SUMIF(#REF!,$A696,#REF!)</f>
        <v>#REF!</v>
      </c>
      <c r="M696" s="5" t="e">
        <f>SUMIF(#REF!,Casilleros!$A696,#REF!)+SUMIF(#REF!,Casilleros!$A696,#REF!)+SUMIF(#REF!,$A696,#REF!)</f>
        <v>#REF!</v>
      </c>
      <c r="N696" s="5" t="e">
        <f>SUMIF(#REF!,$A696,#REF!)</f>
        <v>#REF!</v>
      </c>
      <c r="O696" s="5" t="e">
        <f>SUMIF(#REF!,$A696,#REF!)+SUMIF(#REF!,$A696,#REF!)</f>
        <v>#REF!</v>
      </c>
      <c r="P696" s="5">
        <f>IFERROR(VLOOKUP($A696,#REF!,2,FALSE),0)</f>
        <v>0</v>
      </c>
      <c r="Q696" s="42" t="e">
        <f t="shared" si="11"/>
        <v>#REF!</v>
      </c>
    </row>
    <row r="697" spans="1:17">
      <c r="A697" s="56" t="s">
        <v>998</v>
      </c>
      <c r="B697" s="7" t="s">
        <v>561</v>
      </c>
      <c r="C697" s="7" t="s">
        <v>2252</v>
      </c>
      <c r="D697" s="7" t="s">
        <v>12</v>
      </c>
      <c r="E697" s="7" t="s">
        <v>996</v>
      </c>
      <c r="F697" s="7" t="s">
        <v>444</v>
      </c>
      <c r="G697" s="7" t="s">
        <v>444</v>
      </c>
      <c r="H697" s="7" t="s">
        <v>444</v>
      </c>
      <c r="I697" s="7" t="s">
        <v>1433</v>
      </c>
      <c r="J697" s="1" t="s">
        <v>2296</v>
      </c>
      <c r="K697" s="5" t="e">
        <f>SUMIF(BC!$E$6:$E$347,$A697,BC!$K$6:$K$347)</f>
        <v>#REF!</v>
      </c>
      <c r="L697" s="5" t="e">
        <f>SUMIF(#REF!,$A697,#REF!)+SUMIF(#REF!,$A697,#REF!)</f>
        <v>#REF!</v>
      </c>
      <c r="M697" s="5" t="e">
        <f>SUMIF(#REF!,Casilleros!$A697,#REF!)+SUMIF(#REF!,Casilleros!$A697,#REF!)+SUMIF(#REF!,$A697,#REF!)</f>
        <v>#REF!</v>
      </c>
      <c r="N697" s="5" t="e">
        <f>SUMIF(#REF!,$A697,#REF!)</f>
        <v>#REF!</v>
      </c>
      <c r="O697" s="5" t="e">
        <f>SUMIF(#REF!,$A697,#REF!)+SUMIF(#REF!,$A697,#REF!)</f>
        <v>#REF!</v>
      </c>
      <c r="P697" s="5">
        <f>IFERROR(VLOOKUP($A697,#REF!,2,FALSE),0)</f>
        <v>0</v>
      </c>
      <c r="Q697" s="42" t="e">
        <f t="shared" si="11"/>
        <v>#REF!</v>
      </c>
    </row>
    <row r="698" spans="1:17">
      <c r="A698" s="56" t="s">
        <v>1002</v>
      </c>
      <c r="B698" s="7" t="s">
        <v>561</v>
      </c>
      <c r="C698" s="7" t="s">
        <v>2252</v>
      </c>
      <c r="D698" s="7" t="s">
        <v>12</v>
      </c>
      <c r="E698" s="7" t="s">
        <v>1000</v>
      </c>
      <c r="F698" s="7" t="s">
        <v>444</v>
      </c>
      <c r="G698" s="7" t="s">
        <v>444</v>
      </c>
      <c r="H698" s="7" t="s">
        <v>444</v>
      </c>
      <c r="I698" s="7" t="s">
        <v>1434</v>
      </c>
      <c r="J698" s="1" t="s">
        <v>2296</v>
      </c>
      <c r="K698" s="5">
        <f>SUMIF(BC!$E$6:$E$347,$A698,BC!$K$6:$K$347)</f>
        <v>0</v>
      </c>
      <c r="L698" s="5" t="e">
        <f>SUMIF(#REF!,$A698,#REF!)+SUMIF(#REF!,$A698,#REF!)</f>
        <v>#REF!</v>
      </c>
      <c r="M698" s="5" t="e">
        <f>SUMIF(#REF!,Casilleros!$A698,#REF!)+SUMIF(#REF!,Casilleros!$A698,#REF!)+SUMIF(#REF!,$A698,#REF!)</f>
        <v>#REF!</v>
      </c>
      <c r="N698" s="5" t="e">
        <f>SUMIF(#REF!,$A698,#REF!)</f>
        <v>#REF!</v>
      </c>
      <c r="O698" s="5" t="e">
        <f>SUMIF(#REF!,$A698,#REF!)+SUMIF(#REF!,$A698,#REF!)</f>
        <v>#REF!</v>
      </c>
      <c r="P698" s="5">
        <f>IFERROR(VLOOKUP($A698,#REF!,2,FALSE),0)</f>
        <v>0</v>
      </c>
      <c r="Q698" s="42" t="e">
        <f t="shared" si="11"/>
        <v>#REF!</v>
      </c>
    </row>
    <row r="699" spans="1:17">
      <c r="A699" s="56" t="s">
        <v>1006</v>
      </c>
      <c r="B699" s="7" t="s">
        <v>561</v>
      </c>
      <c r="C699" s="7" t="s">
        <v>2252</v>
      </c>
      <c r="D699" s="7" t="s">
        <v>12</v>
      </c>
      <c r="E699" s="7" t="s">
        <v>1004</v>
      </c>
      <c r="F699" s="7" t="s">
        <v>444</v>
      </c>
      <c r="G699" s="7" t="s">
        <v>444</v>
      </c>
      <c r="H699" s="7" t="s">
        <v>444</v>
      </c>
      <c r="I699" s="7" t="s">
        <v>1435</v>
      </c>
      <c r="J699" s="1" t="s">
        <v>2296</v>
      </c>
      <c r="K699" s="5" t="e">
        <f>SUMIF(BC!$E$6:$E$347,$A699,BC!$K$6:$K$347)</f>
        <v>#REF!</v>
      </c>
      <c r="L699" s="5" t="e">
        <f>SUMIF(#REF!,$A699,#REF!)+SUMIF(#REF!,$A699,#REF!)</f>
        <v>#REF!</v>
      </c>
      <c r="M699" s="5" t="e">
        <f>SUMIF(#REF!,Casilleros!$A699,#REF!)+SUMIF(#REF!,Casilleros!$A699,#REF!)+SUMIF(#REF!,$A699,#REF!)</f>
        <v>#REF!</v>
      </c>
      <c r="N699" s="5" t="e">
        <f>SUMIF(#REF!,$A699,#REF!)</f>
        <v>#REF!</v>
      </c>
      <c r="O699" s="5" t="e">
        <f>SUMIF(#REF!,$A699,#REF!)+SUMIF(#REF!,$A699,#REF!)</f>
        <v>#REF!</v>
      </c>
      <c r="P699" s="5">
        <f>IFERROR(VLOOKUP($A699,#REF!,2,FALSE),0)</f>
        <v>0</v>
      </c>
      <c r="Q699" s="42" t="e">
        <f t="shared" si="11"/>
        <v>#REF!</v>
      </c>
    </row>
    <row r="700" spans="1:17">
      <c r="A700" s="56" t="s">
        <v>1010</v>
      </c>
      <c r="B700" s="7" t="s">
        <v>561</v>
      </c>
      <c r="C700" s="7" t="s">
        <v>2252</v>
      </c>
      <c r="D700" s="7" t="s">
        <v>12</v>
      </c>
      <c r="E700" s="7" t="s">
        <v>1008</v>
      </c>
      <c r="F700" s="7" t="s">
        <v>444</v>
      </c>
      <c r="G700" s="7" t="s">
        <v>444</v>
      </c>
      <c r="H700" s="7" t="s">
        <v>444</v>
      </c>
      <c r="I700" s="7" t="s">
        <v>1436</v>
      </c>
      <c r="J700" s="1" t="s">
        <v>2296</v>
      </c>
      <c r="K700" s="5">
        <f>SUMIF(BC!$E$6:$E$347,$A700,BC!$K$6:$K$347)</f>
        <v>0</v>
      </c>
      <c r="L700" s="5" t="e">
        <f>SUMIF(#REF!,$A700,#REF!)+SUMIF(#REF!,$A700,#REF!)</f>
        <v>#REF!</v>
      </c>
      <c r="M700" s="5" t="e">
        <f>SUMIF(#REF!,Casilleros!$A700,#REF!)+SUMIF(#REF!,Casilleros!$A700,#REF!)+SUMIF(#REF!,$A700,#REF!)</f>
        <v>#REF!</v>
      </c>
      <c r="N700" s="5" t="e">
        <f>SUMIF(#REF!,$A700,#REF!)</f>
        <v>#REF!</v>
      </c>
      <c r="O700" s="5" t="e">
        <f>SUMIF(#REF!,$A700,#REF!)+SUMIF(#REF!,$A700,#REF!)</f>
        <v>#REF!</v>
      </c>
      <c r="P700" s="5">
        <f>IFERROR(VLOOKUP($A700,#REF!,2,FALSE),0)</f>
        <v>0</v>
      </c>
      <c r="Q700" s="42" t="e">
        <f t="shared" si="11"/>
        <v>#REF!</v>
      </c>
    </row>
    <row r="701" spans="1:17">
      <c r="A701" s="56" t="s">
        <v>1014</v>
      </c>
      <c r="B701" s="7" t="s">
        <v>561</v>
      </c>
      <c r="C701" s="7" t="s">
        <v>2252</v>
      </c>
      <c r="D701" s="7" t="s">
        <v>12</v>
      </c>
      <c r="E701" s="7" t="s">
        <v>1012</v>
      </c>
      <c r="F701" s="7" t="s">
        <v>444</v>
      </c>
      <c r="G701" s="7" t="s">
        <v>444</v>
      </c>
      <c r="H701" s="7" t="s">
        <v>444</v>
      </c>
      <c r="I701" s="7" t="s">
        <v>1437</v>
      </c>
      <c r="J701" s="1" t="s">
        <v>2296</v>
      </c>
      <c r="K701" s="5" t="e">
        <f>SUMIF(BC!$E$6:$E$347,$A701,BC!$K$6:$K$347)</f>
        <v>#REF!</v>
      </c>
      <c r="L701" s="5" t="e">
        <f>SUMIF(#REF!,$A701,#REF!)+SUMIF(#REF!,$A701,#REF!)</f>
        <v>#REF!</v>
      </c>
      <c r="M701" s="5" t="e">
        <f>SUMIF(#REF!,Casilleros!$A701,#REF!)+SUMIF(#REF!,Casilleros!$A701,#REF!)+SUMIF(#REF!,$A701,#REF!)</f>
        <v>#REF!</v>
      </c>
      <c r="N701" s="5" t="e">
        <f>SUMIF(#REF!,$A701,#REF!)</f>
        <v>#REF!</v>
      </c>
      <c r="O701" s="5" t="e">
        <f>SUMIF(#REF!,$A701,#REF!)+SUMIF(#REF!,$A701,#REF!)</f>
        <v>#REF!</v>
      </c>
      <c r="P701" s="5">
        <f>IFERROR(VLOOKUP($A701,#REF!,2,FALSE),0)</f>
        <v>0</v>
      </c>
      <c r="Q701" s="42" t="e">
        <f t="shared" si="11"/>
        <v>#REF!</v>
      </c>
    </row>
    <row r="702" spans="1:17">
      <c r="A702" s="56" t="s">
        <v>1018</v>
      </c>
      <c r="B702" s="7" t="s">
        <v>561</v>
      </c>
      <c r="C702" s="7" t="s">
        <v>2252</v>
      </c>
      <c r="D702" s="7" t="s">
        <v>12</v>
      </c>
      <c r="E702" s="7" t="s">
        <v>1016</v>
      </c>
      <c r="F702" s="7" t="s">
        <v>72</v>
      </c>
      <c r="G702" s="7" t="s">
        <v>25</v>
      </c>
      <c r="H702" s="7" t="s">
        <v>444</v>
      </c>
      <c r="I702" s="7" t="s">
        <v>1440</v>
      </c>
      <c r="J702" s="1" t="s">
        <v>2296</v>
      </c>
      <c r="K702" s="5">
        <f>SUMIF(BC!$E$6:$E$347,$A702,BC!$K$6:$K$347)</f>
        <v>0</v>
      </c>
      <c r="L702" s="5" t="e">
        <f>SUMIF(#REF!,$A702,#REF!)+SUMIF(#REF!,$A702,#REF!)</f>
        <v>#REF!</v>
      </c>
      <c r="M702" s="5" t="e">
        <f>SUMIF(#REF!,Casilleros!$A702,#REF!)+SUMIF(#REF!,Casilleros!$A702,#REF!)+SUMIF(#REF!,$A702,#REF!)</f>
        <v>#REF!</v>
      </c>
      <c r="N702" s="5" t="e">
        <f>SUMIF(#REF!,$A702,#REF!)</f>
        <v>#REF!</v>
      </c>
      <c r="O702" s="5" t="e">
        <f>SUMIF(#REF!,$A702,#REF!)+SUMIF(#REF!,$A702,#REF!)</f>
        <v>#REF!</v>
      </c>
      <c r="P702" s="5">
        <f>IFERROR(VLOOKUP($A702,#REF!,2,FALSE),0)</f>
        <v>0</v>
      </c>
      <c r="Q702" s="42" t="e">
        <f t="shared" si="11"/>
        <v>#REF!</v>
      </c>
    </row>
    <row r="703" spans="1:17">
      <c r="A703" s="56" t="s">
        <v>1021</v>
      </c>
      <c r="B703" s="7" t="s">
        <v>561</v>
      </c>
      <c r="C703" s="7" t="s">
        <v>2252</v>
      </c>
      <c r="D703" s="7" t="s">
        <v>12</v>
      </c>
      <c r="E703" s="7" t="s">
        <v>1016</v>
      </c>
      <c r="F703" s="7" t="s">
        <v>72</v>
      </c>
      <c r="G703" s="7" t="s">
        <v>26</v>
      </c>
      <c r="H703" s="7" t="s">
        <v>444</v>
      </c>
      <c r="I703" s="7" t="s">
        <v>1441</v>
      </c>
      <c r="J703" s="1" t="s">
        <v>2296</v>
      </c>
      <c r="K703" s="5">
        <f>SUMIF(BC!$E$6:$E$347,$A703,BC!$K$6:$K$347)</f>
        <v>0</v>
      </c>
      <c r="L703" s="5" t="e">
        <f>SUMIF(#REF!,$A703,#REF!)+SUMIF(#REF!,$A703,#REF!)</f>
        <v>#REF!</v>
      </c>
      <c r="M703" s="5" t="e">
        <f>SUMIF(#REF!,Casilleros!$A703,#REF!)+SUMIF(#REF!,Casilleros!$A703,#REF!)+SUMIF(#REF!,$A703,#REF!)</f>
        <v>#REF!</v>
      </c>
      <c r="N703" s="5" t="e">
        <f>SUMIF(#REF!,$A703,#REF!)</f>
        <v>#REF!</v>
      </c>
      <c r="O703" s="5" t="e">
        <f>SUMIF(#REF!,$A703,#REF!)+SUMIF(#REF!,$A703,#REF!)</f>
        <v>#REF!</v>
      </c>
      <c r="P703" s="5">
        <f>IFERROR(VLOOKUP($A703,#REF!,2,FALSE),0)</f>
        <v>0</v>
      </c>
      <c r="Q703" s="42" t="e">
        <f t="shared" si="11"/>
        <v>#REF!</v>
      </c>
    </row>
    <row r="704" spans="1:17">
      <c r="A704" s="56" t="s">
        <v>1024</v>
      </c>
      <c r="B704" s="7" t="s">
        <v>561</v>
      </c>
      <c r="C704" s="7" t="s">
        <v>2252</v>
      </c>
      <c r="D704" s="7" t="s">
        <v>12</v>
      </c>
      <c r="E704" s="7" t="s">
        <v>1016</v>
      </c>
      <c r="F704" s="7" t="s">
        <v>78</v>
      </c>
      <c r="G704" s="7" t="s">
        <v>25</v>
      </c>
      <c r="H704" s="7" t="s">
        <v>444</v>
      </c>
      <c r="I704" s="7" t="s">
        <v>1443</v>
      </c>
      <c r="J704" s="1" t="s">
        <v>2296</v>
      </c>
      <c r="K704" s="5">
        <f>SUMIF(BC!$E$6:$E$347,$A704,BC!$K$6:$K$347)</f>
        <v>0</v>
      </c>
      <c r="L704" s="5" t="e">
        <f>SUMIF(#REF!,$A704,#REF!)+SUMIF(#REF!,$A704,#REF!)</f>
        <v>#REF!</v>
      </c>
      <c r="M704" s="5" t="e">
        <f>SUMIF(#REF!,Casilleros!$A704,#REF!)+SUMIF(#REF!,Casilleros!$A704,#REF!)+SUMIF(#REF!,$A704,#REF!)</f>
        <v>#REF!</v>
      </c>
      <c r="N704" s="5" t="e">
        <f>SUMIF(#REF!,$A704,#REF!)</f>
        <v>#REF!</v>
      </c>
      <c r="O704" s="5" t="e">
        <f>SUMIF(#REF!,$A704,#REF!)+SUMIF(#REF!,$A704,#REF!)</f>
        <v>#REF!</v>
      </c>
      <c r="P704" s="5">
        <f>IFERROR(VLOOKUP($A704,#REF!,2,FALSE),0)</f>
        <v>0</v>
      </c>
      <c r="Q704" s="42" t="e">
        <f t="shared" si="11"/>
        <v>#REF!</v>
      </c>
    </row>
    <row r="705" spans="1:17">
      <c r="A705" s="56" t="s">
        <v>1027</v>
      </c>
      <c r="B705" s="7" t="s">
        <v>561</v>
      </c>
      <c r="C705" s="7" t="s">
        <v>2252</v>
      </c>
      <c r="D705" s="7" t="s">
        <v>12</v>
      </c>
      <c r="E705" s="7" t="s">
        <v>1016</v>
      </c>
      <c r="F705" s="7" t="s">
        <v>78</v>
      </c>
      <c r="G705" s="7" t="s">
        <v>26</v>
      </c>
      <c r="H705" s="7" t="s">
        <v>444</v>
      </c>
      <c r="I705" s="7" t="s">
        <v>1444</v>
      </c>
      <c r="J705" s="1" t="s">
        <v>2296</v>
      </c>
      <c r="K705" s="5">
        <f>SUMIF(BC!$E$6:$E$347,$A705,BC!$K$6:$K$347)</f>
        <v>0</v>
      </c>
      <c r="L705" s="5" t="e">
        <f>SUMIF(#REF!,$A705,#REF!)+SUMIF(#REF!,$A705,#REF!)</f>
        <v>#REF!</v>
      </c>
      <c r="M705" s="5" t="e">
        <f>SUMIF(#REF!,Casilleros!$A705,#REF!)+SUMIF(#REF!,Casilleros!$A705,#REF!)+SUMIF(#REF!,$A705,#REF!)</f>
        <v>#REF!</v>
      </c>
      <c r="N705" s="5" t="e">
        <f>SUMIF(#REF!,$A705,#REF!)</f>
        <v>#REF!</v>
      </c>
      <c r="O705" s="5" t="e">
        <f>SUMIF(#REF!,$A705,#REF!)+SUMIF(#REF!,$A705,#REF!)</f>
        <v>#REF!</v>
      </c>
      <c r="P705" s="5">
        <f>IFERROR(VLOOKUP($A705,#REF!,2,FALSE),0)</f>
        <v>0</v>
      </c>
      <c r="Q705" s="42" t="e">
        <f t="shared" si="11"/>
        <v>#REF!</v>
      </c>
    </row>
    <row r="706" spans="1:17">
      <c r="A706" s="56" t="s">
        <v>1031</v>
      </c>
      <c r="B706" s="7" t="s">
        <v>561</v>
      </c>
      <c r="C706" s="7" t="s">
        <v>2252</v>
      </c>
      <c r="D706" s="7" t="s">
        <v>12</v>
      </c>
      <c r="E706" s="7" t="s">
        <v>1029</v>
      </c>
      <c r="F706" s="7" t="s">
        <v>72</v>
      </c>
      <c r="G706" s="7" t="s">
        <v>25</v>
      </c>
      <c r="H706" s="7" t="s">
        <v>444</v>
      </c>
      <c r="I706" s="7" t="s">
        <v>1447</v>
      </c>
      <c r="J706" s="1" t="s">
        <v>2296</v>
      </c>
      <c r="K706" s="5">
        <f>SUMIF(BC!$E$6:$E$347,$A706,BC!$K$6:$K$347)</f>
        <v>0</v>
      </c>
      <c r="L706" s="5" t="e">
        <f>SUMIF(#REF!,$A706,#REF!)+SUMIF(#REF!,$A706,#REF!)</f>
        <v>#REF!</v>
      </c>
      <c r="M706" s="5" t="e">
        <f>SUMIF(#REF!,Casilleros!$A706,#REF!)+SUMIF(#REF!,Casilleros!$A706,#REF!)+SUMIF(#REF!,$A706,#REF!)</f>
        <v>#REF!</v>
      </c>
      <c r="N706" s="5" t="e">
        <f>SUMIF(#REF!,$A706,#REF!)</f>
        <v>#REF!</v>
      </c>
      <c r="O706" s="5" t="e">
        <f>SUMIF(#REF!,$A706,#REF!)+SUMIF(#REF!,$A706,#REF!)</f>
        <v>#REF!</v>
      </c>
      <c r="P706" s="5">
        <f>IFERROR(VLOOKUP($A706,#REF!,2,FALSE),0)</f>
        <v>0</v>
      </c>
      <c r="Q706" s="42" t="e">
        <f t="shared" si="11"/>
        <v>#REF!</v>
      </c>
    </row>
    <row r="707" spans="1:17">
      <c r="A707" s="56" t="s">
        <v>1034</v>
      </c>
      <c r="B707" s="7" t="s">
        <v>561</v>
      </c>
      <c r="C707" s="7" t="s">
        <v>2252</v>
      </c>
      <c r="D707" s="7" t="s">
        <v>12</v>
      </c>
      <c r="E707" s="7" t="s">
        <v>1029</v>
      </c>
      <c r="F707" s="7" t="s">
        <v>72</v>
      </c>
      <c r="G707" s="7" t="s">
        <v>26</v>
      </c>
      <c r="H707" s="7" t="s">
        <v>444</v>
      </c>
      <c r="I707" s="7" t="s">
        <v>1448</v>
      </c>
      <c r="J707" s="1" t="s">
        <v>2296</v>
      </c>
      <c r="K707" s="5">
        <f>SUMIF(BC!$E$6:$E$347,$A707,BC!$K$6:$K$347)</f>
        <v>0</v>
      </c>
      <c r="L707" s="5" t="e">
        <f>SUMIF(#REF!,$A707,#REF!)+SUMIF(#REF!,$A707,#REF!)</f>
        <v>#REF!</v>
      </c>
      <c r="M707" s="5" t="e">
        <f>SUMIF(#REF!,Casilleros!$A707,#REF!)+SUMIF(#REF!,Casilleros!$A707,#REF!)+SUMIF(#REF!,$A707,#REF!)</f>
        <v>#REF!</v>
      </c>
      <c r="N707" s="5" t="e">
        <f>SUMIF(#REF!,$A707,#REF!)</f>
        <v>#REF!</v>
      </c>
      <c r="O707" s="5" t="e">
        <f>SUMIF(#REF!,$A707,#REF!)+SUMIF(#REF!,$A707,#REF!)</f>
        <v>#REF!</v>
      </c>
      <c r="P707" s="5">
        <f>IFERROR(VLOOKUP($A707,#REF!,2,FALSE),0)</f>
        <v>0</v>
      </c>
      <c r="Q707" s="42" t="e">
        <f t="shared" si="11"/>
        <v>#REF!</v>
      </c>
    </row>
    <row r="708" spans="1:17">
      <c r="A708" s="56" t="s">
        <v>1037</v>
      </c>
      <c r="B708" s="7" t="s">
        <v>561</v>
      </c>
      <c r="C708" s="7" t="s">
        <v>2252</v>
      </c>
      <c r="D708" s="7" t="s">
        <v>12</v>
      </c>
      <c r="E708" s="7" t="s">
        <v>1029</v>
      </c>
      <c r="F708" s="7" t="s">
        <v>78</v>
      </c>
      <c r="G708" s="7" t="s">
        <v>25</v>
      </c>
      <c r="H708" s="7" t="s">
        <v>444</v>
      </c>
      <c r="I708" s="7" t="s">
        <v>1450</v>
      </c>
      <c r="J708" s="1" t="s">
        <v>2296</v>
      </c>
      <c r="K708" s="5">
        <f>SUMIF(BC!$E$6:$E$347,$A708,BC!$K$6:$K$347)</f>
        <v>0</v>
      </c>
      <c r="L708" s="5" t="e">
        <f>SUMIF(#REF!,$A708,#REF!)+SUMIF(#REF!,$A708,#REF!)</f>
        <v>#REF!</v>
      </c>
      <c r="M708" s="5" t="e">
        <f>SUMIF(#REF!,Casilleros!$A708,#REF!)+SUMIF(#REF!,Casilleros!$A708,#REF!)+SUMIF(#REF!,$A708,#REF!)</f>
        <v>#REF!</v>
      </c>
      <c r="N708" s="5" t="e">
        <f>SUMIF(#REF!,$A708,#REF!)</f>
        <v>#REF!</v>
      </c>
      <c r="O708" s="5" t="e">
        <f>SUMIF(#REF!,$A708,#REF!)+SUMIF(#REF!,$A708,#REF!)</f>
        <v>#REF!</v>
      </c>
      <c r="P708" s="5">
        <f>IFERROR(VLOOKUP($A708,#REF!,2,FALSE),0)</f>
        <v>0</v>
      </c>
      <c r="Q708" s="42" t="e">
        <f t="shared" si="11"/>
        <v>#REF!</v>
      </c>
    </row>
    <row r="709" spans="1:17">
      <c r="A709" s="56" t="s">
        <v>1040</v>
      </c>
      <c r="B709" s="7" t="s">
        <v>561</v>
      </c>
      <c r="C709" s="7" t="s">
        <v>2252</v>
      </c>
      <c r="D709" s="7" t="s">
        <v>12</v>
      </c>
      <c r="E709" s="7" t="s">
        <v>1029</v>
      </c>
      <c r="F709" s="7" t="s">
        <v>78</v>
      </c>
      <c r="G709" s="7" t="s">
        <v>26</v>
      </c>
      <c r="H709" s="7" t="s">
        <v>444</v>
      </c>
      <c r="I709" s="7" t="s">
        <v>1451</v>
      </c>
      <c r="J709" s="1" t="s">
        <v>2296</v>
      </c>
      <c r="K709" s="5">
        <f>SUMIF(BC!$E$6:$E$347,$A709,BC!$K$6:$K$347)</f>
        <v>0</v>
      </c>
      <c r="L709" s="5" t="e">
        <f>SUMIF(#REF!,$A709,#REF!)+SUMIF(#REF!,$A709,#REF!)</f>
        <v>#REF!</v>
      </c>
      <c r="M709" s="5" t="e">
        <f>SUMIF(#REF!,Casilleros!$A709,#REF!)+SUMIF(#REF!,Casilleros!$A709,#REF!)+SUMIF(#REF!,$A709,#REF!)</f>
        <v>#REF!</v>
      </c>
      <c r="N709" s="5" t="e">
        <f>SUMIF(#REF!,$A709,#REF!)</f>
        <v>#REF!</v>
      </c>
      <c r="O709" s="5" t="e">
        <f>SUMIF(#REF!,$A709,#REF!)+SUMIF(#REF!,$A709,#REF!)</f>
        <v>#REF!</v>
      </c>
      <c r="P709" s="5">
        <f>IFERROR(VLOOKUP($A709,#REF!,2,FALSE),0)</f>
        <v>0</v>
      </c>
      <c r="Q709" s="42" t="e">
        <f t="shared" si="11"/>
        <v>#REF!</v>
      </c>
    </row>
    <row r="710" spans="1:17">
      <c r="A710" s="56" t="s">
        <v>1044</v>
      </c>
      <c r="B710" s="7" t="s">
        <v>561</v>
      </c>
      <c r="C710" s="7" t="s">
        <v>2252</v>
      </c>
      <c r="D710" s="7" t="s">
        <v>12</v>
      </c>
      <c r="E710" s="7" t="s">
        <v>1042</v>
      </c>
      <c r="F710" s="7" t="s">
        <v>444</v>
      </c>
      <c r="G710" s="7" t="s">
        <v>444</v>
      </c>
      <c r="H710" s="7" t="s">
        <v>444</v>
      </c>
      <c r="I710" s="7" t="s">
        <v>1452</v>
      </c>
      <c r="J710" s="1" t="s">
        <v>2296</v>
      </c>
      <c r="K710" s="5">
        <f>SUMIF(BC!$E$6:$E$347,$A710,BC!$K$6:$K$347)</f>
        <v>0</v>
      </c>
      <c r="L710" s="5" t="e">
        <f>SUMIF(#REF!,$A710,#REF!)+SUMIF(#REF!,$A710,#REF!)</f>
        <v>#REF!</v>
      </c>
      <c r="M710" s="5" t="e">
        <f>SUMIF(#REF!,Casilleros!$A710,#REF!)+SUMIF(#REF!,Casilleros!$A710,#REF!)+SUMIF(#REF!,$A710,#REF!)</f>
        <v>#REF!</v>
      </c>
      <c r="N710" s="5" t="e">
        <f>SUMIF(#REF!,$A710,#REF!)</f>
        <v>#REF!</v>
      </c>
      <c r="O710" s="5" t="e">
        <f>SUMIF(#REF!,$A710,#REF!)+SUMIF(#REF!,$A710,#REF!)</f>
        <v>#REF!</v>
      </c>
      <c r="P710" s="5">
        <f>IFERROR(VLOOKUP($A710,#REF!,2,FALSE),0)</f>
        <v>0</v>
      </c>
      <c r="Q710" s="42" t="e">
        <f t="shared" si="11"/>
        <v>#REF!</v>
      </c>
    </row>
    <row r="711" spans="1:17">
      <c r="A711" s="56" t="s">
        <v>1048</v>
      </c>
      <c r="B711" s="7" t="s">
        <v>561</v>
      </c>
      <c r="C711" s="7" t="s">
        <v>2252</v>
      </c>
      <c r="D711" s="7" t="s">
        <v>12</v>
      </c>
      <c r="E711" s="7" t="s">
        <v>1046</v>
      </c>
      <c r="F711" s="7" t="s">
        <v>444</v>
      </c>
      <c r="G711" s="7" t="s">
        <v>444</v>
      </c>
      <c r="H711" s="7" t="s">
        <v>444</v>
      </c>
      <c r="I711" s="7" t="s">
        <v>1453</v>
      </c>
      <c r="J711" s="1" t="s">
        <v>2296</v>
      </c>
      <c r="K711" s="5">
        <f>SUMIF(BC!$E$6:$E$347,$A711,BC!$K$6:$K$347)</f>
        <v>0</v>
      </c>
      <c r="L711" s="5" t="e">
        <f>SUMIF(#REF!,$A711,#REF!)+SUMIF(#REF!,$A711,#REF!)</f>
        <v>#REF!</v>
      </c>
      <c r="M711" s="5" t="e">
        <f>SUMIF(#REF!,Casilleros!$A711,#REF!)+SUMIF(#REF!,Casilleros!$A711,#REF!)+SUMIF(#REF!,$A711,#REF!)</f>
        <v>#REF!</v>
      </c>
      <c r="N711" s="5" t="e">
        <f>SUMIF(#REF!,$A711,#REF!)</f>
        <v>#REF!</v>
      </c>
      <c r="O711" s="5" t="e">
        <f>SUMIF(#REF!,$A711,#REF!)+SUMIF(#REF!,$A711,#REF!)</f>
        <v>#REF!</v>
      </c>
      <c r="P711" s="5">
        <f>IFERROR(VLOOKUP($A711,#REF!,2,FALSE),0)</f>
        <v>0</v>
      </c>
      <c r="Q711" s="42" t="e">
        <f t="shared" si="11"/>
        <v>#REF!</v>
      </c>
    </row>
    <row r="712" spans="1:17">
      <c r="A712" s="56" t="s">
        <v>1052</v>
      </c>
      <c r="B712" s="7" t="s">
        <v>561</v>
      </c>
      <c r="C712" s="7" t="s">
        <v>2252</v>
      </c>
      <c r="D712" s="7" t="s">
        <v>12</v>
      </c>
      <c r="E712" s="7" t="s">
        <v>1050</v>
      </c>
      <c r="F712" s="7" t="s">
        <v>444</v>
      </c>
      <c r="G712" s="7" t="s">
        <v>444</v>
      </c>
      <c r="H712" s="7" t="s">
        <v>444</v>
      </c>
      <c r="I712" s="7" t="s">
        <v>1454</v>
      </c>
      <c r="J712" s="1" t="s">
        <v>2296</v>
      </c>
      <c r="K712" s="5" t="e">
        <f>SUMIF(BC!$E$6:$E$347,$A712,BC!$K$6:$K$347)</f>
        <v>#REF!</v>
      </c>
      <c r="L712" s="5" t="e">
        <f>SUMIF(#REF!,$A712,#REF!)+SUMIF(#REF!,$A712,#REF!)</f>
        <v>#REF!</v>
      </c>
      <c r="M712" s="5" t="e">
        <f>SUMIF(#REF!,Casilleros!$A712,#REF!)+SUMIF(#REF!,Casilleros!$A712,#REF!)+SUMIF(#REF!,$A712,#REF!)</f>
        <v>#REF!</v>
      </c>
      <c r="N712" s="5" t="e">
        <f>SUMIF(#REF!,$A712,#REF!)</f>
        <v>#REF!</v>
      </c>
      <c r="O712" s="5" t="e">
        <f>SUMIF(#REF!,$A712,#REF!)+SUMIF(#REF!,$A712,#REF!)</f>
        <v>#REF!</v>
      </c>
      <c r="P712" s="5">
        <f>IFERROR(VLOOKUP($A712,#REF!,2,FALSE),0)</f>
        <v>0</v>
      </c>
      <c r="Q712" s="42" t="e">
        <f t="shared" si="11"/>
        <v>#REF!</v>
      </c>
    </row>
    <row r="713" spans="1:17">
      <c r="A713" s="56" t="s">
        <v>1055</v>
      </c>
      <c r="B713" s="7" t="s">
        <v>561</v>
      </c>
      <c r="C713" s="7" t="s">
        <v>2252</v>
      </c>
      <c r="D713" s="7" t="s">
        <v>12</v>
      </c>
      <c r="E713" s="7" t="s">
        <v>1054</v>
      </c>
      <c r="F713" s="7" t="s">
        <v>444</v>
      </c>
      <c r="G713" s="7" t="s">
        <v>444</v>
      </c>
      <c r="H713" s="7" t="s">
        <v>444</v>
      </c>
      <c r="I713" s="7" t="s">
        <v>1455</v>
      </c>
      <c r="J713" s="1" t="s">
        <v>2296</v>
      </c>
      <c r="K713" s="5">
        <f>SUMIF(BC!$E$6:$E$347,$A713,BC!$K$6:$K$347)</f>
        <v>0</v>
      </c>
      <c r="L713" s="5" t="e">
        <f>SUMIF(#REF!,$A713,#REF!)+SUMIF(#REF!,$A713,#REF!)</f>
        <v>#REF!</v>
      </c>
      <c r="M713" s="5" t="e">
        <f>SUMIF(#REF!,Casilleros!$A713,#REF!)+SUMIF(#REF!,Casilleros!$A713,#REF!)+SUMIF(#REF!,$A713,#REF!)</f>
        <v>#REF!</v>
      </c>
      <c r="N713" s="5" t="e">
        <f>SUMIF(#REF!,$A713,#REF!)</f>
        <v>#REF!</v>
      </c>
      <c r="O713" s="5" t="e">
        <f>SUMIF(#REF!,$A713,#REF!)+SUMIF(#REF!,$A713,#REF!)</f>
        <v>#REF!</v>
      </c>
      <c r="P713" s="5">
        <f>IFERROR(VLOOKUP($A713,#REF!,2,FALSE),0)</f>
        <v>0</v>
      </c>
      <c r="Q713" s="42" t="e">
        <f t="shared" si="11"/>
        <v>#REF!</v>
      </c>
    </row>
    <row r="714" spans="1:17">
      <c r="A714" s="56" t="s">
        <v>1058</v>
      </c>
      <c r="B714" s="7" t="s">
        <v>561</v>
      </c>
      <c r="C714" s="7" t="s">
        <v>2252</v>
      </c>
      <c r="D714" s="7" t="s">
        <v>12</v>
      </c>
      <c r="E714" s="7" t="s">
        <v>122</v>
      </c>
      <c r="F714" s="7" t="s">
        <v>444</v>
      </c>
      <c r="G714" s="7" t="s">
        <v>444</v>
      </c>
      <c r="H714" s="7" t="s">
        <v>444</v>
      </c>
      <c r="I714" s="7" t="s">
        <v>1456</v>
      </c>
      <c r="J714" s="1" t="s">
        <v>2296</v>
      </c>
      <c r="K714" s="5" t="e">
        <f>SUMIF(BC!$E$6:$E$347,$A714,BC!$K$6:$K$347)</f>
        <v>#REF!</v>
      </c>
      <c r="L714" s="5" t="e">
        <f>SUMIF(#REF!,$A714,#REF!)+SUMIF(#REF!,$A714,#REF!)</f>
        <v>#REF!</v>
      </c>
      <c r="M714" s="5" t="e">
        <f>SUMIF(#REF!,Casilleros!$A714,#REF!)+SUMIF(#REF!,Casilleros!$A714,#REF!)+SUMIF(#REF!,$A714,#REF!)</f>
        <v>#REF!</v>
      </c>
      <c r="N714" s="5" t="e">
        <f>SUMIF(#REF!,$A714,#REF!)</f>
        <v>#REF!</v>
      </c>
      <c r="O714" s="5" t="e">
        <f>SUMIF(#REF!,$A714,#REF!)+SUMIF(#REF!,$A714,#REF!)</f>
        <v>#REF!</v>
      </c>
      <c r="P714" s="5">
        <f>IFERROR(VLOOKUP($A714,#REF!,2,FALSE),0)</f>
        <v>0</v>
      </c>
      <c r="Q714" s="42" t="e">
        <f t="shared" si="11"/>
        <v>#REF!</v>
      </c>
    </row>
    <row r="715" spans="1:17">
      <c r="A715" s="56" t="s">
        <v>1141</v>
      </c>
      <c r="B715" s="7" t="s">
        <v>28</v>
      </c>
      <c r="C715" s="7" t="s">
        <v>1369</v>
      </c>
      <c r="D715" s="7" t="s">
        <v>21</v>
      </c>
      <c r="E715" s="7" t="s">
        <v>1139</v>
      </c>
      <c r="F715" s="7" t="s">
        <v>444</v>
      </c>
      <c r="G715" s="7" t="s">
        <v>444</v>
      </c>
      <c r="H715" s="7" t="s">
        <v>444</v>
      </c>
      <c r="I715" s="7" t="s">
        <v>1459</v>
      </c>
      <c r="K715" s="5">
        <f>SUMIF(BC!$E$6:$E$347,$A715,BC!$K$6:$K$347)</f>
        <v>0</v>
      </c>
      <c r="L715" s="5" t="e">
        <f>SUMIF(#REF!,$A715,#REF!)+SUMIF(#REF!,$A715,#REF!)</f>
        <v>#REF!</v>
      </c>
      <c r="M715" s="5" t="e">
        <f>SUMIF(#REF!,Casilleros!$A715,#REF!)+SUMIF(#REF!,Casilleros!$A715,#REF!)+SUMIF(#REF!,$A715,#REF!)</f>
        <v>#REF!</v>
      </c>
      <c r="N715" s="5" t="e">
        <f>SUMIF(#REF!,$A715,#REF!)</f>
        <v>#REF!</v>
      </c>
      <c r="O715" s="5" t="e">
        <f>SUMIF(#REF!,$A715,#REF!)+SUMIF(#REF!,$A715,#REF!)</f>
        <v>#REF!</v>
      </c>
      <c r="P715" s="5">
        <f>IFERROR(VLOOKUP($A715,#REF!,2,FALSE),0)</f>
        <v>0</v>
      </c>
      <c r="Q715" s="42" t="e">
        <f t="shared" si="11"/>
        <v>#REF!</v>
      </c>
    </row>
    <row r="716" spans="1:17">
      <c r="A716" s="56" t="s">
        <v>1144</v>
      </c>
      <c r="B716" s="7" t="s">
        <v>28</v>
      </c>
      <c r="C716" s="7" t="s">
        <v>1369</v>
      </c>
      <c r="D716" s="7" t="s">
        <v>21</v>
      </c>
      <c r="E716" s="7" t="s">
        <v>1142</v>
      </c>
      <c r="F716" s="7" t="s">
        <v>444</v>
      </c>
      <c r="G716" s="7" t="s">
        <v>444</v>
      </c>
      <c r="H716" s="7" t="s">
        <v>444</v>
      </c>
      <c r="I716" s="7" t="s">
        <v>1460</v>
      </c>
      <c r="K716" s="5">
        <f>SUMIF(BC!$E$6:$E$347,$A716,BC!$K$6:$K$347)</f>
        <v>0</v>
      </c>
      <c r="L716" s="5" t="e">
        <f>SUMIF(#REF!,$A716,#REF!)+SUMIF(#REF!,$A716,#REF!)</f>
        <v>#REF!</v>
      </c>
      <c r="M716" s="5" t="e">
        <f>SUMIF(#REF!,Casilleros!$A716,#REF!)+SUMIF(#REF!,Casilleros!$A716,#REF!)+SUMIF(#REF!,$A716,#REF!)</f>
        <v>#REF!</v>
      </c>
      <c r="N716" s="5" t="e">
        <f>SUMIF(#REF!,$A716,#REF!)</f>
        <v>#REF!</v>
      </c>
      <c r="O716" s="5" t="e">
        <f>SUMIF(#REF!,$A716,#REF!)+SUMIF(#REF!,$A716,#REF!)</f>
        <v>#REF!</v>
      </c>
      <c r="P716" s="5">
        <f>IFERROR(VLOOKUP($A716,#REF!,2,FALSE),0)</f>
        <v>0</v>
      </c>
      <c r="Q716" s="42" t="e">
        <f t="shared" si="11"/>
        <v>#REF!</v>
      </c>
    </row>
    <row r="717" spans="1:17">
      <c r="A717" s="56" t="s">
        <v>1170</v>
      </c>
      <c r="B717" s="7" t="s">
        <v>28</v>
      </c>
      <c r="C717" s="7" t="s">
        <v>1369</v>
      </c>
      <c r="D717" s="7" t="s">
        <v>1167</v>
      </c>
      <c r="E717" s="7" t="s">
        <v>1168</v>
      </c>
      <c r="F717" s="7" t="s">
        <v>444</v>
      </c>
      <c r="G717" s="7" t="s">
        <v>444</v>
      </c>
      <c r="H717" s="7" t="s">
        <v>444</v>
      </c>
      <c r="I717" s="7" t="s">
        <v>1472</v>
      </c>
      <c r="K717" s="5">
        <f>SUMIF(BC!$E$6:$E$347,$A717,BC!$K$6:$K$347)</f>
        <v>0</v>
      </c>
      <c r="L717" s="5" t="e">
        <f>SUMIF(#REF!,$A717,#REF!)+SUMIF(#REF!,$A717,#REF!)</f>
        <v>#REF!</v>
      </c>
      <c r="M717" s="5" t="e">
        <f>SUMIF(#REF!,Casilleros!$A717,#REF!)+SUMIF(#REF!,Casilleros!$A717,#REF!)+SUMIF(#REF!,$A717,#REF!)</f>
        <v>#REF!</v>
      </c>
      <c r="N717" s="5" t="e">
        <f>SUMIF(#REF!,$A717,#REF!)</f>
        <v>#REF!</v>
      </c>
      <c r="O717" s="5" t="e">
        <f>SUMIF(#REF!,$A717,#REF!)+SUMIF(#REF!,$A717,#REF!)</f>
        <v>#REF!</v>
      </c>
      <c r="P717" s="5">
        <f>IFERROR(VLOOKUP($A717,#REF!,2,FALSE),0)</f>
        <v>0</v>
      </c>
      <c r="Q717" s="42" t="e">
        <f t="shared" si="11"/>
        <v>#REF!</v>
      </c>
    </row>
    <row r="718" spans="1:17">
      <c r="A718" s="56" t="s">
        <v>1173</v>
      </c>
      <c r="B718" s="7" t="s">
        <v>28</v>
      </c>
      <c r="C718" s="7" t="s">
        <v>1369</v>
      </c>
      <c r="D718" s="7" t="s">
        <v>1167</v>
      </c>
      <c r="E718" s="7" t="s">
        <v>1171</v>
      </c>
      <c r="F718" s="7" t="s">
        <v>444</v>
      </c>
      <c r="G718" s="7" t="s">
        <v>444</v>
      </c>
      <c r="H718" s="7" t="s">
        <v>444</v>
      </c>
      <c r="I718" s="7" t="s">
        <v>1473</v>
      </c>
      <c r="K718" s="5">
        <f>SUMIF(BC!$E$6:$E$347,$A718,BC!$K$6:$K$347)</f>
        <v>0</v>
      </c>
      <c r="L718" s="5" t="e">
        <f>SUMIF(#REF!,$A718,#REF!)+SUMIF(#REF!,$A718,#REF!)</f>
        <v>#REF!</v>
      </c>
      <c r="M718" s="5" t="e">
        <f>SUMIF(#REF!,Casilleros!$A718,#REF!)+SUMIF(#REF!,Casilleros!$A718,#REF!)+SUMIF(#REF!,$A718,#REF!)</f>
        <v>#REF!</v>
      </c>
      <c r="N718" s="5" t="e">
        <f>SUMIF(#REF!,$A718,#REF!)</f>
        <v>#REF!</v>
      </c>
      <c r="O718" s="5" t="e">
        <f>SUMIF(#REF!,$A718,#REF!)+SUMIF(#REF!,$A718,#REF!)</f>
        <v>#REF!</v>
      </c>
      <c r="P718" s="5">
        <f>IFERROR(VLOOKUP($A718,#REF!,2,FALSE),0)</f>
        <v>0</v>
      </c>
      <c r="Q718" s="42" t="e">
        <f t="shared" si="11"/>
        <v>#REF!</v>
      </c>
    </row>
    <row r="719" spans="1:17">
      <c r="A719" s="56" t="s">
        <v>1176</v>
      </c>
      <c r="B719" s="7" t="s">
        <v>28</v>
      </c>
      <c r="C719" s="7" t="s">
        <v>1369</v>
      </c>
      <c r="D719" s="7" t="s">
        <v>1167</v>
      </c>
      <c r="E719" s="7" t="s">
        <v>1174</v>
      </c>
      <c r="F719" s="7" t="s">
        <v>444</v>
      </c>
      <c r="G719" s="7" t="s">
        <v>444</v>
      </c>
      <c r="H719" s="7" t="s">
        <v>444</v>
      </c>
      <c r="I719" s="7" t="s">
        <v>1474</v>
      </c>
      <c r="K719" s="5">
        <f>SUMIF(BC!$E$6:$E$347,$A719,BC!$K$6:$K$347)</f>
        <v>0</v>
      </c>
      <c r="L719" s="5" t="e">
        <f>SUMIF(#REF!,$A719,#REF!)+SUMIF(#REF!,$A719,#REF!)</f>
        <v>#REF!</v>
      </c>
      <c r="M719" s="5" t="e">
        <f>SUMIF(#REF!,Casilleros!$A719,#REF!)+SUMIF(#REF!,Casilleros!$A719,#REF!)+SUMIF(#REF!,$A719,#REF!)</f>
        <v>#REF!</v>
      </c>
      <c r="N719" s="5" t="e">
        <f>SUMIF(#REF!,$A719,#REF!)</f>
        <v>#REF!</v>
      </c>
      <c r="O719" s="5" t="e">
        <f>SUMIF(#REF!,$A719,#REF!)+SUMIF(#REF!,$A719,#REF!)</f>
        <v>#REF!</v>
      </c>
      <c r="P719" s="5">
        <f>IFERROR(VLOOKUP($A719,#REF!,2,FALSE),0)</f>
        <v>0</v>
      </c>
      <c r="Q719" s="42" t="e">
        <f t="shared" ref="Q719:Q782" si="12">SUM(K719:P719)</f>
        <v>#REF!</v>
      </c>
    </row>
    <row r="720" spans="1:17">
      <c r="A720" s="56" t="s">
        <v>1179</v>
      </c>
      <c r="B720" s="7" t="s">
        <v>28</v>
      </c>
      <c r="C720" s="7" t="s">
        <v>1369</v>
      </c>
      <c r="D720" s="7" t="s">
        <v>1167</v>
      </c>
      <c r="E720" s="7" t="s">
        <v>1177</v>
      </c>
      <c r="F720" s="7" t="s">
        <v>444</v>
      </c>
      <c r="G720" s="7" t="s">
        <v>444</v>
      </c>
      <c r="H720" s="7" t="s">
        <v>444</v>
      </c>
      <c r="I720" s="7" t="s">
        <v>1475</v>
      </c>
      <c r="K720" s="5">
        <f>SUMIF(BC!$E$6:$E$347,$A720,BC!$K$6:$K$347)</f>
        <v>0</v>
      </c>
      <c r="L720" s="5" t="e">
        <f>SUMIF(#REF!,$A720,#REF!)+SUMIF(#REF!,$A720,#REF!)</f>
        <v>#REF!</v>
      </c>
      <c r="M720" s="5" t="e">
        <f>SUMIF(#REF!,Casilleros!$A720,#REF!)+SUMIF(#REF!,Casilleros!$A720,#REF!)+SUMIF(#REF!,$A720,#REF!)</f>
        <v>#REF!</v>
      </c>
      <c r="N720" s="5" t="e">
        <f>SUMIF(#REF!,$A720,#REF!)</f>
        <v>#REF!</v>
      </c>
      <c r="O720" s="5" t="e">
        <f>SUMIF(#REF!,$A720,#REF!)+SUMIF(#REF!,$A720,#REF!)</f>
        <v>#REF!</v>
      </c>
      <c r="P720" s="5">
        <f>IFERROR(VLOOKUP($A720,#REF!,2,FALSE),0)</f>
        <v>0</v>
      </c>
      <c r="Q720" s="42" t="e">
        <f t="shared" si="12"/>
        <v>#REF!</v>
      </c>
    </row>
    <row r="721" spans="1:17">
      <c r="A721" s="56" t="s">
        <v>1182</v>
      </c>
      <c r="B721" s="7" t="s">
        <v>28</v>
      </c>
      <c r="C721" s="7" t="s">
        <v>1369</v>
      </c>
      <c r="D721" s="7" t="s">
        <v>1167</v>
      </c>
      <c r="E721" s="7" t="s">
        <v>1180</v>
      </c>
      <c r="F721" s="7" t="s">
        <v>444</v>
      </c>
      <c r="G721" s="7" t="s">
        <v>444</v>
      </c>
      <c r="H721" s="7" t="s">
        <v>444</v>
      </c>
      <c r="I721" s="7" t="s">
        <v>1476</v>
      </c>
      <c r="K721" s="5">
        <f>SUMIF(BC!$E$6:$E$347,$A721,BC!$K$6:$K$347)</f>
        <v>0</v>
      </c>
      <c r="L721" s="5" t="e">
        <f>SUMIF(#REF!,$A721,#REF!)+SUMIF(#REF!,$A721,#REF!)</f>
        <v>#REF!</v>
      </c>
      <c r="M721" s="5" t="e">
        <f>SUMIF(#REF!,Casilleros!$A721,#REF!)+SUMIF(#REF!,Casilleros!$A721,#REF!)+SUMIF(#REF!,$A721,#REF!)</f>
        <v>#REF!</v>
      </c>
      <c r="N721" s="5" t="e">
        <f>SUMIF(#REF!,$A721,#REF!)</f>
        <v>#REF!</v>
      </c>
      <c r="O721" s="5" t="e">
        <f>SUMIF(#REF!,$A721,#REF!)+SUMIF(#REF!,$A721,#REF!)</f>
        <v>#REF!</v>
      </c>
      <c r="P721" s="5">
        <f>IFERROR(VLOOKUP($A721,#REF!,2,FALSE),0)</f>
        <v>0</v>
      </c>
      <c r="Q721" s="42" t="e">
        <f t="shared" si="12"/>
        <v>#REF!</v>
      </c>
    </row>
    <row r="722" spans="1:17">
      <c r="A722" s="56" t="s">
        <v>1185</v>
      </c>
      <c r="B722" s="7" t="s">
        <v>28</v>
      </c>
      <c r="C722" s="7" t="s">
        <v>1369</v>
      </c>
      <c r="D722" s="7" t="s">
        <v>1167</v>
      </c>
      <c r="E722" s="7" t="s">
        <v>1183</v>
      </c>
      <c r="F722" s="7" t="s">
        <v>444</v>
      </c>
      <c r="G722" s="7" t="s">
        <v>444</v>
      </c>
      <c r="H722" s="7" t="s">
        <v>444</v>
      </c>
      <c r="I722" s="7" t="s">
        <v>1477</v>
      </c>
      <c r="K722" s="5">
        <f>SUMIF(BC!$E$6:$E$347,$A722,BC!$K$6:$K$347)</f>
        <v>0</v>
      </c>
      <c r="L722" s="5" t="e">
        <f>SUMIF(#REF!,$A722,#REF!)+SUMIF(#REF!,$A722,#REF!)</f>
        <v>#REF!</v>
      </c>
      <c r="M722" s="5" t="e">
        <f>SUMIF(#REF!,Casilleros!$A722,#REF!)+SUMIF(#REF!,Casilleros!$A722,#REF!)+SUMIF(#REF!,$A722,#REF!)</f>
        <v>#REF!</v>
      </c>
      <c r="N722" s="5" t="e">
        <f>SUMIF(#REF!,$A722,#REF!)</f>
        <v>#REF!</v>
      </c>
      <c r="O722" s="5" t="e">
        <f>SUMIF(#REF!,$A722,#REF!)+SUMIF(#REF!,$A722,#REF!)</f>
        <v>#REF!</v>
      </c>
      <c r="P722" s="5">
        <f>IFERROR(VLOOKUP($A722,#REF!,2,FALSE),0)</f>
        <v>0</v>
      </c>
      <c r="Q722" s="42" t="e">
        <f t="shared" si="12"/>
        <v>#REF!</v>
      </c>
    </row>
    <row r="723" spans="1:17">
      <c r="A723" s="56" t="s">
        <v>1188</v>
      </c>
      <c r="B723" s="7" t="s">
        <v>28</v>
      </c>
      <c r="C723" s="7" t="s">
        <v>1369</v>
      </c>
      <c r="D723" s="7" t="s">
        <v>1167</v>
      </c>
      <c r="E723" s="7" t="s">
        <v>1186</v>
      </c>
      <c r="F723" s="7" t="s">
        <v>444</v>
      </c>
      <c r="G723" s="7" t="s">
        <v>444</v>
      </c>
      <c r="H723" s="7" t="s">
        <v>444</v>
      </c>
      <c r="I723" s="7" t="s">
        <v>1478</v>
      </c>
      <c r="K723" s="5">
        <f>SUMIF(BC!$E$6:$E$347,$A723,BC!$K$6:$K$347)</f>
        <v>0</v>
      </c>
      <c r="L723" s="5" t="e">
        <f>SUMIF(#REF!,$A723,#REF!)+SUMIF(#REF!,$A723,#REF!)</f>
        <v>#REF!</v>
      </c>
      <c r="M723" s="5" t="e">
        <f>SUMIF(#REF!,Casilleros!$A723,#REF!)+SUMIF(#REF!,Casilleros!$A723,#REF!)+SUMIF(#REF!,$A723,#REF!)</f>
        <v>#REF!</v>
      </c>
      <c r="N723" s="5" t="e">
        <f>SUMIF(#REF!,$A723,#REF!)</f>
        <v>#REF!</v>
      </c>
      <c r="O723" s="5" t="e">
        <f>SUMIF(#REF!,$A723,#REF!)+SUMIF(#REF!,$A723,#REF!)</f>
        <v>#REF!</v>
      </c>
      <c r="P723" s="5">
        <f>IFERROR(VLOOKUP($A723,#REF!,2,FALSE),0)</f>
        <v>0</v>
      </c>
      <c r="Q723" s="42" t="e">
        <f t="shared" si="12"/>
        <v>#REF!</v>
      </c>
    </row>
    <row r="724" spans="1:17">
      <c r="A724" s="56" t="s">
        <v>1192</v>
      </c>
      <c r="B724" s="7" t="s">
        <v>28</v>
      </c>
      <c r="C724" s="7" t="s">
        <v>1369</v>
      </c>
      <c r="D724" s="7" t="s">
        <v>1167</v>
      </c>
      <c r="E724" s="7" t="s">
        <v>1189</v>
      </c>
      <c r="F724" s="7" t="s">
        <v>1190</v>
      </c>
      <c r="G724" s="7" t="s">
        <v>444</v>
      </c>
      <c r="H724" s="7" t="s">
        <v>444</v>
      </c>
      <c r="I724" s="7" t="s">
        <v>1480</v>
      </c>
      <c r="K724" s="5">
        <f>SUMIF(BC!$E$6:$E$347,$A724,BC!$K$6:$K$347)</f>
        <v>0</v>
      </c>
      <c r="L724" s="5" t="e">
        <f>SUMIF(#REF!,$A724,#REF!)+SUMIF(#REF!,$A724,#REF!)</f>
        <v>#REF!</v>
      </c>
      <c r="M724" s="5" t="e">
        <f>SUMIF(#REF!,Casilleros!$A724,#REF!)+SUMIF(#REF!,Casilleros!$A724,#REF!)+SUMIF(#REF!,$A724,#REF!)</f>
        <v>#REF!</v>
      </c>
      <c r="N724" s="5" t="e">
        <f>SUMIF(#REF!,$A724,#REF!)</f>
        <v>#REF!</v>
      </c>
      <c r="O724" s="5" t="e">
        <f>SUMIF(#REF!,$A724,#REF!)+SUMIF(#REF!,$A724,#REF!)</f>
        <v>#REF!</v>
      </c>
      <c r="P724" s="5">
        <f>IFERROR(VLOOKUP($A724,#REF!,2,FALSE),0)</f>
        <v>0</v>
      </c>
      <c r="Q724" s="42" t="e">
        <f t="shared" si="12"/>
        <v>#REF!</v>
      </c>
    </row>
    <row r="725" spans="1:17">
      <c r="A725" s="56" t="s">
        <v>1195</v>
      </c>
      <c r="B725" s="7" t="s">
        <v>28</v>
      </c>
      <c r="C725" s="7" t="s">
        <v>1369</v>
      </c>
      <c r="D725" s="7" t="s">
        <v>1167</v>
      </c>
      <c r="E725" s="7" t="s">
        <v>1189</v>
      </c>
      <c r="F725" s="7" t="s">
        <v>1193</v>
      </c>
      <c r="G725" s="7" t="s">
        <v>444</v>
      </c>
      <c r="H725" s="7" t="s">
        <v>444</v>
      </c>
      <c r="I725" s="7" t="s">
        <v>1481</v>
      </c>
      <c r="K725" s="5">
        <f>SUMIF(BC!$E$6:$E$347,$A725,BC!$K$6:$K$347)</f>
        <v>0</v>
      </c>
      <c r="L725" s="5" t="e">
        <f>SUMIF(#REF!,$A725,#REF!)+SUMIF(#REF!,$A725,#REF!)</f>
        <v>#REF!</v>
      </c>
      <c r="M725" s="5" t="e">
        <f>SUMIF(#REF!,Casilleros!$A725,#REF!)+SUMIF(#REF!,Casilleros!$A725,#REF!)+SUMIF(#REF!,$A725,#REF!)</f>
        <v>#REF!</v>
      </c>
      <c r="N725" s="5" t="e">
        <f>SUMIF(#REF!,$A725,#REF!)</f>
        <v>#REF!</v>
      </c>
      <c r="O725" s="5" t="e">
        <f>SUMIF(#REF!,$A725,#REF!)+SUMIF(#REF!,$A725,#REF!)</f>
        <v>#REF!</v>
      </c>
      <c r="P725" s="5">
        <f>IFERROR(VLOOKUP($A725,#REF!,2,FALSE),0)</f>
        <v>0</v>
      </c>
      <c r="Q725" s="42" t="e">
        <f t="shared" si="12"/>
        <v>#REF!</v>
      </c>
    </row>
    <row r="726" spans="1:17">
      <c r="A726" s="56" t="s">
        <v>1197</v>
      </c>
      <c r="B726" s="7" t="s">
        <v>28</v>
      </c>
      <c r="C726" s="7" t="s">
        <v>1369</v>
      </c>
      <c r="D726" s="7" t="s">
        <v>1167</v>
      </c>
      <c r="E726" s="7" t="s">
        <v>1196</v>
      </c>
      <c r="F726" s="7" t="s">
        <v>444</v>
      </c>
      <c r="G726" s="7" t="s">
        <v>444</v>
      </c>
      <c r="H726" s="7" t="s">
        <v>444</v>
      </c>
      <c r="I726" s="7" t="s">
        <v>1482</v>
      </c>
      <c r="K726" s="5">
        <f>SUMIF(BC!$E$6:$E$347,$A726,BC!$K$6:$K$347)</f>
        <v>0</v>
      </c>
      <c r="L726" s="5" t="e">
        <f>SUMIF(#REF!,$A726,#REF!)+SUMIF(#REF!,$A726,#REF!)</f>
        <v>#REF!</v>
      </c>
      <c r="M726" s="5" t="e">
        <f>SUMIF(#REF!,Casilleros!$A726,#REF!)+SUMIF(#REF!,Casilleros!$A726,#REF!)+SUMIF(#REF!,$A726,#REF!)</f>
        <v>#REF!</v>
      </c>
      <c r="N726" s="5" t="e">
        <f>SUMIF(#REF!,$A726,#REF!)</f>
        <v>#REF!</v>
      </c>
      <c r="O726" s="5" t="e">
        <f>SUMIF(#REF!,$A726,#REF!)+SUMIF(#REF!,$A726,#REF!)</f>
        <v>#REF!</v>
      </c>
      <c r="P726" s="5">
        <f>IFERROR(VLOOKUP($A726,#REF!,2,FALSE),0)</f>
        <v>0</v>
      </c>
      <c r="Q726" s="42" t="e">
        <f t="shared" si="12"/>
        <v>#REF!</v>
      </c>
    </row>
    <row r="727" spans="1:17">
      <c r="A727" s="56" t="s">
        <v>1200</v>
      </c>
      <c r="B727" s="7" t="s">
        <v>28</v>
      </c>
      <c r="C727" s="7" t="s">
        <v>1369</v>
      </c>
      <c r="D727" s="7" t="s">
        <v>1167</v>
      </c>
      <c r="E727" s="7" t="s">
        <v>1198</v>
      </c>
      <c r="F727" s="7" t="s">
        <v>444</v>
      </c>
      <c r="G727" s="7" t="s">
        <v>444</v>
      </c>
      <c r="H727" s="7" t="s">
        <v>444</v>
      </c>
      <c r="I727" s="7" t="s">
        <v>1483</v>
      </c>
      <c r="K727" s="5">
        <f>SUMIF(BC!$E$6:$E$347,$A727,BC!$K$6:$K$347)</f>
        <v>0</v>
      </c>
      <c r="L727" s="5" t="e">
        <f>SUMIF(#REF!,$A727,#REF!)+SUMIF(#REF!,$A727,#REF!)</f>
        <v>#REF!</v>
      </c>
      <c r="M727" s="5" t="e">
        <f>SUMIF(#REF!,Casilleros!$A727,#REF!)+SUMIF(#REF!,Casilleros!$A727,#REF!)+SUMIF(#REF!,$A727,#REF!)</f>
        <v>#REF!</v>
      </c>
      <c r="N727" s="5" t="e">
        <f>SUMIF(#REF!,$A727,#REF!)</f>
        <v>#REF!</v>
      </c>
      <c r="O727" s="5" t="e">
        <f>SUMIF(#REF!,$A727,#REF!)+SUMIF(#REF!,$A727,#REF!)</f>
        <v>#REF!</v>
      </c>
      <c r="P727" s="5">
        <f>IFERROR(VLOOKUP($A727,#REF!,2,FALSE),0)</f>
        <v>0</v>
      </c>
      <c r="Q727" s="42" t="e">
        <f t="shared" si="12"/>
        <v>#REF!</v>
      </c>
    </row>
    <row r="728" spans="1:17">
      <c r="A728" s="56" t="s">
        <v>1202</v>
      </c>
      <c r="B728" s="7" t="s">
        <v>28</v>
      </c>
      <c r="C728" s="7" t="s">
        <v>1201</v>
      </c>
      <c r="D728" s="7" t="s">
        <v>444</v>
      </c>
      <c r="E728" s="7" t="s">
        <v>444</v>
      </c>
      <c r="F728" s="7" t="s">
        <v>444</v>
      </c>
      <c r="G728" s="7" t="s">
        <v>444</v>
      </c>
      <c r="H728" s="7" t="s">
        <v>444</v>
      </c>
      <c r="I728" s="7" t="s">
        <v>1201</v>
      </c>
      <c r="K728" s="5">
        <f>SUMIF(BC!$E$6:$E$347,$A728,BC!$K$6:$K$347)</f>
        <v>0</v>
      </c>
      <c r="L728" s="5" t="e">
        <f>SUMIF(#REF!,$A728,#REF!)+SUMIF(#REF!,$A728,#REF!)</f>
        <v>#REF!</v>
      </c>
      <c r="M728" s="5" t="e">
        <f>SUMIF(#REF!,Casilleros!$A728,#REF!)+SUMIF(#REF!,Casilleros!$A728,#REF!)+SUMIF(#REF!,$A728,#REF!)</f>
        <v>#REF!</v>
      </c>
      <c r="N728" s="5" t="e">
        <f>SUMIF(#REF!,$A728,#REF!)</f>
        <v>#REF!</v>
      </c>
      <c r="O728" s="5" t="e">
        <f>SUMIF(#REF!,$A728,#REF!)+SUMIF(#REF!,$A728,#REF!)</f>
        <v>#REF!</v>
      </c>
      <c r="P728" s="5">
        <f>IFERROR(VLOOKUP($A728,#REF!,2,FALSE),0)</f>
        <v>0</v>
      </c>
      <c r="Q728" s="42" t="e">
        <f t="shared" si="12"/>
        <v>#REF!</v>
      </c>
    </row>
    <row r="729" spans="1:17">
      <c r="A729" s="56" t="s">
        <v>1204</v>
      </c>
      <c r="B729" s="7" t="s">
        <v>28</v>
      </c>
      <c r="C729" s="7" t="s">
        <v>1203</v>
      </c>
      <c r="D729" s="7" t="s">
        <v>444</v>
      </c>
      <c r="E729" s="7" t="s">
        <v>444</v>
      </c>
      <c r="F729" s="7" t="s">
        <v>444</v>
      </c>
      <c r="G729" s="7" t="s">
        <v>444</v>
      </c>
      <c r="H729" s="7" t="s">
        <v>444</v>
      </c>
      <c r="I729" s="7" t="s">
        <v>1203</v>
      </c>
      <c r="K729" s="5">
        <f>SUMIF(BC!$E$6:$E$347,$A729,BC!$K$6:$K$347)</f>
        <v>0</v>
      </c>
      <c r="L729" s="5" t="e">
        <f>SUMIF(#REF!,$A729,#REF!)+SUMIF(#REF!,$A729,#REF!)</f>
        <v>#REF!</v>
      </c>
      <c r="M729" s="5" t="e">
        <f>SUMIF(#REF!,Casilleros!$A729,#REF!)+SUMIF(#REF!,Casilleros!$A729,#REF!)+SUMIF(#REF!,$A729,#REF!)</f>
        <v>#REF!</v>
      </c>
      <c r="N729" s="5" t="e">
        <f>SUMIF(#REF!,$A729,#REF!)</f>
        <v>#REF!</v>
      </c>
      <c r="O729" s="5" t="e">
        <f>SUMIF(#REF!,$A729,#REF!)+SUMIF(#REF!,$A729,#REF!)</f>
        <v>#REF!</v>
      </c>
      <c r="P729" s="5">
        <f>IFERROR(VLOOKUP($A729,#REF!,2,FALSE),0)</f>
        <v>0</v>
      </c>
      <c r="Q729" s="42" t="e">
        <f t="shared" si="12"/>
        <v>#REF!</v>
      </c>
    </row>
    <row r="730" spans="1:17">
      <c r="A730" s="56" t="s">
        <v>1219</v>
      </c>
      <c r="B730" s="7" t="s">
        <v>28</v>
      </c>
      <c r="C730" s="7" t="s">
        <v>1369</v>
      </c>
      <c r="D730" s="7" t="s">
        <v>1212</v>
      </c>
      <c r="E730" s="7" t="s">
        <v>1215</v>
      </c>
      <c r="F730" s="7" t="s">
        <v>1201</v>
      </c>
      <c r="G730" s="7" t="s">
        <v>444</v>
      </c>
      <c r="H730" s="7" t="s">
        <v>444</v>
      </c>
      <c r="I730" s="7" t="s">
        <v>1488</v>
      </c>
      <c r="K730" s="5">
        <f>SUMIF(BC!$E$6:$E$347,$A730,BC!$K$6:$K$347)</f>
        <v>0</v>
      </c>
      <c r="L730" s="5" t="e">
        <f>SUMIF(#REF!,$A730,#REF!)+SUMIF(#REF!,$A730,#REF!)</f>
        <v>#REF!</v>
      </c>
      <c r="M730" s="5" t="e">
        <f>SUMIF(#REF!,Casilleros!$A730,#REF!)+SUMIF(#REF!,Casilleros!$A730,#REF!)+SUMIF(#REF!,$A730,#REF!)</f>
        <v>#REF!</v>
      </c>
      <c r="N730" s="5" t="e">
        <f>SUMIF(#REF!,$A730,#REF!)</f>
        <v>#REF!</v>
      </c>
      <c r="O730" s="5" t="e">
        <f>SUMIF(#REF!,$A730,#REF!)+SUMIF(#REF!,$A730,#REF!)</f>
        <v>#REF!</v>
      </c>
      <c r="P730" s="5">
        <f>IFERROR(VLOOKUP($A730,#REF!,2,FALSE),0)</f>
        <v>0</v>
      </c>
      <c r="Q730" s="42" t="e">
        <f t="shared" si="12"/>
        <v>#REF!</v>
      </c>
    </row>
    <row r="731" spans="1:17">
      <c r="A731" s="56" t="s">
        <v>1221</v>
      </c>
      <c r="B731" s="7" t="s">
        <v>28</v>
      </c>
      <c r="C731" s="7" t="s">
        <v>1369</v>
      </c>
      <c r="D731" s="7" t="s">
        <v>1212</v>
      </c>
      <c r="E731" s="7" t="s">
        <v>1215</v>
      </c>
      <c r="F731" s="7" t="s">
        <v>1203</v>
      </c>
      <c r="G731" s="7" t="s">
        <v>444</v>
      </c>
      <c r="H731" s="7" t="s">
        <v>444</v>
      </c>
      <c r="I731" s="7" t="s">
        <v>1489</v>
      </c>
      <c r="K731" s="5">
        <f>SUMIF(BC!$E$6:$E$347,$A731,BC!$K$6:$K$347)</f>
        <v>0</v>
      </c>
      <c r="L731" s="5" t="e">
        <f>SUMIF(#REF!,$A731,#REF!)+SUMIF(#REF!,$A731,#REF!)</f>
        <v>#REF!</v>
      </c>
      <c r="M731" s="5" t="e">
        <f>SUMIF(#REF!,Casilleros!$A731,#REF!)+SUMIF(#REF!,Casilleros!$A731,#REF!)+SUMIF(#REF!,$A731,#REF!)</f>
        <v>#REF!</v>
      </c>
      <c r="N731" s="5" t="e">
        <f>SUMIF(#REF!,$A731,#REF!)</f>
        <v>#REF!</v>
      </c>
      <c r="O731" s="5" t="e">
        <f>SUMIF(#REF!,$A731,#REF!)+SUMIF(#REF!,$A731,#REF!)</f>
        <v>#REF!</v>
      </c>
      <c r="P731" s="5">
        <f>IFERROR(VLOOKUP($A731,#REF!,2,FALSE),0)</f>
        <v>0</v>
      </c>
      <c r="Q731" s="42" t="e">
        <f t="shared" si="12"/>
        <v>#REF!</v>
      </c>
    </row>
    <row r="732" spans="1:17">
      <c r="A732" s="56" t="s">
        <v>1224</v>
      </c>
      <c r="B732" s="7" t="s">
        <v>28</v>
      </c>
      <c r="C732" s="7" t="s">
        <v>1369</v>
      </c>
      <c r="D732" s="7" t="s">
        <v>1212</v>
      </c>
      <c r="E732" s="7" t="s">
        <v>1222</v>
      </c>
      <c r="F732" s="7" t="s">
        <v>444</v>
      </c>
      <c r="G732" s="7" t="s">
        <v>444</v>
      </c>
      <c r="H732" s="7" t="s">
        <v>444</v>
      </c>
      <c r="I732" s="7" t="s">
        <v>1490</v>
      </c>
      <c r="K732" s="5">
        <f>SUMIF(BC!$E$6:$E$347,$A732,BC!$K$6:$K$347)</f>
        <v>0</v>
      </c>
      <c r="L732" s="5" t="e">
        <f>SUMIF(#REF!,$A732,#REF!)+SUMIF(#REF!,$A732,#REF!)</f>
        <v>#REF!</v>
      </c>
      <c r="M732" s="5" t="e">
        <f>SUMIF(#REF!,Casilleros!$A732,#REF!)+SUMIF(#REF!,Casilleros!$A732,#REF!)+SUMIF(#REF!,$A732,#REF!)</f>
        <v>#REF!</v>
      </c>
      <c r="N732" s="5" t="e">
        <f>SUMIF(#REF!,$A732,#REF!)</f>
        <v>#REF!</v>
      </c>
      <c r="O732" s="5" t="e">
        <f>SUMIF(#REF!,$A732,#REF!)+SUMIF(#REF!,$A732,#REF!)</f>
        <v>#REF!</v>
      </c>
      <c r="P732" s="5">
        <f>IFERROR(VLOOKUP($A732,#REF!,2,FALSE),0)</f>
        <v>0</v>
      </c>
      <c r="Q732" s="42" t="e">
        <f t="shared" si="12"/>
        <v>#REF!</v>
      </c>
    </row>
    <row r="733" spans="1:17">
      <c r="A733" s="56" t="s">
        <v>1227</v>
      </c>
      <c r="B733" s="7" t="s">
        <v>28</v>
      </c>
      <c r="C733" s="7" t="s">
        <v>1369</v>
      </c>
      <c r="D733" s="7" t="s">
        <v>1212</v>
      </c>
      <c r="E733" s="7" t="s">
        <v>1225</v>
      </c>
      <c r="F733" s="7" t="s">
        <v>444</v>
      </c>
      <c r="G733" s="7" t="s">
        <v>444</v>
      </c>
      <c r="H733" s="7" t="s">
        <v>444</v>
      </c>
      <c r="I733" s="7" t="s">
        <v>1491</v>
      </c>
      <c r="K733" s="5">
        <f>SUMIF(BC!$E$6:$E$347,$A733,BC!$K$6:$K$347)</f>
        <v>0</v>
      </c>
      <c r="L733" s="5" t="e">
        <f>SUMIF(#REF!,$A733,#REF!)+SUMIF(#REF!,$A733,#REF!)</f>
        <v>#REF!</v>
      </c>
      <c r="M733" s="5" t="e">
        <f>SUMIF(#REF!,Casilleros!$A733,#REF!)+SUMIF(#REF!,Casilleros!$A733,#REF!)+SUMIF(#REF!,$A733,#REF!)</f>
        <v>#REF!</v>
      </c>
      <c r="N733" s="5" t="e">
        <f>SUMIF(#REF!,$A733,#REF!)</f>
        <v>#REF!</v>
      </c>
      <c r="O733" s="5" t="e">
        <f>SUMIF(#REF!,$A733,#REF!)+SUMIF(#REF!,$A733,#REF!)</f>
        <v>#REF!</v>
      </c>
      <c r="P733" s="5">
        <f>IFERROR(VLOOKUP($A733,#REF!,2,FALSE),0)</f>
        <v>0</v>
      </c>
      <c r="Q733" s="42" t="e">
        <f t="shared" si="12"/>
        <v>#REF!</v>
      </c>
    </row>
    <row r="734" spans="1:17">
      <c r="A734" s="56" t="s">
        <v>796</v>
      </c>
      <c r="B734" s="7" t="s">
        <v>561</v>
      </c>
      <c r="C734" s="7" t="s">
        <v>789</v>
      </c>
      <c r="D734" s="7" t="s">
        <v>790</v>
      </c>
      <c r="E734" s="7" t="s">
        <v>794</v>
      </c>
      <c r="F734" s="7" t="s">
        <v>444</v>
      </c>
      <c r="G734" s="7" t="s">
        <v>444</v>
      </c>
      <c r="H734" s="7" t="s">
        <v>444</v>
      </c>
      <c r="I734" s="7" t="s">
        <v>2046</v>
      </c>
      <c r="K734" s="5">
        <f>SUMIF(BC!$E$6:$E$347,$A734,BC!$K$6:$K$347)</f>
        <v>0</v>
      </c>
      <c r="L734" s="5" t="e">
        <f>SUMIF(#REF!,$A734,#REF!)+SUMIF(#REF!,$A734,#REF!)</f>
        <v>#REF!</v>
      </c>
      <c r="M734" s="5" t="e">
        <f>SUMIF(#REF!,Casilleros!$A734,#REF!)+SUMIF(#REF!,Casilleros!$A734,#REF!)+SUMIF(#REF!,$A734,#REF!)</f>
        <v>#REF!</v>
      </c>
      <c r="N734" s="5" t="e">
        <f>SUMIF(#REF!,$A734,#REF!)</f>
        <v>#REF!</v>
      </c>
      <c r="O734" s="5" t="e">
        <f>SUMIF(#REF!,$A734,#REF!)+SUMIF(#REF!,$A734,#REF!)</f>
        <v>#REF!</v>
      </c>
      <c r="P734" s="5">
        <f>IFERROR(VLOOKUP($A734,#REF!,2,FALSE),0)</f>
        <v>0</v>
      </c>
      <c r="Q734" s="42" t="e">
        <f t="shared" si="12"/>
        <v>#REF!</v>
      </c>
    </row>
    <row r="735" spans="1:17">
      <c r="A735" s="56" t="s">
        <v>800</v>
      </c>
      <c r="B735" s="7" t="s">
        <v>561</v>
      </c>
      <c r="C735" s="7" t="s">
        <v>789</v>
      </c>
      <c r="D735" s="7" t="s">
        <v>790</v>
      </c>
      <c r="E735" s="7" t="s">
        <v>797</v>
      </c>
      <c r="F735" s="7" t="s">
        <v>444</v>
      </c>
      <c r="G735" s="7" t="s">
        <v>444</v>
      </c>
      <c r="H735" s="7" t="s">
        <v>444</v>
      </c>
      <c r="I735" s="7" t="s">
        <v>2047</v>
      </c>
      <c r="K735" s="5">
        <f>SUMIF(BC!$E$6:$E$347,$A735,BC!$K$6:$K$347)</f>
        <v>0</v>
      </c>
      <c r="L735" s="5" t="e">
        <f>SUMIF(#REF!,$A735,#REF!)+SUMIF(#REF!,$A735,#REF!)</f>
        <v>#REF!</v>
      </c>
      <c r="M735" s="5" t="e">
        <f>SUMIF(#REF!,Casilleros!$A735,#REF!)+SUMIF(#REF!,Casilleros!$A735,#REF!)+SUMIF(#REF!,$A735,#REF!)</f>
        <v>#REF!</v>
      </c>
      <c r="N735" s="5" t="e">
        <f>SUMIF(#REF!,$A735,#REF!)</f>
        <v>#REF!</v>
      </c>
      <c r="O735" s="5" t="e">
        <f>SUMIF(#REF!,$A735,#REF!)+SUMIF(#REF!,$A735,#REF!)</f>
        <v>#REF!</v>
      </c>
      <c r="P735" s="5">
        <f>IFERROR(VLOOKUP($A735,#REF!,2,FALSE),0)</f>
        <v>0</v>
      </c>
      <c r="Q735" s="42" t="e">
        <f t="shared" si="12"/>
        <v>#REF!</v>
      </c>
    </row>
    <row r="736" spans="1:17">
      <c r="A736" s="56" t="s">
        <v>807</v>
      </c>
      <c r="B736" s="7" t="s">
        <v>561</v>
      </c>
      <c r="C736" s="7" t="s">
        <v>789</v>
      </c>
      <c r="D736" s="7" t="s">
        <v>790</v>
      </c>
      <c r="E736" s="7" t="s">
        <v>805</v>
      </c>
      <c r="F736" s="7" t="s">
        <v>444</v>
      </c>
      <c r="G736" s="7" t="s">
        <v>444</v>
      </c>
      <c r="H736" s="7" t="s">
        <v>444</v>
      </c>
      <c r="I736" s="7" t="s">
        <v>2050</v>
      </c>
      <c r="K736" s="5">
        <f>SUMIF(BC!$E$6:$E$347,$A736,BC!$K$6:$K$347)</f>
        <v>0</v>
      </c>
      <c r="L736" s="5" t="e">
        <f>SUMIF(#REF!,$A736,#REF!)+SUMIF(#REF!,$A736,#REF!)</f>
        <v>#REF!</v>
      </c>
      <c r="M736" s="5" t="e">
        <f>SUMIF(#REF!,Casilleros!$A736,#REF!)+SUMIF(#REF!,Casilleros!$A736,#REF!)+SUMIF(#REF!,$A736,#REF!)</f>
        <v>#REF!</v>
      </c>
      <c r="N736" s="5" t="e">
        <f>SUMIF(#REF!,$A736,#REF!)</f>
        <v>#REF!</v>
      </c>
      <c r="O736" s="5" t="e">
        <f>SUMIF(#REF!,$A736,#REF!)+SUMIF(#REF!,$A736,#REF!)</f>
        <v>#REF!</v>
      </c>
      <c r="P736" s="5">
        <f>IFERROR(VLOOKUP($A736,#REF!,2,FALSE),0)</f>
        <v>0</v>
      </c>
      <c r="Q736" s="42" t="e">
        <f t="shared" si="12"/>
        <v>#REF!</v>
      </c>
    </row>
    <row r="737" spans="1:17">
      <c r="A737" s="56" t="s">
        <v>810</v>
      </c>
      <c r="B737" s="7" t="s">
        <v>561</v>
      </c>
      <c r="C737" s="7" t="s">
        <v>789</v>
      </c>
      <c r="D737" s="7" t="s">
        <v>790</v>
      </c>
      <c r="E737" s="7" t="s">
        <v>808</v>
      </c>
      <c r="F737" s="7" t="s">
        <v>444</v>
      </c>
      <c r="G737" s="7" t="s">
        <v>444</v>
      </c>
      <c r="H737" s="7" t="s">
        <v>444</v>
      </c>
      <c r="I737" s="7" t="s">
        <v>2051</v>
      </c>
      <c r="K737" s="5">
        <f>SUMIF(BC!$E$6:$E$347,$A737,BC!$K$6:$K$347)</f>
        <v>0</v>
      </c>
      <c r="L737" s="5" t="e">
        <f>SUMIF(#REF!,$A737,#REF!)+SUMIF(#REF!,$A737,#REF!)</f>
        <v>#REF!</v>
      </c>
      <c r="M737" s="5" t="e">
        <f>SUMIF(#REF!,Casilleros!$A737,#REF!)+SUMIF(#REF!,Casilleros!$A737,#REF!)+SUMIF(#REF!,$A737,#REF!)</f>
        <v>#REF!</v>
      </c>
      <c r="N737" s="5" t="e">
        <f>SUMIF(#REF!,$A737,#REF!)</f>
        <v>#REF!</v>
      </c>
      <c r="O737" s="5" t="e">
        <f>SUMIF(#REF!,$A737,#REF!)+SUMIF(#REF!,$A737,#REF!)</f>
        <v>#REF!</v>
      </c>
      <c r="P737" s="5">
        <f>IFERROR(VLOOKUP($A737,#REF!,2,FALSE),0)</f>
        <v>0</v>
      </c>
      <c r="Q737" s="42" t="e">
        <f t="shared" si="12"/>
        <v>#REF!</v>
      </c>
    </row>
    <row r="738" spans="1:17">
      <c r="A738" s="56">
        <v>7039</v>
      </c>
      <c r="B738" s="7" t="s">
        <v>561</v>
      </c>
      <c r="C738" s="7" t="s">
        <v>789</v>
      </c>
      <c r="D738" s="7" t="s">
        <v>790</v>
      </c>
      <c r="E738" s="7" t="s">
        <v>821</v>
      </c>
      <c r="F738" s="7" t="s">
        <v>444</v>
      </c>
      <c r="G738" s="7" t="s">
        <v>444</v>
      </c>
      <c r="H738" s="7" t="s">
        <v>444</v>
      </c>
      <c r="I738" s="7" t="s">
        <v>2057</v>
      </c>
      <c r="K738" s="5">
        <f>SUMIF(BC!$E$6:$E$347,$A738,BC!$K$6:$K$347)</f>
        <v>0</v>
      </c>
      <c r="L738" s="5" t="e">
        <f>SUMIF(#REF!,$A738,#REF!)+SUMIF(#REF!,$A738,#REF!)</f>
        <v>#REF!</v>
      </c>
      <c r="M738" s="5" t="e">
        <f>SUMIF(#REF!,Casilleros!$A738,#REF!)+SUMIF(#REF!,Casilleros!$A738,#REF!)+SUMIF(#REF!,$A738,#REF!)</f>
        <v>#REF!</v>
      </c>
      <c r="N738" s="5" t="e">
        <f>SUMIF(#REF!,$A738,#REF!)</f>
        <v>#REF!</v>
      </c>
      <c r="O738" s="5" t="e">
        <f>SUMIF(#REF!,$A738,#REF!)+SUMIF(#REF!,$A738,#REF!)</f>
        <v>#REF!</v>
      </c>
      <c r="P738" s="5">
        <f>IFERROR(VLOOKUP($A738,#REF!,2,FALSE),0)</f>
        <v>0</v>
      </c>
      <c r="Q738" s="42" t="e">
        <f t="shared" si="12"/>
        <v>#REF!</v>
      </c>
    </row>
    <row r="739" spans="1:17">
      <c r="A739" s="56" t="s">
        <v>827</v>
      </c>
      <c r="B739" s="7" t="s">
        <v>561</v>
      </c>
      <c r="C739" s="7" t="s">
        <v>789</v>
      </c>
      <c r="D739" s="7" t="s">
        <v>823</v>
      </c>
      <c r="E739" s="7" t="s">
        <v>824</v>
      </c>
      <c r="F739" s="7" t="s">
        <v>444</v>
      </c>
      <c r="G739" s="7" t="s">
        <v>444</v>
      </c>
      <c r="H739" s="7" t="s">
        <v>444</v>
      </c>
      <c r="I739" s="7" t="s">
        <v>2059</v>
      </c>
      <c r="K739" s="5">
        <f>SUMIF(BC!$E$6:$E$347,$A739,BC!$K$6:$K$347)</f>
        <v>0</v>
      </c>
      <c r="L739" s="5" t="e">
        <f>SUMIF(#REF!,$A739,#REF!)+SUMIF(#REF!,$A739,#REF!)</f>
        <v>#REF!</v>
      </c>
      <c r="M739" s="5" t="e">
        <f>SUMIF(#REF!,Casilleros!$A739,#REF!)+SUMIF(#REF!,Casilleros!$A739,#REF!)+SUMIF(#REF!,$A739,#REF!)</f>
        <v>#REF!</v>
      </c>
      <c r="N739" s="5" t="e">
        <f>SUMIF(#REF!,$A739,#REF!)</f>
        <v>#REF!</v>
      </c>
      <c r="O739" s="5" t="e">
        <f>SUMIF(#REF!,$A739,#REF!)+SUMIF(#REF!,$A739,#REF!)</f>
        <v>#REF!</v>
      </c>
      <c r="P739" s="5">
        <f>IFERROR(VLOOKUP($A739,#REF!,2,FALSE),0)</f>
        <v>0</v>
      </c>
      <c r="Q739" s="42" t="e">
        <f t="shared" si="12"/>
        <v>#REF!</v>
      </c>
    </row>
    <row r="740" spans="1:17">
      <c r="A740" s="56" t="s">
        <v>831</v>
      </c>
      <c r="B740" s="7" t="s">
        <v>561</v>
      </c>
      <c r="C740" s="7" t="s">
        <v>789</v>
      </c>
      <c r="D740" s="7" t="s">
        <v>823</v>
      </c>
      <c r="E740" s="7" t="s">
        <v>828</v>
      </c>
      <c r="F740" s="7" t="s">
        <v>444</v>
      </c>
      <c r="G740" s="7" t="s">
        <v>444</v>
      </c>
      <c r="H740" s="7" t="s">
        <v>444</v>
      </c>
      <c r="I740" s="7" t="s">
        <v>2060</v>
      </c>
      <c r="K740" s="5">
        <f>SUMIF(BC!$E$6:$E$347,$A740,BC!$K$6:$K$347)</f>
        <v>0</v>
      </c>
      <c r="L740" s="5" t="e">
        <f>SUMIF(#REF!,$A740,#REF!)+SUMIF(#REF!,$A740,#REF!)</f>
        <v>#REF!</v>
      </c>
      <c r="M740" s="5" t="e">
        <f>SUMIF(#REF!,Casilleros!$A740,#REF!)+SUMIF(#REF!,Casilleros!$A740,#REF!)+SUMIF(#REF!,$A740,#REF!)</f>
        <v>#REF!</v>
      </c>
      <c r="N740" s="5" t="e">
        <f>SUMIF(#REF!,$A740,#REF!)</f>
        <v>#REF!</v>
      </c>
      <c r="O740" s="5" t="e">
        <f>SUMIF(#REF!,$A740,#REF!)+SUMIF(#REF!,$A740,#REF!)</f>
        <v>#REF!</v>
      </c>
      <c r="P740" s="5">
        <f>IFERROR(VLOOKUP($A740,#REF!,2,FALSE),0)</f>
        <v>0</v>
      </c>
      <c r="Q740" s="42" t="e">
        <f t="shared" si="12"/>
        <v>#REF!</v>
      </c>
    </row>
    <row r="741" spans="1:17">
      <c r="A741" s="56" t="s">
        <v>835</v>
      </c>
      <c r="B741" s="7" t="s">
        <v>561</v>
      </c>
      <c r="C741" s="7" t="s">
        <v>789</v>
      </c>
      <c r="D741" s="7" t="s">
        <v>823</v>
      </c>
      <c r="E741" s="7" t="s">
        <v>832</v>
      </c>
      <c r="F741" s="7" t="s">
        <v>444</v>
      </c>
      <c r="G741" s="7" t="s">
        <v>444</v>
      </c>
      <c r="H741" s="7" t="s">
        <v>444</v>
      </c>
      <c r="I741" s="7" t="s">
        <v>2061</v>
      </c>
      <c r="K741" s="5">
        <f>SUMIF(BC!$E$6:$E$347,$A741,BC!$K$6:$K$347)</f>
        <v>0</v>
      </c>
      <c r="L741" s="5" t="e">
        <f>SUMIF(#REF!,$A741,#REF!)+SUMIF(#REF!,$A741,#REF!)</f>
        <v>#REF!</v>
      </c>
      <c r="M741" s="5" t="e">
        <f>SUMIF(#REF!,Casilleros!$A741,#REF!)+SUMIF(#REF!,Casilleros!$A741,#REF!)+SUMIF(#REF!,$A741,#REF!)</f>
        <v>#REF!</v>
      </c>
      <c r="N741" s="5" t="e">
        <f>SUMIF(#REF!,$A741,#REF!)</f>
        <v>#REF!</v>
      </c>
      <c r="O741" s="5" t="e">
        <f>SUMIF(#REF!,$A741,#REF!)+SUMIF(#REF!,$A741,#REF!)</f>
        <v>#REF!</v>
      </c>
      <c r="P741" s="5">
        <f>IFERROR(VLOOKUP($A741,#REF!,2,FALSE),0)</f>
        <v>0</v>
      </c>
      <c r="Q741" s="42" t="e">
        <f t="shared" si="12"/>
        <v>#REF!</v>
      </c>
    </row>
    <row r="742" spans="1:17">
      <c r="A742" s="56" t="s">
        <v>839</v>
      </c>
      <c r="B742" s="7" t="s">
        <v>561</v>
      </c>
      <c r="C742" s="7" t="s">
        <v>789</v>
      </c>
      <c r="D742" s="7" t="s">
        <v>823</v>
      </c>
      <c r="E742" s="7" t="s">
        <v>836</v>
      </c>
      <c r="F742" s="7" t="s">
        <v>444</v>
      </c>
      <c r="G742" s="7" t="s">
        <v>444</v>
      </c>
      <c r="H742" s="7" t="s">
        <v>444</v>
      </c>
      <c r="I742" s="7" t="s">
        <v>2062</v>
      </c>
      <c r="K742" s="5">
        <f>SUMIF(BC!$E$6:$E$347,$A742,BC!$K$6:$K$347)</f>
        <v>0</v>
      </c>
      <c r="L742" s="5" t="e">
        <f>SUMIF(#REF!,$A742,#REF!)+SUMIF(#REF!,$A742,#REF!)</f>
        <v>#REF!</v>
      </c>
      <c r="M742" s="5" t="e">
        <f>SUMIF(#REF!,Casilleros!$A742,#REF!)+SUMIF(#REF!,Casilleros!$A742,#REF!)+SUMIF(#REF!,$A742,#REF!)</f>
        <v>#REF!</v>
      </c>
      <c r="N742" s="5" t="e">
        <f>SUMIF(#REF!,$A742,#REF!)</f>
        <v>#REF!</v>
      </c>
      <c r="O742" s="5" t="e">
        <f>SUMIF(#REF!,$A742,#REF!)+SUMIF(#REF!,$A742,#REF!)</f>
        <v>#REF!</v>
      </c>
      <c r="P742" s="5">
        <f>IFERROR(VLOOKUP($A742,#REF!,2,FALSE),0)</f>
        <v>0</v>
      </c>
      <c r="Q742" s="42" t="e">
        <f t="shared" si="12"/>
        <v>#REF!</v>
      </c>
    </row>
    <row r="743" spans="1:17">
      <c r="A743" s="56" t="s">
        <v>843</v>
      </c>
      <c r="B743" s="7" t="s">
        <v>561</v>
      </c>
      <c r="C743" s="7" t="s">
        <v>789</v>
      </c>
      <c r="D743" s="7" t="s">
        <v>823</v>
      </c>
      <c r="E743" s="7" t="s">
        <v>840</v>
      </c>
      <c r="F743" s="7" t="s">
        <v>444</v>
      </c>
      <c r="G743" s="7" t="s">
        <v>444</v>
      </c>
      <c r="H743" s="7" t="s">
        <v>444</v>
      </c>
      <c r="I743" s="7" t="s">
        <v>2063</v>
      </c>
      <c r="K743" s="5">
        <f>SUMIF(BC!$E$6:$E$347,$A743,BC!$K$6:$K$347)</f>
        <v>0</v>
      </c>
      <c r="L743" s="5" t="e">
        <f>SUMIF(#REF!,$A743,#REF!)+SUMIF(#REF!,$A743,#REF!)</f>
        <v>#REF!</v>
      </c>
      <c r="M743" s="5" t="e">
        <f>SUMIF(#REF!,Casilleros!$A743,#REF!)+SUMIF(#REF!,Casilleros!$A743,#REF!)+SUMIF(#REF!,$A743,#REF!)</f>
        <v>#REF!</v>
      </c>
      <c r="N743" s="5" t="e">
        <f>SUMIF(#REF!,$A743,#REF!)</f>
        <v>#REF!</v>
      </c>
      <c r="O743" s="5" t="e">
        <f>SUMIF(#REF!,$A743,#REF!)+SUMIF(#REF!,$A743,#REF!)</f>
        <v>#REF!</v>
      </c>
      <c r="P743" s="5">
        <f>IFERROR(VLOOKUP($A743,#REF!,2,FALSE),0)</f>
        <v>0</v>
      </c>
      <c r="Q743" s="42" t="e">
        <f t="shared" si="12"/>
        <v>#REF!</v>
      </c>
    </row>
    <row r="744" spans="1:17">
      <c r="A744" s="56" t="s">
        <v>847</v>
      </c>
      <c r="B744" s="7" t="s">
        <v>561</v>
      </c>
      <c r="C744" s="7" t="s">
        <v>789</v>
      </c>
      <c r="D744" s="7" t="s">
        <v>823</v>
      </c>
      <c r="E744" s="7" t="s">
        <v>844</v>
      </c>
      <c r="F744" s="7" t="s">
        <v>444</v>
      </c>
      <c r="G744" s="7" t="s">
        <v>444</v>
      </c>
      <c r="H744" s="7" t="s">
        <v>444</v>
      </c>
      <c r="I744" s="7" t="s">
        <v>2064</v>
      </c>
      <c r="K744" s="5">
        <f>SUMIF(BC!$E$6:$E$347,$A744,BC!$K$6:$K$347)</f>
        <v>0</v>
      </c>
      <c r="L744" s="5" t="e">
        <f>SUMIF(#REF!,$A744,#REF!)+SUMIF(#REF!,$A744,#REF!)</f>
        <v>#REF!</v>
      </c>
      <c r="M744" s="5" t="e">
        <f>SUMIF(#REF!,Casilleros!$A744,#REF!)+SUMIF(#REF!,Casilleros!$A744,#REF!)+SUMIF(#REF!,$A744,#REF!)</f>
        <v>#REF!</v>
      </c>
      <c r="N744" s="5" t="e">
        <f>SUMIF(#REF!,$A744,#REF!)</f>
        <v>#REF!</v>
      </c>
      <c r="O744" s="5" t="e">
        <f>SUMIF(#REF!,$A744,#REF!)+SUMIF(#REF!,$A744,#REF!)</f>
        <v>#REF!</v>
      </c>
      <c r="P744" s="5">
        <f>IFERROR(VLOOKUP($A744,#REF!,2,FALSE),0)</f>
        <v>0</v>
      </c>
      <c r="Q744" s="42" t="e">
        <f t="shared" si="12"/>
        <v>#REF!</v>
      </c>
    </row>
    <row r="745" spans="1:17">
      <c r="A745" s="56" t="s">
        <v>850</v>
      </c>
      <c r="B745" s="7" t="s">
        <v>561</v>
      </c>
      <c r="C745" s="7" t="s">
        <v>789</v>
      </c>
      <c r="D745" s="7" t="s">
        <v>823</v>
      </c>
      <c r="E745" s="7" t="s">
        <v>473</v>
      </c>
      <c r="F745" s="7" t="s">
        <v>444</v>
      </c>
      <c r="G745" s="7" t="s">
        <v>444</v>
      </c>
      <c r="H745" s="7" t="s">
        <v>444</v>
      </c>
      <c r="I745" s="7" t="s">
        <v>2065</v>
      </c>
      <c r="K745" s="5">
        <f>SUMIF(BC!$E$6:$E$347,$A745,BC!$K$6:$K$347)</f>
        <v>0</v>
      </c>
      <c r="L745" s="5" t="e">
        <f>SUMIF(#REF!,$A745,#REF!)+SUMIF(#REF!,$A745,#REF!)</f>
        <v>#REF!</v>
      </c>
      <c r="M745" s="5" t="e">
        <f>SUMIF(#REF!,Casilleros!$A745,#REF!)+SUMIF(#REF!,Casilleros!$A745,#REF!)+SUMIF(#REF!,$A745,#REF!)</f>
        <v>#REF!</v>
      </c>
      <c r="N745" s="5" t="e">
        <f>SUMIF(#REF!,$A745,#REF!)</f>
        <v>#REF!</v>
      </c>
      <c r="O745" s="5" t="e">
        <f>SUMIF(#REF!,$A745,#REF!)+SUMIF(#REF!,$A745,#REF!)</f>
        <v>#REF!</v>
      </c>
      <c r="P745" s="5">
        <f>IFERROR(VLOOKUP($A745,#REF!,2,FALSE),0)</f>
        <v>0</v>
      </c>
      <c r="Q745" s="42" t="e">
        <f t="shared" si="12"/>
        <v>#REF!</v>
      </c>
    </row>
    <row r="746" spans="1:17">
      <c r="A746" s="56" t="s">
        <v>853</v>
      </c>
      <c r="B746" s="7" t="s">
        <v>561</v>
      </c>
      <c r="C746" s="7" t="s">
        <v>789</v>
      </c>
      <c r="D746" s="7" t="s">
        <v>823</v>
      </c>
      <c r="E746" s="7" t="s">
        <v>122</v>
      </c>
      <c r="F746" s="7" t="s">
        <v>444</v>
      </c>
      <c r="G746" s="7" t="s">
        <v>444</v>
      </c>
      <c r="H746" s="7" t="s">
        <v>444</v>
      </c>
      <c r="I746" s="7" t="s">
        <v>2066</v>
      </c>
      <c r="K746" s="5">
        <f>SUMIF(BC!$E$6:$E$347,$A746,BC!$K$6:$K$347)</f>
        <v>0</v>
      </c>
      <c r="L746" s="5" t="e">
        <f>SUMIF(#REF!,$A746,#REF!)+SUMIF(#REF!,$A746,#REF!)</f>
        <v>#REF!</v>
      </c>
      <c r="M746" s="5" t="e">
        <f>SUMIF(#REF!,Casilleros!$A746,#REF!)+SUMIF(#REF!,Casilleros!$A746,#REF!)+SUMIF(#REF!,$A746,#REF!)</f>
        <v>#REF!</v>
      </c>
      <c r="N746" s="5" t="e">
        <f>SUMIF(#REF!,$A746,#REF!)</f>
        <v>#REF!</v>
      </c>
      <c r="O746" s="5" t="e">
        <f>SUMIF(#REF!,$A746,#REF!)+SUMIF(#REF!,$A746,#REF!)</f>
        <v>#REF!</v>
      </c>
      <c r="P746" s="5">
        <f>IFERROR(VLOOKUP($A746,#REF!,2,FALSE),0)</f>
        <v>0</v>
      </c>
      <c r="Q746" s="42" t="e">
        <f t="shared" si="12"/>
        <v>#REF!</v>
      </c>
    </row>
    <row r="747" spans="1:17">
      <c r="A747" s="56" t="s">
        <v>859</v>
      </c>
      <c r="B747" s="7" t="s">
        <v>561</v>
      </c>
      <c r="C747" s="7" t="s">
        <v>789</v>
      </c>
      <c r="D747" s="7" t="s">
        <v>854</v>
      </c>
      <c r="E747" s="7" t="s">
        <v>855</v>
      </c>
      <c r="F747" s="7" t="s">
        <v>856</v>
      </c>
      <c r="G747" s="7" t="s">
        <v>444</v>
      </c>
      <c r="H747" s="7" t="s">
        <v>444</v>
      </c>
      <c r="I747" s="7" t="s">
        <v>2069</v>
      </c>
      <c r="K747" s="5">
        <f>SUMIF(BC!$E$6:$E$347,$A747,BC!$K$6:$K$347)</f>
        <v>0</v>
      </c>
      <c r="L747" s="5" t="e">
        <f>SUMIF(#REF!,$A747,#REF!)+SUMIF(#REF!,$A747,#REF!)</f>
        <v>#REF!</v>
      </c>
      <c r="M747" s="5" t="e">
        <f>SUMIF(#REF!,Casilleros!$A747,#REF!)+SUMIF(#REF!,Casilleros!$A747,#REF!)+SUMIF(#REF!,$A747,#REF!)</f>
        <v>#REF!</v>
      </c>
      <c r="N747" s="5" t="e">
        <f>SUMIF(#REF!,$A747,#REF!)</f>
        <v>#REF!</v>
      </c>
      <c r="O747" s="5" t="e">
        <f>SUMIF(#REF!,$A747,#REF!)+SUMIF(#REF!,$A747,#REF!)</f>
        <v>#REF!</v>
      </c>
      <c r="P747" s="5">
        <f>IFERROR(VLOOKUP($A747,#REF!,2,FALSE),0)</f>
        <v>0</v>
      </c>
      <c r="Q747" s="42" t="e">
        <f t="shared" si="12"/>
        <v>#REF!</v>
      </c>
    </row>
    <row r="748" spans="1:17">
      <c r="A748" s="56" t="s">
        <v>863</v>
      </c>
      <c r="B748" s="7" t="s">
        <v>561</v>
      </c>
      <c r="C748" s="7" t="s">
        <v>789</v>
      </c>
      <c r="D748" s="7" t="s">
        <v>854</v>
      </c>
      <c r="E748" s="7" t="s">
        <v>855</v>
      </c>
      <c r="F748" s="7" t="s">
        <v>860</v>
      </c>
      <c r="G748" s="7" t="s">
        <v>444</v>
      </c>
      <c r="H748" s="7" t="s">
        <v>444</v>
      </c>
      <c r="I748" s="7" t="s">
        <v>2070</v>
      </c>
      <c r="K748" s="5">
        <f>SUMIF(BC!$E$6:$E$347,$A748,BC!$K$6:$K$347)</f>
        <v>0</v>
      </c>
      <c r="L748" s="5" t="e">
        <f>SUMIF(#REF!,$A748,#REF!)+SUMIF(#REF!,$A748,#REF!)</f>
        <v>#REF!</v>
      </c>
      <c r="M748" s="5" t="e">
        <f>SUMIF(#REF!,Casilleros!$A748,#REF!)+SUMIF(#REF!,Casilleros!$A748,#REF!)+SUMIF(#REF!,$A748,#REF!)</f>
        <v>#REF!</v>
      </c>
      <c r="N748" s="5" t="e">
        <f>SUMIF(#REF!,$A748,#REF!)</f>
        <v>#REF!</v>
      </c>
      <c r="O748" s="5" t="e">
        <f>SUMIF(#REF!,$A748,#REF!)+SUMIF(#REF!,$A748,#REF!)</f>
        <v>#REF!</v>
      </c>
      <c r="P748" s="5">
        <f>IFERROR(VLOOKUP($A748,#REF!,2,FALSE),0)</f>
        <v>0</v>
      </c>
      <c r="Q748" s="42" t="e">
        <f t="shared" si="12"/>
        <v>#REF!</v>
      </c>
    </row>
    <row r="749" spans="1:17">
      <c r="A749" s="56" t="s">
        <v>867</v>
      </c>
      <c r="B749" s="7" t="s">
        <v>561</v>
      </c>
      <c r="C749" s="7" t="s">
        <v>789</v>
      </c>
      <c r="D749" s="7" t="s">
        <v>854</v>
      </c>
      <c r="E749" s="7" t="s">
        <v>864</v>
      </c>
      <c r="F749" s="7" t="s">
        <v>444</v>
      </c>
      <c r="G749" s="7" t="s">
        <v>444</v>
      </c>
      <c r="H749" s="7" t="s">
        <v>444</v>
      </c>
      <c r="I749" s="7" t="s">
        <v>2071</v>
      </c>
      <c r="K749" s="5">
        <f>SUMIF(BC!$E$6:$E$347,$A749,BC!$K$6:$K$347)</f>
        <v>0</v>
      </c>
      <c r="L749" s="5" t="e">
        <f>SUMIF(#REF!,$A749,#REF!)+SUMIF(#REF!,$A749,#REF!)</f>
        <v>#REF!</v>
      </c>
      <c r="M749" s="5" t="e">
        <f>SUMIF(#REF!,Casilleros!$A749,#REF!)+SUMIF(#REF!,Casilleros!$A749,#REF!)+SUMIF(#REF!,$A749,#REF!)</f>
        <v>#REF!</v>
      </c>
      <c r="N749" s="5" t="e">
        <f>SUMIF(#REF!,$A749,#REF!)</f>
        <v>#REF!</v>
      </c>
      <c r="O749" s="5" t="e">
        <f>SUMIF(#REF!,$A749,#REF!)+SUMIF(#REF!,$A749,#REF!)</f>
        <v>#REF!</v>
      </c>
      <c r="P749" s="5">
        <f>IFERROR(VLOOKUP($A749,#REF!,2,FALSE),0)</f>
        <v>0</v>
      </c>
      <c r="Q749" s="42" t="e">
        <f t="shared" si="12"/>
        <v>#REF!</v>
      </c>
    </row>
    <row r="750" spans="1:17">
      <c r="A750" s="56" t="s">
        <v>871</v>
      </c>
      <c r="B750" s="7" t="s">
        <v>561</v>
      </c>
      <c r="C750" s="7" t="s">
        <v>789</v>
      </c>
      <c r="D750" s="7" t="s">
        <v>854</v>
      </c>
      <c r="E750" s="7" t="s">
        <v>868</v>
      </c>
      <c r="F750" s="7" t="s">
        <v>444</v>
      </c>
      <c r="G750" s="7" t="s">
        <v>444</v>
      </c>
      <c r="H750" s="7" t="s">
        <v>444</v>
      </c>
      <c r="I750" s="7" t="s">
        <v>2072</v>
      </c>
      <c r="K750" s="5">
        <f>SUMIF(BC!$E$6:$E$347,$A750,BC!$K$6:$K$347)</f>
        <v>0</v>
      </c>
      <c r="L750" s="5" t="e">
        <f>SUMIF(#REF!,$A750,#REF!)+SUMIF(#REF!,$A750,#REF!)</f>
        <v>#REF!</v>
      </c>
      <c r="M750" s="5" t="e">
        <f>SUMIF(#REF!,Casilleros!$A750,#REF!)+SUMIF(#REF!,Casilleros!$A750,#REF!)+SUMIF(#REF!,$A750,#REF!)</f>
        <v>#REF!</v>
      </c>
      <c r="N750" s="5" t="e">
        <f>SUMIF(#REF!,$A750,#REF!)</f>
        <v>#REF!</v>
      </c>
      <c r="O750" s="5" t="e">
        <f>SUMIF(#REF!,$A750,#REF!)+SUMIF(#REF!,$A750,#REF!)</f>
        <v>#REF!</v>
      </c>
      <c r="P750" s="5">
        <f>IFERROR(VLOOKUP($A750,#REF!,2,FALSE),0)</f>
        <v>0</v>
      </c>
      <c r="Q750" s="42" t="e">
        <f t="shared" si="12"/>
        <v>#REF!</v>
      </c>
    </row>
    <row r="751" spans="1:17">
      <c r="A751" s="56" t="s">
        <v>876</v>
      </c>
      <c r="B751" s="7" t="s">
        <v>561</v>
      </c>
      <c r="C751" s="7" t="s">
        <v>789</v>
      </c>
      <c r="D751" s="7" t="s">
        <v>854</v>
      </c>
      <c r="E751" s="7" t="s">
        <v>872</v>
      </c>
      <c r="F751" s="7" t="s">
        <v>873</v>
      </c>
      <c r="G751" s="7" t="s">
        <v>444</v>
      </c>
      <c r="H751" s="7" t="s">
        <v>444</v>
      </c>
      <c r="I751" s="7" t="s">
        <v>2074</v>
      </c>
      <c r="K751" s="5">
        <f>SUMIF(BC!$E$6:$E$347,$A751,BC!$K$6:$K$347)</f>
        <v>0</v>
      </c>
      <c r="L751" s="5" t="e">
        <f>SUMIF(#REF!,$A751,#REF!)+SUMIF(#REF!,$A751,#REF!)</f>
        <v>#REF!</v>
      </c>
      <c r="M751" s="5" t="e">
        <f>SUMIF(#REF!,Casilleros!$A751,#REF!)+SUMIF(#REF!,Casilleros!$A751,#REF!)+SUMIF(#REF!,$A751,#REF!)</f>
        <v>#REF!</v>
      </c>
      <c r="N751" s="5" t="e">
        <f>SUMIF(#REF!,$A751,#REF!)</f>
        <v>#REF!</v>
      </c>
      <c r="O751" s="5" t="e">
        <f>SUMIF(#REF!,$A751,#REF!)+SUMIF(#REF!,$A751,#REF!)</f>
        <v>#REF!</v>
      </c>
      <c r="P751" s="5">
        <f>IFERROR(VLOOKUP($A751,#REF!,2,FALSE),0)</f>
        <v>0</v>
      </c>
      <c r="Q751" s="42" t="e">
        <f t="shared" si="12"/>
        <v>#REF!</v>
      </c>
    </row>
    <row r="752" spans="1:17">
      <c r="A752" s="56" t="s">
        <v>880</v>
      </c>
      <c r="B752" s="7" t="s">
        <v>561</v>
      </c>
      <c r="C752" s="7" t="s">
        <v>789</v>
      </c>
      <c r="D752" s="7" t="s">
        <v>854</v>
      </c>
      <c r="E752" s="7" t="s">
        <v>872</v>
      </c>
      <c r="F752" s="7" t="s">
        <v>877</v>
      </c>
      <c r="G752" s="7" t="s">
        <v>444</v>
      </c>
      <c r="H752" s="7" t="s">
        <v>444</v>
      </c>
      <c r="I752" s="7" t="s">
        <v>2075</v>
      </c>
      <c r="K752" s="5">
        <f>SUMIF(BC!$E$6:$E$347,$A752,BC!$K$6:$K$347)</f>
        <v>0</v>
      </c>
      <c r="L752" s="5" t="e">
        <f>SUMIF(#REF!,$A752,#REF!)+SUMIF(#REF!,$A752,#REF!)</f>
        <v>#REF!</v>
      </c>
      <c r="M752" s="5" t="e">
        <f>SUMIF(#REF!,Casilleros!$A752,#REF!)+SUMIF(#REF!,Casilleros!$A752,#REF!)+SUMIF(#REF!,$A752,#REF!)</f>
        <v>#REF!</v>
      </c>
      <c r="N752" s="5" t="e">
        <f>SUMIF(#REF!,$A752,#REF!)</f>
        <v>#REF!</v>
      </c>
      <c r="O752" s="5" t="e">
        <f>SUMIF(#REF!,$A752,#REF!)+SUMIF(#REF!,$A752,#REF!)</f>
        <v>#REF!</v>
      </c>
      <c r="P752" s="5">
        <f>IFERROR(VLOOKUP($A752,#REF!,2,FALSE),0)</f>
        <v>0</v>
      </c>
      <c r="Q752" s="42" t="e">
        <f t="shared" si="12"/>
        <v>#REF!</v>
      </c>
    </row>
    <row r="753" spans="1:17">
      <c r="A753" s="56" t="s">
        <v>884</v>
      </c>
      <c r="B753" s="7" t="s">
        <v>561</v>
      </c>
      <c r="C753" s="7" t="s">
        <v>789</v>
      </c>
      <c r="D753" s="7" t="s">
        <v>854</v>
      </c>
      <c r="E753" s="7" t="s">
        <v>872</v>
      </c>
      <c r="F753" s="7" t="s">
        <v>881</v>
      </c>
      <c r="G753" s="7" t="s">
        <v>444</v>
      </c>
      <c r="H753" s="7" t="s">
        <v>444</v>
      </c>
      <c r="I753" s="7" t="s">
        <v>2076</v>
      </c>
      <c r="K753" s="5">
        <f>SUMIF(BC!$E$6:$E$347,$A753,BC!$K$6:$K$347)</f>
        <v>0</v>
      </c>
      <c r="L753" s="5" t="e">
        <f>SUMIF(#REF!,$A753,#REF!)+SUMIF(#REF!,$A753,#REF!)</f>
        <v>#REF!</v>
      </c>
      <c r="M753" s="5" t="e">
        <f>SUMIF(#REF!,Casilleros!$A753,#REF!)+SUMIF(#REF!,Casilleros!$A753,#REF!)+SUMIF(#REF!,$A753,#REF!)</f>
        <v>#REF!</v>
      </c>
      <c r="N753" s="5" t="e">
        <f>SUMIF(#REF!,$A753,#REF!)</f>
        <v>#REF!</v>
      </c>
      <c r="O753" s="5" t="e">
        <f>SUMIF(#REF!,$A753,#REF!)+SUMIF(#REF!,$A753,#REF!)</f>
        <v>#REF!</v>
      </c>
      <c r="P753" s="5">
        <f>IFERROR(VLOOKUP($A753,#REF!,2,FALSE),0)</f>
        <v>0</v>
      </c>
      <c r="Q753" s="42" t="e">
        <f t="shared" si="12"/>
        <v>#REF!</v>
      </c>
    </row>
    <row r="754" spans="1:17">
      <c r="A754" s="56" t="s">
        <v>887</v>
      </c>
      <c r="B754" s="7" t="s">
        <v>561</v>
      </c>
      <c r="C754" s="7" t="s">
        <v>789</v>
      </c>
      <c r="D754" s="7" t="s">
        <v>854</v>
      </c>
      <c r="E754" s="7" t="s">
        <v>872</v>
      </c>
      <c r="F754" s="7" t="s">
        <v>122</v>
      </c>
      <c r="G754" s="7" t="s">
        <v>444</v>
      </c>
      <c r="H754" s="7" t="s">
        <v>444</v>
      </c>
      <c r="I754" s="7" t="s">
        <v>2077</v>
      </c>
      <c r="K754" s="5">
        <f>SUMIF(BC!$E$6:$E$347,$A754,BC!$K$6:$K$347)</f>
        <v>0</v>
      </c>
      <c r="L754" s="5" t="e">
        <f>SUMIF(#REF!,$A754,#REF!)+SUMIF(#REF!,$A754,#REF!)</f>
        <v>#REF!</v>
      </c>
      <c r="M754" s="5" t="e">
        <f>SUMIF(#REF!,Casilleros!$A754,#REF!)+SUMIF(#REF!,Casilleros!$A754,#REF!)+SUMIF(#REF!,$A754,#REF!)</f>
        <v>#REF!</v>
      </c>
      <c r="N754" s="5" t="e">
        <f>SUMIF(#REF!,$A754,#REF!)</f>
        <v>#REF!</v>
      </c>
      <c r="O754" s="5" t="e">
        <f>SUMIF(#REF!,$A754,#REF!)+SUMIF(#REF!,$A754,#REF!)</f>
        <v>#REF!</v>
      </c>
      <c r="P754" s="5">
        <f>IFERROR(VLOOKUP($A754,#REF!,2,FALSE),0)</f>
        <v>0</v>
      </c>
      <c r="Q754" s="42" t="e">
        <f t="shared" si="12"/>
        <v>#REF!</v>
      </c>
    </row>
    <row r="755" spans="1:17">
      <c r="A755" s="56" t="s">
        <v>891</v>
      </c>
      <c r="B755" s="7" t="s">
        <v>561</v>
      </c>
      <c r="C755" s="7" t="s">
        <v>789</v>
      </c>
      <c r="D755" s="7" t="s">
        <v>854</v>
      </c>
      <c r="E755" s="7" t="s">
        <v>888</v>
      </c>
      <c r="F755" s="7" t="s">
        <v>444</v>
      </c>
      <c r="G755" s="7" t="s">
        <v>444</v>
      </c>
      <c r="H755" s="7" t="s">
        <v>444</v>
      </c>
      <c r="I755" s="7" t="s">
        <v>2078</v>
      </c>
      <c r="K755" s="5">
        <f>SUMIF(BC!$E$6:$E$347,$A755,BC!$K$6:$K$347)</f>
        <v>0</v>
      </c>
      <c r="L755" s="5" t="e">
        <f>SUMIF(#REF!,$A755,#REF!)+SUMIF(#REF!,$A755,#REF!)</f>
        <v>#REF!</v>
      </c>
      <c r="M755" s="5" t="e">
        <f>SUMIF(#REF!,Casilleros!$A755,#REF!)+SUMIF(#REF!,Casilleros!$A755,#REF!)+SUMIF(#REF!,$A755,#REF!)</f>
        <v>#REF!</v>
      </c>
      <c r="N755" s="5" t="e">
        <f>SUMIF(#REF!,$A755,#REF!)</f>
        <v>#REF!</v>
      </c>
      <c r="O755" s="5" t="e">
        <f>SUMIF(#REF!,$A755,#REF!)+SUMIF(#REF!,$A755,#REF!)</f>
        <v>#REF!</v>
      </c>
      <c r="P755" s="5">
        <f>IFERROR(VLOOKUP($A755,#REF!,2,FALSE),0)</f>
        <v>0</v>
      </c>
      <c r="Q755" s="42" t="e">
        <f t="shared" si="12"/>
        <v>#REF!</v>
      </c>
    </row>
    <row r="756" spans="1:17">
      <c r="A756" s="56" t="s">
        <v>895</v>
      </c>
      <c r="B756" s="7" t="s">
        <v>561</v>
      </c>
      <c r="C756" s="7" t="s">
        <v>789</v>
      </c>
      <c r="D756" s="7" t="s">
        <v>854</v>
      </c>
      <c r="E756" s="7" t="s">
        <v>892</v>
      </c>
      <c r="F756" s="7" t="s">
        <v>444</v>
      </c>
      <c r="G756" s="7" t="s">
        <v>444</v>
      </c>
      <c r="H756" s="7" t="s">
        <v>444</v>
      </c>
      <c r="I756" s="7" t="s">
        <v>2079</v>
      </c>
      <c r="K756" s="5">
        <f>SUMIF(BC!$E$6:$E$347,$A756,BC!$K$6:$K$347)</f>
        <v>0</v>
      </c>
      <c r="L756" s="5" t="e">
        <f>SUMIF(#REF!,$A756,#REF!)+SUMIF(#REF!,$A756,#REF!)</f>
        <v>#REF!</v>
      </c>
      <c r="M756" s="5" t="e">
        <f>SUMIF(#REF!,Casilleros!$A756,#REF!)+SUMIF(#REF!,Casilleros!$A756,#REF!)+SUMIF(#REF!,$A756,#REF!)</f>
        <v>#REF!</v>
      </c>
      <c r="N756" s="5" t="e">
        <f>SUMIF(#REF!,$A756,#REF!)</f>
        <v>#REF!</v>
      </c>
      <c r="O756" s="5" t="e">
        <f>SUMIF(#REF!,$A756,#REF!)+SUMIF(#REF!,$A756,#REF!)</f>
        <v>#REF!</v>
      </c>
      <c r="P756" s="5">
        <f>IFERROR(VLOOKUP($A756,#REF!,2,FALSE),0)</f>
        <v>0</v>
      </c>
      <c r="Q756" s="42" t="e">
        <f t="shared" si="12"/>
        <v>#REF!</v>
      </c>
    </row>
    <row r="757" spans="1:17">
      <c r="A757" s="56" t="s">
        <v>900</v>
      </c>
      <c r="B757" s="7" t="s">
        <v>561</v>
      </c>
      <c r="C757" s="7" t="s">
        <v>789</v>
      </c>
      <c r="D757" s="7" t="s">
        <v>896</v>
      </c>
      <c r="E757" s="7" t="s">
        <v>897</v>
      </c>
      <c r="F757" s="7" t="s">
        <v>444</v>
      </c>
      <c r="G757" s="7" t="s">
        <v>444</v>
      </c>
      <c r="H757" s="7" t="s">
        <v>444</v>
      </c>
      <c r="I757" s="7" t="s">
        <v>2081</v>
      </c>
      <c r="K757" s="5">
        <f>SUMIF(BC!$E$6:$E$347,$A757,BC!$K$6:$K$347)</f>
        <v>0</v>
      </c>
      <c r="L757" s="5" t="e">
        <f>SUMIF(#REF!,$A757,#REF!)+SUMIF(#REF!,$A757,#REF!)</f>
        <v>#REF!</v>
      </c>
      <c r="M757" s="5" t="e">
        <f>SUMIF(#REF!,Casilleros!$A757,#REF!)+SUMIF(#REF!,Casilleros!$A757,#REF!)+SUMIF(#REF!,$A757,#REF!)</f>
        <v>#REF!</v>
      </c>
      <c r="N757" s="5" t="e">
        <f>SUMIF(#REF!,$A757,#REF!)</f>
        <v>#REF!</v>
      </c>
      <c r="O757" s="5" t="e">
        <f>SUMIF(#REF!,$A757,#REF!)+SUMIF(#REF!,$A757,#REF!)</f>
        <v>#REF!</v>
      </c>
      <c r="P757" s="5">
        <f>IFERROR(VLOOKUP($A757,#REF!,2,FALSE),0)</f>
        <v>0</v>
      </c>
      <c r="Q757" s="42" t="e">
        <f t="shared" si="12"/>
        <v>#REF!</v>
      </c>
    </row>
    <row r="758" spans="1:17">
      <c r="A758" s="56" t="s">
        <v>904</v>
      </c>
      <c r="B758" s="7" t="s">
        <v>561</v>
      </c>
      <c r="C758" s="7" t="s">
        <v>789</v>
      </c>
      <c r="D758" s="7" t="s">
        <v>896</v>
      </c>
      <c r="E758" s="7" t="s">
        <v>901</v>
      </c>
      <c r="F758" s="7" t="s">
        <v>444</v>
      </c>
      <c r="G758" s="7" t="s">
        <v>444</v>
      </c>
      <c r="H758" s="7" t="s">
        <v>444</v>
      </c>
      <c r="I758" s="7" t="s">
        <v>2082</v>
      </c>
      <c r="K758" s="5">
        <f>SUMIF(BC!$E$6:$E$347,$A758,BC!$K$6:$K$347)</f>
        <v>0</v>
      </c>
      <c r="L758" s="5" t="e">
        <f>SUMIF(#REF!,$A758,#REF!)+SUMIF(#REF!,$A758,#REF!)</f>
        <v>#REF!</v>
      </c>
      <c r="M758" s="5" t="e">
        <f>SUMIF(#REF!,Casilleros!$A758,#REF!)+SUMIF(#REF!,Casilleros!$A758,#REF!)+SUMIF(#REF!,$A758,#REF!)</f>
        <v>#REF!</v>
      </c>
      <c r="N758" s="5" t="e">
        <f>SUMIF(#REF!,$A758,#REF!)</f>
        <v>#REF!</v>
      </c>
      <c r="O758" s="5" t="e">
        <f>SUMIF(#REF!,$A758,#REF!)+SUMIF(#REF!,$A758,#REF!)</f>
        <v>#REF!</v>
      </c>
      <c r="P758" s="5">
        <f>IFERROR(VLOOKUP($A758,#REF!,2,FALSE),0)</f>
        <v>0</v>
      </c>
      <c r="Q758" s="42" t="e">
        <f t="shared" si="12"/>
        <v>#REF!</v>
      </c>
    </row>
    <row r="759" spans="1:17">
      <c r="A759" s="56" t="s">
        <v>907</v>
      </c>
      <c r="B759" s="7" t="s">
        <v>561</v>
      </c>
      <c r="C759" s="7" t="s">
        <v>789</v>
      </c>
      <c r="D759" s="7" t="s">
        <v>896</v>
      </c>
      <c r="E759" s="7" t="s">
        <v>872</v>
      </c>
      <c r="F759" s="7" t="s">
        <v>541</v>
      </c>
      <c r="G759" s="7" t="s">
        <v>444</v>
      </c>
      <c r="H759" s="7" t="s">
        <v>444</v>
      </c>
      <c r="I759" s="7" t="s">
        <v>2084</v>
      </c>
      <c r="K759" s="5">
        <f>SUMIF(BC!$E$6:$E$347,$A759,BC!$K$6:$K$347)</f>
        <v>0</v>
      </c>
      <c r="L759" s="5" t="e">
        <f>SUMIF(#REF!,$A759,#REF!)+SUMIF(#REF!,$A759,#REF!)</f>
        <v>#REF!</v>
      </c>
      <c r="M759" s="5" t="e">
        <f>SUMIF(#REF!,Casilleros!$A759,#REF!)+SUMIF(#REF!,Casilleros!$A759,#REF!)+SUMIF(#REF!,$A759,#REF!)</f>
        <v>#REF!</v>
      </c>
      <c r="N759" s="5" t="e">
        <f>SUMIF(#REF!,$A759,#REF!)</f>
        <v>#REF!</v>
      </c>
      <c r="O759" s="5" t="e">
        <f>SUMIF(#REF!,$A759,#REF!)+SUMIF(#REF!,$A759,#REF!)</f>
        <v>#REF!</v>
      </c>
      <c r="P759" s="5">
        <f>IFERROR(VLOOKUP($A759,#REF!,2,FALSE),0)</f>
        <v>0</v>
      </c>
      <c r="Q759" s="42" t="e">
        <f t="shared" si="12"/>
        <v>#REF!</v>
      </c>
    </row>
    <row r="760" spans="1:17">
      <c r="A760" s="56" t="s">
        <v>911</v>
      </c>
      <c r="B760" s="7" t="s">
        <v>561</v>
      </c>
      <c r="C760" s="7" t="s">
        <v>789</v>
      </c>
      <c r="D760" s="7" t="s">
        <v>896</v>
      </c>
      <c r="E760" s="7" t="s">
        <v>872</v>
      </c>
      <c r="F760" s="7" t="s">
        <v>908</v>
      </c>
      <c r="G760" s="7" t="s">
        <v>444</v>
      </c>
      <c r="H760" s="7" t="s">
        <v>444</v>
      </c>
      <c r="I760" s="7" t="s">
        <v>2085</v>
      </c>
      <c r="K760" s="5">
        <f>SUMIF(BC!$E$6:$E$347,$A760,BC!$K$6:$K$347)</f>
        <v>0</v>
      </c>
      <c r="L760" s="5" t="e">
        <f>SUMIF(#REF!,$A760,#REF!)+SUMIF(#REF!,$A760,#REF!)</f>
        <v>#REF!</v>
      </c>
      <c r="M760" s="5" t="e">
        <f>SUMIF(#REF!,Casilleros!$A760,#REF!)+SUMIF(#REF!,Casilleros!$A760,#REF!)+SUMIF(#REF!,$A760,#REF!)</f>
        <v>#REF!</v>
      </c>
      <c r="N760" s="5" t="e">
        <f>SUMIF(#REF!,$A760,#REF!)</f>
        <v>#REF!</v>
      </c>
      <c r="O760" s="5" t="e">
        <f>SUMIF(#REF!,$A760,#REF!)+SUMIF(#REF!,$A760,#REF!)</f>
        <v>#REF!</v>
      </c>
      <c r="P760" s="5">
        <f>IFERROR(VLOOKUP($A760,#REF!,2,FALSE),0)</f>
        <v>0</v>
      </c>
      <c r="Q760" s="42" t="e">
        <f t="shared" si="12"/>
        <v>#REF!</v>
      </c>
    </row>
    <row r="761" spans="1:17">
      <c r="A761" s="56" t="s">
        <v>914</v>
      </c>
      <c r="B761" s="7" t="s">
        <v>561</v>
      </c>
      <c r="C761" s="7" t="s">
        <v>789</v>
      </c>
      <c r="D761" s="7" t="s">
        <v>896</v>
      </c>
      <c r="E761" s="7" t="s">
        <v>872</v>
      </c>
      <c r="F761" s="7" t="s">
        <v>122</v>
      </c>
      <c r="G761" s="7" t="s">
        <v>444</v>
      </c>
      <c r="H761" s="7" t="s">
        <v>444</v>
      </c>
      <c r="I761" s="7" t="s">
        <v>2077</v>
      </c>
      <c r="K761" s="5">
        <f>SUMIF(BC!$E$6:$E$347,$A761,BC!$K$6:$K$347)</f>
        <v>0</v>
      </c>
      <c r="L761" s="5" t="e">
        <f>SUMIF(#REF!,$A761,#REF!)+SUMIF(#REF!,$A761,#REF!)</f>
        <v>#REF!</v>
      </c>
      <c r="M761" s="5" t="e">
        <f>SUMIF(#REF!,Casilleros!$A761,#REF!)+SUMIF(#REF!,Casilleros!$A761,#REF!)+SUMIF(#REF!,$A761,#REF!)</f>
        <v>#REF!</v>
      </c>
      <c r="N761" s="5" t="e">
        <f>SUMIF(#REF!,$A761,#REF!)</f>
        <v>#REF!</v>
      </c>
      <c r="O761" s="5" t="e">
        <f>SUMIF(#REF!,$A761,#REF!)+SUMIF(#REF!,$A761,#REF!)</f>
        <v>#REF!</v>
      </c>
      <c r="P761" s="5">
        <f>IFERROR(VLOOKUP($A761,#REF!,2,FALSE),0)</f>
        <v>0</v>
      </c>
      <c r="Q761" s="42" t="e">
        <f t="shared" si="12"/>
        <v>#REF!</v>
      </c>
    </row>
    <row r="762" spans="1:17">
      <c r="A762" s="56" t="s">
        <v>918</v>
      </c>
      <c r="B762" s="7" t="s">
        <v>561</v>
      </c>
      <c r="C762" s="7" t="s">
        <v>789</v>
      </c>
      <c r="D762" s="7" t="s">
        <v>896</v>
      </c>
      <c r="E762" s="7" t="s">
        <v>915</v>
      </c>
      <c r="F762" s="7" t="s">
        <v>444</v>
      </c>
      <c r="G762" s="7" t="s">
        <v>444</v>
      </c>
      <c r="H762" s="7" t="s">
        <v>444</v>
      </c>
      <c r="I762" s="7" t="s">
        <v>2086</v>
      </c>
      <c r="K762" s="5">
        <f>SUMIF(BC!$E$6:$E$347,$A762,BC!$K$6:$K$347)</f>
        <v>0</v>
      </c>
      <c r="L762" s="5" t="e">
        <f>SUMIF(#REF!,$A762,#REF!)+SUMIF(#REF!,$A762,#REF!)</f>
        <v>#REF!</v>
      </c>
      <c r="M762" s="5" t="e">
        <f>SUMIF(#REF!,Casilleros!$A762,#REF!)+SUMIF(#REF!,Casilleros!$A762,#REF!)+SUMIF(#REF!,$A762,#REF!)</f>
        <v>#REF!</v>
      </c>
      <c r="N762" s="5" t="e">
        <f>SUMIF(#REF!,$A762,#REF!)</f>
        <v>#REF!</v>
      </c>
      <c r="O762" s="5" t="e">
        <f>SUMIF(#REF!,$A762,#REF!)+SUMIF(#REF!,$A762,#REF!)</f>
        <v>#REF!</v>
      </c>
      <c r="P762" s="5">
        <f>IFERROR(VLOOKUP($A762,#REF!,2,FALSE),0)</f>
        <v>0</v>
      </c>
      <c r="Q762" s="42" t="e">
        <f t="shared" si="12"/>
        <v>#REF!</v>
      </c>
    </row>
    <row r="763" spans="1:17">
      <c r="A763" s="56" t="s">
        <v>922</v>
      </c>
      <c r="B763" s="7" t="s">
        <v>561</v>
      </c>
      <c r="C763" s="7" t="s">
        <v>789</v>
      </c>
      <c r="D763" s="7" t="s">
        <v>919</v>
      </c>
      <c r="E763" s="7" t="s">
        <v>920</v>
      </c>
      <c r="F763" s="7" t="s">
        <v>444</v>
      </c>
      <c r="G763" s="7" t="s">
        <v>444</v>
      </c>
      <c r="H763" s="7" t="s">
        <v>444</v>
      </c>
      <c r="I763" s="7" t="s">
        <v>2088</v>
      </c>
      <c r="K763" s="5">
        <f>SUMIF(BC!$E$6:$E$347,$A763,BC!$K$6:$K$347)</f>
        <v>0</v>
      </c>
      <c r="L763" s="5" t="e">
        <f>SUMIF(#REF!,$A763,#REF!)+SUMIF(#REF!,$A763,#REF!)</f>
        <v>#REF!</v>
      </c>
      <c r="M763" s="5" t="e">
        <f>SUMIF(#REF!,Casilleros!$A763,#REF!)+SUMIF(#REF!,Casilleros!$A763,#REF!)+SUMIF(#REF!,$A763,#REF!)</f>
        <v>#REF!</v>
      </c>
      <c r="N763" s="5" t="e">
        <f>SUMIF(#REF!,$A763,#REF!)</f>
        <v>#REF!</v>
      </c>
      <c r="O763" s="5" t="e">
        <f>SUMIF(#REF!,$A763,#REF!)+SUMIF(#REF!,$A763,#REF!)</f>
        <v>#REF!</v>
      </c>
      <c r="P763" s="5">
        <f>IFERROR(VLOOKUP($A763,#REF!,2,FALSE),0)</f>
        <v>0</v>
      </c>
      <c r="Q763" s="42" t="e">
        <f t="shared" si="12"/>
        <v>#REF!</v>
      </c>
    </row>
    <row r="764" spans="1:17">
      <c r="A764" s="56" t="s">
        <v>925</v>
      </c>
      <c r="B764" s="7" t="s">
        <v>561</v>
      </c>
      <c r="C764" s="7" t="s">
        <v>789</v>
      </c>
      <c r="D764" s="7" t="s">
        <v>919</v>
      </c>
      <c r="E764" s="7" t="s">
        <v>633</v>
      </c>
      <c r="F764" s="7" t="s">
        <v>444</v>
      </c>
      <c r="G764" s="7" t="s">
        <v>444</v>
      </c>
      <c r="H764" s="7" t="s">
        <v>444</v>
      </c>
      <c r="I764" s="7" t="s">
        <v>2089</v>
      </c>
      <c r="K764" s="5">
        <f>SUMIF(BC!$E$6:$E$347,$A764,BC!$K$6:$K$347)</f>
        <v>0</v>
      </c>
      <c r="L764" s="5" t="e">
        <f>SUMIF(#REF!,$A764,#REF!)+SUMIF(#REF!,$A764,#REF!)</f>
        <v>#REF!</v>
      </c>
      <c r="M764" s="5" t="e">
        <f>SUMIF(#REF!,Casilleros!$A764,#REF!)+SUMIF(#REF!,Casilleros!$A764,#REF!)+SUMIF(#REF!,$A764,#REF!)</f>
        <v>#REF!</v>
      </c>
      <c r="N764" s="5" t="e">
        <f>SUMIF(#REF!,$A764,#REF!)</f>
        <v>#REF!</v>
      </c>
      <c r="O764" s="5" t="e">
        <f>SUMIF(#REF!,$A764,#REF!)+SUMIF(#REF!,$A764,#REF!)</f>
        <v>#REF!</v>
      </c>
      <c r="P764" s="5">
        <f>IFERROR(VLOOKUP($A764,#REF!,2,FALSE),0)</f>
        <v>0</v>
      </c>
      <c r="Q764" s="42" t="e">
        <f t="shared" si="12"/>
        <v>#REF!</v>
      </c>
    </row>
    <row r="765" spans="1:17">
      <c r="A765" s="56" t="s">
        <v>927</v>
      </c>
      <c r="B765" s="7" t="s">
        <v>561</v>
      </c>
      <c r="C765" s="7" t="s">
        <v>789</v>
      </c>
      <c r="D765" s="7" t="s">
        <v>919</v>
      </c>
      <c r="E765" s="7" t="s">
        <v>636</v>
      </c>
      <c r="F765" s="7" t="s">
        <v>444</v>
      </c>
      <c r="G765" s="7" t="s">
        <v>444</v>
      </c>
      <c r="H765" s="7" t="s">
        <v>444</v>
      </c>
      <c r="I765" s="7" t="s">
        <v>2090</v>
      </c>
      <c r="K765" s="5">
        <f>SUMIF(BC!$E$6:$E$347,$A765,BC!$K$6:$K$347)</f>
        <v>0</v>
      </c>
      <c r="L765" s="5" t="e">
        <f>SUMIF(#REF!,$A765,#REF!)+SUMIF(#REF!,$A765,#REF!)</f>
        <v>#REF!</v>
      </c>
      <c r="M765" s="5" t="e">
        <f>SUMIF(#REF!,Casilleros!$A765,#REF!)+SUMIF(#REF!,Casilleros!$A765,#REF!)+SUMIF(#REF!,$A765,#REF!)</f>
        <v>#REF!</v>
      </c>
      <c r="N765" s="5" t="e">
        <f>SUMIF(#REF!,$A765,#REF!)</f>
        <v>#REF!</v>
      </c>
      <c r="O765" s="5" t="e">
        <f>SUMIF(#REF!,$A765,#REF!)+SUMIF(#REF!,$A765,#REF!)</f>
        <v>#REF!</v>
      </c>
      <c r="P765" s="5">
        <f>IFERROR(VLOOKUP($A765,#REF!,2,FALSE),0)</f>
        <v>0</v>
      </c>
      <c r="Q765" s="42" t="e">
        <f t="shared" si="12"/>
        <v>#REF!</v>
      </c>
    </row>
    <row r="766" spans="1:17">
      <c r="A766" s="56" t="s">
        <v>929</v>
      </c>
      <c r="B766" s="7" t="s">
        <v>561</v>
      </c>
      <c r="C766" s="7" t="s">
        <v>789</v>
      </c>
      <c r="D766" s="7" t="s">
        <v>919</v>
      </c>
      <c r="E766" s="7" t="s">
        <v>639</v>
      </c>
      <c r="F766" s="7" t="s">
        <v>444</v>
      </c>
      <c r="G766" s="7" t="s">
        <v>444</v>
      </c>
      <c r="H766" s="7" t="s">
        <v>444</v>
      </c>
      <c r="I766" s="7" t="s">
        <v>2091</v>
      </c>
      <c r="K766" s="5">
        <f>SUMIF(BC!$E$6:$E$347,$A766,BC!$K$6:$K$347)</f>
        <v>0</v>
      </c>
      <c r="L766" s="5" t="e">
        <f>SUMIF(#REF!,$A766,#REF!)+SUMIF(#REF!,$A766,#REF!)</f>
        <v>#REF!</v>
      </c>
      <c r="M766" s="5" t="e">
        <f>SUMIF(#REF!,Casilleros!$A766,#REF!)+SUMIF(#REF!,Casilleros!$A766,#REF!)+SUMIF(#REF!,$A766,#REF!)</f>
        <v>#REF!</v>
      </c>
      <c r="N766" s="5" t="e">
        <f>SUMIF(#REF!,$A766,#REF!)</f>
        <v>#REF!</v>
      </c>
      <c r="O766" s="5" t="e">
        <f>SUMIF(#REF!,$A766,#REF!)+SUMIF(#REF!,$A766,#REF!)</f>
        <v>#REF!</v>
      </c>
      <c r="P766" s="5">
        <f>IFERROR(VLOOKUP($A766,#REF!,2,FALSE),0)</f>
        <v>0</v>
      </c>
      <c r="Q766" s="42" t="e">
        <f t="shared" si="12"/>
        <v>#REF!</v>
      </c>
    </row>
    <row r="767" spans="1:17">
      <c r="A767" s="56" t="s">
        <v>932</v>
      </c>
      <c r="B767" s="7" t="s">
        <v>561</v>
      </c>
      <c r="C767" s="7" t="s">
        <v>789</v>
      </c>
      <c r="D767" s="7" t="s">
        <v>919</v>
      </c>
      <c r="E767" s="7" t="s">
        <v>642</v>
      </c>
      <c r="F767" s="7" t="s">
        <v>444</v>
      </c>
      <c r="G767" s="7" t="s">
        <v>444</v>
      </c>
      <c r="H767" s="7" t="s">
        <v>444</v>
      </c>
      <c r="I767" s="7" t="s">
        <v>2092</v>
      </c>
      <c r="K767" s="5">
        <f>SUMIF(BC!$E$6:$E$347,$A767,BC!$K$6:$K$347)</f>
        <v>0</v>
      </c>
      <c r="L767" s="5" t="e">
        <f>SUMIF(#REF!,$A767,#REF!)+SUMIF(#REF!,$A767,#REF!)</f>
        <v>#REF!</v>
      </c>
      <c r="M767" s="5" t="e">
        <f>SUMIF(#REF!,Casilleros!$A767,#REF!)+SUMIF(#REF!,Casilleros!$A767,#REF!)+SUMIF(#REF!,$A767,#REF!)</f>
        <v>#REF!</v>
      </c>
      <c r="N767" s="5" t="e">
        <f>SUMIF(#REF!,$A767,#REF!)</f>
        <v>#REF!</v>
      </c>
      <c r="O767" s="5" t="e">
        <f>SUMIF(#REF!,$A767,#REF!)+SUMIF(#REF!,$A767,#REF!)</f>
        <v>#REF!</v>
      </c>
      <c r="P767" s="5">
        <f>IFERROR(VLOOKUP($A767,#REF!,2,FALSE),0)</f>
        <v>0</v>
      </c>
      <c r="Q767" s="42" t="e">
        <f t="shared" si="12"/>
        <v>#REF!</v>
      </c>
    </row>
    <row r="768" spans="1:17">
      <c r="A768" s="56" t="s">
        <v>935</v>
      </c>
      <c r="B768" s="7" t="s">
        <v>561</v>
      </c>
      <c r="C768" s="7" t="s">
        <v>789</v>
      </c>
      <c r="D768" s="7" t="s">
        <v>919</v>
      </c>
      <c r="E768" s="7" t="s">
        <v>645</v>
      </c>
      <c r="F768" s="7" t="s">
        <v>444</v>
      </c>
      <c r="G768" s="7" t="s">
        <v>444</v>
      </c>
      <c r="H768" s="7" t="s">
        <v>444</v>
      </c>
      <c r="I768" s="7" t="s">
        <v>2093</v>
      </c>
      <c r="K768" s="5">
        <f>SUMIF(BC!$E$6:$E$347,$A768,BC!$K$6:$K$347)</f>
        <v>0</v>
      </c>
      <c r="L768" s="5" t="e">
        <f>SUMIF(#REF!,$A768,#REF!)+SUMIF(#REF!,$A768,#REF!)</f>
        <v>#REF!</v>
      </c>
      <c r="M768" s="5" t="e">
        <f>SUMIF(#REF!,Casilleros!$A768,#REF!)+SUMIF(#REF!,Casilleros!$A768,#REF!)+SUMIF(#REF!,$A768,#REF!)</f>
        <v>#REF!</v>
      </c>
      <c r="N768" s="5" t="e">
        <f>SUMIF(#REF!,$A768,#REF!)</f>
        <v>#REF!</v>
      </c>
      <c r="O768" s="5" t="e">
        <f>SUMIF(#REF!,$A768,#REF!)+SUMIF(#REF!,$A768,#REF!)</f>
        <v>#REF!</v>
      </c>
      <c r="P768" s="5">
        <f>IFERROR(VLOOKUP($A768,#REF!,2,FALSE),0)</f>
        <v>0</v>
      </c>
      <c r="Q768" s="42" t="e">
        <f t="shared" si="12"/>
        <v>#REF!</v>
      </c>
    </row>
    <row r="769" spans="1:17">
      <c r="A769" s="56" t="s">
        <v>937</v>
      </c>
      <c r="B769" s="7" t="s">
        <v>561</v>
      </c>
      <c r="C769" s="7" t="s">
        <v>789</v>
      </c>
      <c r="D769" s="7" t="s">
        <v>919</v>
      </c>
      <c r="E769" s="7" t="s">
        <v>648</v>
      </c>
      <c r="F769" s="7" t="s">
        <v>444</v>
      </c>
      <c r="G769" s="7" t="s">
        <v>444</v>
      </c>
      <c r="H769" s="7" t="s">
        <v>444</v>
      </c>
      <c r="I769" s="7" t="s">
        <v>2094</v>
      </c>
      <c r="K769" s="5">
        <f>SUMIF(BC!$E$6:$E$347,$A769,BC!$K$6:$K$347)</f>
        <v>0</v>
      </c>
      <c r="L769" s="5" t="e">
        <f>SUMIF(#REF!,$A769,#REF!)+SUMIF(#REF!,$A769,#REF!)</f>
        <v>#REF!</v>
      </c>
      <c r="M769" s="5" t="e">
        <f>SUMIF(#REF!,Casilleros!$A769,#REF!)+SUMIF(#REF!,Casilleros!$A769,#REF!)+SUMIF(#REF!,$A769,#REF!)</f>
        <v>#REF!</v>
      </c>
      <c r="N769" s="5" t="e">
        <f>SUMIF(#REF!,$A769,#REF!)</f>
        <v>#REF!</v>
      </c>
      <c r="O769" s="5" t="e">
        <f>SUMIF(#REF!,$A769,#REF!)+SUMIF(#REF!,$A769,#REF!)</f>
        <v>#REF!</v>
      </c>
      <c r="P769" s="5">
        <f>IFERROR(VLOOKUP($A769,#REF!,2,FALSE),0)</f>
        <v>0</v>
      </c>
      <c r="Q769" s="42" t="e">
        <f t="shared" si="12"/>
        <v>#REF!</v>
      </c>
    </row>
    <row r="770" spans="1:17">
      <c r="A770" s="56" t="s">
        <v>939</v>
      </c>
      <c r="B770" s="7" t="s">
        <v>561</v>
      </c>
      <c r="C770" s="7" t="s">
        <v>789</v>
      </c>
      <c r="D770" s="7" t="s">
        <v>919</v>
      </c>
      <c r="E770" s="7" t="s">
        <v>651</v>
      </c>
      <c r="F770" s="7" t="s">
        <v>444</v>
      </c>
      <c r="G770" s="7" t="s">
        <v>444</v>
      </c>
      <c r="H770" s="7" t="s">
        <v>444</v>
      </c>
      <c r="I770" s="7" t="s">
        <v>2095</v>
      </c>
      <c r="K770" s="5">
        <f>SUMIF(BC!$E$6:$E$347,$A770,BC!$K$6:$K$347)</f>
        <v>0</v>
      </c>
      <c r="L770" s="5" t="e">
        <f>SUMIF(#REF!,$A770,#REF!)+SUMIF(#REF!,$A770,#REF!)</f>
        <v>#REF!</v>
      </c>
      <c r="M770" s="5" t="e">
        <f>SUMIF(#REF!,Casilleros!$A770,#REF!)+SUMIF(#REF!,Casilleros!$A770,#REF!)+SUMIF(#REF!,$A770,#REF!)</f>
        <v>#REF!</v>
      </c>
      <c r="N770" s="5" t="e">
        <f>SUMIF(#REF!,$A770,#REF!)</f>
        <v>#REF!</v>
      </c>
      <c r="O770" s="5" t="e">
        <f>SUMIF(#REF!,$A770,#REF!)+SUMIF(#REF!,$A770,#REF!)</f>
        <v>#REF!</v>
      </c>
      <c r="P770" s="5">
        <f>IFERROR(VLOOKUP($A770,#REF!,2,FALSE),0)</f>
        <v>0</v>
      </c>
      <c r="Q770" s="42" t="e">
        <f t="shared" si="12"/>
        <v>#REF!</v>
      </c>
    </row>
    <row r="771" spans="1:17">
      <c r="A771" s="56" t="s">
        <v>941</v>
      </c>
      <c r="B771" s="7" t="s">
        <v>561</v>
      </c>
      <c r="C771" s="7" t="s">
        <v>789</v>
      </c>
      <c r="D771" s="7" t="s">
        <v>919</v>
      </c>
      <c r="E771" s="7" t="s">
        <v>654</v>
      </c>
      <c r="F771" s="7" t="s">
        <v>444</v>
      </c>
      <c r="G771" s="7" t="s">
        <v>444</v>
      </c>
      <c r="H771" s="7" t="s">
        <v>444</v>
      </c>
      <c r="I771" s="7" t="s">
        <v>2096</v>
      </c>
      <c r="K771" s="5">
        <f>SUMIF(BC!$E$6:$E$347,$A771,BC!$K$6:$K$347)</f>
        <v>0</v>
      </c>
      <c r="L771" s="5" t="e">
        <f>SUMIF(#REF!,$A771,#REF!)+SUMIF(#REF!,$A771,#REF!)</f>
        <v>#REF!</v>
      </c>
      <c r="M771" s="5" t="e">
        <f>SUMIF(#REF!,Casilleros!$A771,#REF!)+SUMIF(#REF!,Casilleros!$A771,#REF!)+SUMIF(#REF!,$A771,#REF!)</f>
        <v>#REF!</v>
      </c>
      <c r="N771" s="5" t="e">
        <f>SUMIF(#REF!,$A771,#REF!)</f>
        <v>#REF!</v>
      </c>
      <c r="O771" s="5" t="e">
        <f>SUMIF(#REF!,$A771,#REF!)+SUMIF(#REF!,$A771,#REF!)</f>
        <v>#REF!</v>
      </c>
      <c r="P771" s="5">
        <f>IFERROR(VLOOKUP($A771,#REF!,2,FALSE),0)</f>
        <v>0</v>
      </c>
      <c r="Q771" s="42" t="e">
        <f t="shared" si="12"/>
        <v>#REF!</v>
      </c>
    </row>
    <row r="772" spans="1:17">
      <c r="A772" s="56" t="s">
        <v>944</v>
      </c>
      <c r="B772" s="7" t="s">
        <v>561</v>
      </c>
      <c r="C772" s="7" t="s">
        <v>789</v>
      </c>
      <c r="D772" s="7" t="s">
        <v>919</v>
      </c>
      <c r="E772" s="7" t="s">
        <v>425</v>
      </c>
      <c r="F772" s="7" t="s">
        <v>444</v>
      </c>
      <c r="G772" s="7" t="s">
        <v>444</v>
      </c>
      <c r="H772" s="7" t="s">
        <v>444</v>
      </c>
      <c r="I772" s="7" t="s">
        <v>2097</v>
      </c>
      <c r="K772" s="5">
        <f>SUMIF(BC!$E$6:$E$347,$A772,BC!$K$6:$K$347)</f>
        <v>0</v>
      </c>
      <c r="L772" s="5" t="e">
        <f>SUMIF(#REF!,$A772,#REF!)+SUMIF(#REF!,$A772,#REF!)</f>
        <v>#REF!</v>
      </c>
      <c r="M772" s="5" t="e">
        <f>SUMIF(#REF!,Casilleros!$A772,#REF!)+SUMIF(#REF!,Casilleros!$A772,#REF!)+SUMIF(#REF!,$A772,#REF!)</f>
        <v>#REF!</v>
      </c>
      <c r="N772" s="5" t="e">
        <f>SUMIF(#REF!,$A772,#REF!)</f>
        <v>#REF!</v>
      </c>
      <c r="O772" s="5" t="e">
        <f>SUMIF(#REF!,$A772,#REF!)+SUMIF(#REF!,$A772,#REF!)</f>
        <v>#REF!</v>
      </c>
      <c r="P772" s="5">
        <f>IFERROR(VLOOKUP($A772,#REF!,2,FALSE),0)</f>
        <v>0</v>
      </c>
      <c r="Q772" s="42" t="e">
        <f t="shared" si="12"/>
        <v>#REF!</v>
      </c>
    </row>
    <row r="773" spans="1:17">
      <c r="A773" s="56" t="s">
        <v>948</v>
      </c>
      <c r="B773" s="7" t="s">
        <v>561</v>
      </c>
      <c r="C773" s="7" t="s">
        <v>789</v>
      </c>
      <c r="D773" s="7" t="s">
        <v>945</v>
      </c>
      <c r="E773" s="7" t="s">
        <v>411</v>
      </c>
      <c r="F773" s="7" t="s">
        <v>444</v>
      </c>
      <c r="G773" s="7" t="s">
        <v>444</v>
      </c>
      <c r="H773" s="7" t="s">
        <v>444</v>
      </c>
      <c r="I773" s="7" t="s">
        <v>2099</v>
      </c>
      <c r="K773" s="5">
        <f>SUMIF(BC!$E$6:$E$347,$A773,BC!$K$6:$K$347)</f>
        <v>0</v>
      </c>
      <c r="L773" s="5" t="e">
        <f>SUMIF(#REF!,$A773,#REF!)+SUMIF(#REF!,$A773,#REF!)</f>
        <v>#REF!</v>
      </c>
      <c r="M773" s="5" t="e">
        <f>SUMIF(#REF!,Casilleros!$A773,#REF!)+SUMIF(#REF!,Casilleros!$A773,#REF!)+SUMIF(#REF!,$A773,#REF!)</f>
        <v>#REF!</v>
      </c>
      <c r="N773" s="5" t="e">
        <f>SUMIF(#REF!,$A773,#REF!)</f>
        <v>#REF!</v>
      </c>
      <c r="O773" s="5" t="e">
        <f>SUMIF(#REF!,$A773,#REF!)+SUMIF(#REF!,$A773,#REF!)</f>
        <v>#REF!</v>
      </c>
      <c r="P773" s="5">
        <f>IFERROR(VLOOKUP($A773,#REF!,2,FALSE),0)</f>
        <v>0</v>
      </c>
      <c r="Q773" s="42" t="e">
        <f t="shared" si="12"/>
        <v>#REF!</v>
      </c>
    </row>
    <row r="774" spans="1:17">
      <c r="A774" s="56" t="s">
        <v>951</v>
      </c>
      <c r="B774" s="7" t="s">
        <v>561</v>
      </c>
      <c r="C774" s="7" t="s">
        <v>789</v>
      </c>
      <c r="D774" s="7" t="s">
        <v>945</v>
      </c>
      <c r="E774" s="7" t="s">
        <v>662</v>
      </c>
      <c r="F774" s="7" t="s">
        <v>444</v>
      </c>
      <c r="G774" s="7" t="s">
        <v>444</v>
      </c>
      <c r="H774" s="7" t="s">
        <v>444</v>
      </c>
      <c r="I774" s="7" t="s">
        <v>2100</v>
      </c>
      <c r="K774" s="5">
        <f>SUMIF(BC!$E$6:$E$347,$A774,BC!$K$6:$K$347)</f>
        <v>0</v>
      </c>
      <c r="L774" s="5" t="e">
        <f>SUMIF(#REF!,$A774,#REF!)+SUMIF(#REF!,$A774,#REF!)</f>
        <v>#REF!</v>
      </c>
      <c r="M774" s="5" t="e">
        <f>SUMIF(#REF!,Casilleros!$A774,#REF!)+SUMIF(#REF!,Casilleros!$A774,#REF!)+SUMIF(#REF!,$A774,#REF!)</f>
        <v>#REF!</v>
      </c>
      <c r="N774" s="5" t="e">
        <f>SUMIF(#REF!,$A774,#REF!)</f>
        <v>#REF!</v>
      </c>
      <c r="O774" s="5" t="e">
        <f>SUMIF(#REF!,$A774,#REF!)+SUMIF(#REF!,$A774,#REF!)</f>
        <v>#REF!</v>
      </c>
      <c r="P774" s="5">
        <f>IFERROR(VLOOKUP($A774,#REF!,2,FALSE),0)</f>
        <v>0</v>
      </c>
      <c r="Q774" s="42" t="e">
        <f t="shared" si="12"/>
        <v>#REF!</v>
      </c>
    </row>
    <row r="775" spans="1:17">
      <c r="A775" s="56" t="s">
        <v>953</v>
      </c>
      <c r="B775" s="7" t="s">
        <v>561</v>
      </c>
      <c r="C775" s="7" t="s">
        <v>789</v>
      </c>
      <c r="D775" s="7" t="s">
        <v>945</v>
      </c>
      <c r="E775" s="7" t="s">
        <v>415</v>
      </c>
      <c r="F775" s="7" t="s">
        <v>444</v>
      </c>
      <c r="G775" s="7" t="s">
        <v>444</v>
      </c>
      <c r="H775" s="7" t="s">
        <v>444</v>
      </c>
      <c r="I775" s="7" t="s">
        <v>2101</v>
      </c>
      <c r="K775" s="5">
        <f>SUMIF(BC!$E$6:$E$347,$A775,BC!$K$6:$K$347)</f>
        <v>0</v>
      </c>
      <c r="L775" s="5" t="e">
        <f>SUMIF(#REF!,$A775,#REF!)+SUMIF(#REF!,$A775,#REF!)</f>
        <v>#REF!</v>
      </c>
      <c r="M775" s="5" t="e">
        <f>SUMIF(#REF!,Casilleros!$A775,#REF!)+SUMIF(#REF!,Casilleros!$A775,#REF!)+SUMIF(#REF!,$A775,#REF!)</f>
        <v>#REF!</v>
      </c>
      <c r="N775" s="5" t="e">
        <f>SUMIF(#REF!,$A775,#REF!)</f>
        <v>#REF!</v>
      </c>
      <c r="O775" s="5" t="e">
        <f>SUMIF(#REF!,$A775,#REF!)+SUMIF(#REF!,$A775,#REF!)</f>
        <v>#REF!</v>
      </c>
      <c r="P775" s="5">
        <f>IFERROR(VLOOKUP($A775,#REF!,2,FALSE),0)</f>
        <v>0</v>
      </c>
      <c r="Q775" s="42" t="e">
        <f t="shared" si="12"/>
        <v>#REF!</v>
      </c>
    </row>
    <row r="776" spans="1:17">
      <c r="A776" s="56" t="s">
        <v>955</v>
      </c>
      <c r="B776" s="7" t="s">
        <v>561</v>
      </c>
      <c r="C776" s="7" t="s">
        <v>789</v>
      </c>
      <c r="D776" s="7" t="s">
        <v>945</v>
      </c>
      <c r="E776" s="7" t="s">
        <v>417</v>
      </c>
      <c r="F776" s="7" t="s">
        <v>444</v>
      </c>
      <c r="G776" s="7" t="s">
        <v>444</v>
      </c>
      <c r="H776" s="7" t="s">
        <v>444</v>
      </c>
      <c r="I776" s="7" t="s">
        <v>2102</v>
      </c>
      <c r="K776" s="5">
        <f>SUMIF(BC!$E$6:$E$347,$A776,BC!$K$6:$K$347)</f>
        <v>0</v>
      </c>
      <c r="L776" s="5" t="e">
        <f>SUMIF(#REF!,$A776,#REF!)+SUMIF(#REF!,$A776,#REF!)</f>
        <v>#REF!</v>
      </c>
      <c r="M776" s="5" t="e">
        <f>SUMIF(#REF!,Casilleros!$A776,#REF!)+SUMIF(#REF!,Casilleros!$A776,#REF!)+SUMIF(#REF!,$A776,#REF!)</f>
        <v>#REF!</v>
      </c>
      <c r="N776" s="5" t="e">
        <f>SUMIF(#REF!,$A776,#REF!)</f>
        <v>#REF!</v>
      </c>
      <c r="O776" s="5" t="e">
        <f>SUMIF(#REF!,$A776,#REF!)+SUMIF(#REF!,$A776,#REF!)</f>
        <v>#REF!</v>
      </c>
      <c r="P776" s="5">
        <f>IFERROR(VLOOKUP($A776,#REF!,2,FALSE),0)</f>
        <v>0</v>
      </c>
      <c r="Q776" s="42" t="e">
        <f t="shared" si="12"/>
        <v>#REF!</v>
      </c>
    </row>
    <row r="777" spans="1:17">
      <c r="A777" s="56" t="s">
        <v>957</v>
      </c>
      <c r="B777" s="7" t="s">
        <v>561</v>
      </c>
      <c r="C777" s="7" t="s">
        <v>789</v>
      </c>
      <c r="D777" s="7" t="s">
        <v>945</v>
      </c>
      <c r="E777" s="7" t="s">
        <v>419</v>
      </c>
      <c r="F777" s="7" t="s">
        <v>444</v>
      </c>
      <c r="G777" s="7" t="s">
        <v>444</v>
      </c>
      <c r="H777" s="7" t="s">
        <v>444</v>
      </c>
      <c r="I777" s="7" t="s">
        <v>2103</v>
      </c>
      <c r="K777" s="5">
        <f>SUMIF(BC!$E$6:$E$347,$A777,BC!$K$6:$K$347)</f>
        <v>0</v>
      </c>
      <c r="L777" s="5" t="e">
        <f>SUMIF(#REF!,$A777,#REF!)+SUMIF(#REF!,$A777,#REF!)</f>
        <v>#REF!</v>
      </c>
      <c r="M777" s="5" t="e">
        <f>SUMIF(#REF!,Casilleros!$A777,#REF!)+SUMIF(#REF!,Casilleros!$A777,#REF!)+SUMIF(#REF!,$A777,#REF!)</f>
        <v>#REF!</v>
      </c>
      <c r="N777" s="5" t="e">
        <f>SUMIF(#REF!,$A777,#REF!)</f>
        <v>#REF!</v>
      </c>
      <c r="O777" s="5" t="e">
        <f>SUMIF(#REF!,$A777,#REF!)+SUMIF(#REF!,$A777,#REF!)</f>
        <v>#REF!</v>
      </c>
      <c r="P777" s="5">
        <f>IFERROR(VLOOKUP($A777,#REF!,2,FALSE),0)</f>
        <v>0</v>
      </c>
      <c r="Q777" s="42" t="e">
        <f t="shared" si="12"/>
        <v>#REF!</v>
      </c>
    </row>
    <row r="778" spans="1:17">
      <c r="A778" s="56" t="s">
        <v>959</v>
      </c>
      <c r="B778" s="7" t="s">
        <v>561</v>
      </c>
      <c r="C778" s="7" t="s">
        <v>789</v>
      </c>
      <c r="D778" s="7" t="s">
        <v>945</v>
      </c>
      <c r="E778" s="7" t="s">
        <v>421</v>
      </c>
      <c r="F778" s="7" t="s">
        <v>444</v>
      </c>
      <c r="G778" s="7" t="s">
        <v>444</v>
      </c>
      <c r="H778" s="7" t="s">
        <v>444</v>
      </c>
      <c r="I778" s="7" t="s">
        <v>2104</v>
      </c>
      <c r="K778" s="5">
        <f>SUMIF(BC!$E$6:$E$347,$A778,BC!$K$6:$K$347)</f>
        <v>0</v>
      </c>
      <c r="L778" s="5" t="e">
        <f>SUMIF(#REF!,$A778,#REF!)+SUMIF(#REF!,$A778,#REF!)</f>
        <v>#REF!</v>
      </c>
      <c r="M778" s="5" t="e">
        <f>SUMIF(#REF!,Casilleros!$A778,#REF!)+SUMIF(#REF!,Casilleros!$A778,#REF!)+SUMIF(#REF!,$A778,#REF!)</f>
        <v>#REF!</v>
      </c>
      <c r="N778" s="5" t="e">
        <f>SUMIF(#REF!,$A778,#REF!)</f>
        <v>#REF!</v>
      </c>
      <c r="O778" s="5" t="e">
        <f>SUMIF(#REF!,$A778,#REF!)+SUMIF(#REF!,$A778,#REF!)</f>
        <v>#REF!</v>
      </c>
      <c r="P778" s="5">
        <f>IFERROR(VLOOKUP($A778,#REF!,2,FALSE),0)</f>
        <v>0</v>
      </c>
      <c r="Q778" s="42" t="e">
        <f t="shared" si="12"/>
        <v>#REF!</v>
      </c>
    </row>
    <row r="779" spans="1:17">
      <c r="A779" s="56" t="s">
        <v>962</v>
      </c>
      <c r="B779" s="7" t="s">
        <v>561</v>
      </c>
      <c r="C779" s="7" t="s">
        <v>789</v>
      </c>
      <c r="D779" s="7" t="s">
        <v>945</v>
      </c>
      <c r="E779" s="7" t="s">
        <v>423</v>
      </c>
      <c r="F779" s="7" t="s">
        <v>444</v>
      </c>
      <c r="G779" s="7" t="s">
        <v>444</v>
      </c>
      <c r="H779" s="7" t="s">
        <v>444</v>
      </c>
      <c r="I779" s="7" t="s">
        <v>2105</v>
      </c>
      <c r="K779" s="5">
        <f>SUMIF(BC!$E$6:$E$347,$A779,BC!$K$6:$K$347)</f>
        <v>0</v>
      </c>
      <c r="L779" s="5" t="e">
        <f>SUMIF(#REF!,$A779,#REF!)+SUMIF(#REF!,$A779,#REF!)</f>
        <v>#REF!</v>
      </c>
      <c r="M779" s="5" t="e">
        <f>SUMIF(#REF!,Casilleros!$A779,#REF!)+SUMIF(#REF!,Casilleros!$A779,#REF!)+SUMIF(#REF!,$A779,#REF!)</f>
        <v>#REF!</v>
      </c>
      <c r="N779" s="5" t="e">
        <f>SUMIF(#REF!,$A779,#REF!)</f>
        <v>#REF!</v>
      </c>
      <c r="O779" s="5" t="e">
        <f>SUMIF(#REF!,$A779,#REF!)+SUMIF(#REF!,$A779,#REF!)</f>
        <v>#REF!</v>
      </c>
      <c r="P779" s="5">
        <f>IFERROR(VLOOKUP($A779,#REF!,2,FALSE),0)</f>
        <v>0</v>
      </c>
      <c r="Q779" s="42" t="e">
        <f t="shared" si="12"/>
        <v>#REF!</v>
      </c>
    </row>
    <row r="780" spans="1:17">
      <c r="A780" s="56" t="s">
        <v>965</v>
      </c>
      <c r="B780" s="7" t="s">
        <v>561</v>
      </c>
      <c r="C780" s="7" t="s">
        <v>789</v>
      </c>
      <c r="D780" s="7" t="s">
        <v>945</v>
      </c>
      <c r="E780" s="7" t="s">
        <v>122</v>
      </c>
      <c r="F780" s="7" t="s">
        <v>444</v>
      </c>
      <c r="G780" s="7" t="s">
        <v>444</v>
      </c>
      <c r="H780" s="7" t="s">
        <v>444</v>
      </c>
      <c r="I780" s="7" t="s">
        <v>2106</v>
      </c>
      <c r="K780" s="5">
        <f>SUMIF(BC!$E$6:$E$347,$A780,BC!$K$6:$K$347)</f>
        <v>0</v>
      </c>
      <c r="L780" s="5" t="e">
        <f>SUMIF(#REF!,$A780,#REF!)+SUMIF(#REF!,$A780,#REF!)</f>
        <v>#REF!</v>
      </c>
      <c r="M780" s="5" t="e">
        <f>SUMIF(#REF!,Casilleros!$A780,#REF!)+SUMIF(#REF!,Casilleros!$A780,#REF!)+SUMIF(#REF!,$A780,#REF!)</f>
        <v>#REF!</v>
      </c>
      <c r="N780" s="5" t="e">
        <f>SUMIF(#REF!,$A780,#REF!)</f>
        <v>#REF!</v>
      </c>
      <c r="O780" s="5" t="e">
        <f>SUMIF(#REF!,$A780,#REF!)+SUMIF(#REF!,$A780,#REF!)</f>
        <v>#REF!</v>
      </c>
      <c r="P780" s="5">
        <f>IFERROR(VLOOKUP($A780,#REF!,2,FALSE),0)</f>
        <v>0</v>
      </c>
      <c r="Q780" s="42" t="e">
        <f t="shared" si="12"/>
        <v>#REF!</v>
      </c>
    </row>
    <row r="781" spans="1:17">
      <c r="A781" s="56" t="s">
        <v>969</v>
      </c>
      <c r="B781" s="7" t="s">
        <v>561</v>
      </c>
      <c r="C781" s="7" t="s">
        <v>789</v>
      </c>
      <c r="D781" s="7" t="s">
        <v>966</v>
      </c>
      <c r="E781" s="7" t="s">
        <v>108</v>
      </c>
      <c r="F781" s="7" t="s">
        <v>444</v>
      </c>
      <c r="G781" s="7" t="s">
        <v>444</v>
      </c>
      <c r="H781" s="7" t="s">
        <v>444</v>
      </c>
      <c r="I781" s="7" t="s">
        <v>2108</v>
      </c>
      <c r="K781" s="5">
        <f>SUMIF(BC!$E$6:$E$347,$A781,BC!$K$6:$K$347)</f>
        <v>0</v>
      </c>
      <c r="L781" s="5" t="e">
        <f>SUMIF(#REF!,$A781,#REF!)+SUMIF(#REF!,$A781,#REF!)</f>
        <v>#REF!</v>
      </c>
      <c r="M781" s="5" t="e">
        <f>SUMIF(#REF!,Casilleros!$A781,#REF!)+SUMIF(#REF!,Casilleros!$A781,#REF!)+SUMIF(#REF!,$A781,#REF!)</f>
        <v>#REF!</v>
      </c>
      <c r="N781" s="5" t="e">
        <f>SUMIF(#REF!,$A781,#REF!)</f>
        <v>#REF!</v>
      </c>
      <c r="O781" s="5" t="e">
        <f>SUMIF(#REF!,$A781,#REF!)+SUMIF(#REF!,$A781,#REF!)</f>
        <v>#REF!</v>
      </c>
      <c r="P781" s="5">
        <f>IFERROR(VLOOKUP($A781,#REF!,2,FALSE),0)</f>
        <v>0</v>
      </c>
      <c r="Q781" s="42" t="e">
        <f t="shared" si="12"/>
        <v>#REF!</v>
      </c>
    </row>
    <row r="782" spans="1:17">
      <c r="A782" s="56" t="s">
        <v>972</v>
      </c>
      <c r="B782" s="7" t="s">
        <v>561</v>
      </c>
      <c r="C782" s="7" t="s">
        <v>789</v>
      </c>
      <c r="D782" s="7" t="s">
        <v>966</v>
      </c>
      <c r="E782" s="7" t="s">
        <v>110</v>
      </c>
      <c r="F782" s="7" t="s">
        <v>444</v>
      </c>
      <c r="G782" s="7" t="s">
        <v>444</v>
      </c>
      <c r="H782" s="7" t="s">
        <v>444</v>
      </c>
      <c r="I782" s="7" t="s">
        <v>2109</v>
      </c>
      <c r="K782" s="5">
        <f>SUMIF(BC!$E$6:$E$347,$A782,BC!$K$6:$K$347)</f>
        <v>0</v>
      </c>
      <c r="L782" s="5" t="e">
        <f>SUMIF(#REF!,$A782,#REF!)+SUMIF(#REF!,$A782,#REF!)</f>
        <v>#REF!</v>
      </c>
      <c r="M782" s="5" t="e">
        <f>SUMIF(#REF!,Casilleros!$A782,#REF!)+SUMIF(#REF!,Casilleros!$A782,#REF!)+SUMIF(#REF!,$A782,#REF!)</f>
        <v>#REF!</v>
      </c>
      <c r="N782" s="5" t="e">
        <f>SUMIF(#REF!,$A782,#REF!)</f>
        <v>#REF!</v>
      </c>
      <c r="O782" s="5" t="e">
        <f>SUMIF(#REF!,$A782,#REF!)+SUMIF(#REF!,$A782,#REF!)</f>
        <v>#REF!</v>
      </c>
      <c r="P782" s="5">
        <f>IFERROR(VLOOKUP($A782,#REF!,2,FALSE),0)</f>
        <v>0</v>
      </c>
      <c r="Q782" s="42" t="e">
        <f t="shared" si="12"/>
        <v>#REF!</v>
      </c>
    </row>
    <row r="783" spans="1:17">
      <c r="A783" s="56" t="s">
        <v>974</v>
      </c>
      <c r="B783" s="7" t="s">
        <v>561</v>
      </c>
      <c r="C783" s="7" t="s">
        <v>789</v>
      </c>
      <c r="D783" s="7" t="s">
        <v>12</v>
      </c>
      <c r="E783" s="7" t="s">
        <v>24</v>
      </c>
      <c r="F783" s="7" t="s">
        <v>444</v>
      </c>
      <c r="G783" s="7" t="s">
        <v>444</v>
      </c>
      <c r="H783" s="7" t="s">
        <v>444</v>
      </c>
      <c r="I783" s="7" t="s">
        <v>2111</v>
      </c>
      <c r="K783" s="5">
        <f>SUMIF(BC!$E$6:$E$347,$A783,BC!$K$6:$K$347)</f>
        <v>0</v>
      </c>
      <c r="L783" s="5" t="e">
        <f>SUMIF(#REF!,$A783,#REF!)+SUMIF(#REF!,$A783,#REF!)</f>
        <v>#REF!</v>
      </c>
      <c r="M783" s="5" t="e">
        <f>SUMIF(#REF!,Casilleros!$A783,#REF!)+SUMIF(#REF!,Casilleros!$A783,#REF!)+SUMIF(#REF!,$A783,#REF!)</f>
        <v>#REF!</v>
      </c>
      <c r="N783" s="5" t="e">
        <f>SUMIF(#REF!,$A783,#REF!)</f>
        <v>#REF!</v>
      </c>
      <c r="O783" s="5" t="e">
        <f>SUMIF(#REF!,$A783,#REF!)+SUMIF(#REF!,$A783,#REF!)</f>
        <v>#REF!</v>
      </c>
      <c r="P783" s="5">
        <f>IFERROR(VLOOKUP($A783,#REF!,2,FALSE),0)</f>
        <v>0</v>
      </c>
      <c r="Q783" s="42" t="e">
        <f t="shared" ref="Q783:Q830" si="13">SUM(K783:P783)</f>
        <v>#REF!</v>
      </c>
    </row>
    <row r="784" spans="1:17">
      <c r="A784" s="56" t="s">
        <v>977</v>
      </c>
      <c r="B784" s="7" t="s">
        <v>561</v>
      </c>
      <c r="C784" s="7" t="s">
        <v>789</v>
      </c>
      <c r="D784" s="7" t="s">
        <v>12</v>
      </c>
      <c r="E784" s="7" t="s">
        <v>975</v>
      </c>
      <c r="F784" s="7" t="s">
        <v>444</v>
      </c>
      <c r="G784" s="7" t="s">
        <v>444</v>
      </c>
      <c r="H784" s="7" t="s">
        <v>444</v>
      </c>
      <c r="I784" s="7" t="s">
        <v>2112</v>
      </c>
      <c r="K784" s="5">
        <f>SUMIF(BC!$E$6:$E$347,$A784,BC!$K$6:$K$347)</f>
        <v>0</v>
      </c>
      <c r="L784" s="5" t="e">
        <f>SUMIF(#REF!,$A784,#REF!)+SUMIF(#REF!,$A784,#REF!)</f>
        <v>#REF!</v>
      </c>
      <c r="M784" s="5" t="e">
        <f>SUMIF(#REF!,Casilleros!$A784,#REF!)+SUMIF(#REF!,Casilleros!$A784,#REF!)+SUMIF(#REF!,$A784,#REF!)</f>
        <v>#REF!</v>
      </c>
      <c r="N784" s="5" t="e">
        <f>SUMIF(#REF!,$A784,#REF!)</f>
        <v>#REF!</v>
      </c>
      <c r="O784" s="5" t="e">
        <f>SUMIF(#REF!,$A784,#REF!)+SUMIF(#REF!,$A784,#REF!)</f>
        <v>#REF!</v>
      </c>
      <c r="P784" s="5">
        <f>IFERROR(VLOOKUP($A784,#REF!,2,FALSE),0)</f>
        <v>0</v>
      </c>
      <c r="Q784" s="42" t="e">
        <f t="shared" si="13"/>
        <v>#REF!</v>
      </c>
    </row>
    <row r="785" spans="1:17">
      <c r="A785" s="56" t="s">
        <v>981</v>
      </c>
      <c r="B785" s="7" t="s">
        <v>561</v>
      </c>
      <c r="C785" s="7" t="s">
        <v>789</v>
      </c>
      <c r="D785" s="7" t="s">
        <v>12</v>
      </c>
      <c r="E785" s="7" t="s">
        <v>978</v>
      </c>
      <c r="F785" s="7" t="s">
        <v>444</v>
      </c>
      <c r="G785" s="7" t="s">
        <v>444</v>
      </c>
      <c r="H785" s="7" t="s">
        <v>444</v>
      </c>
      <c r="I785" s="7" t="s">
        <v>2113</v>
      </c>
      <c r="K785" s="5">
        <f>SUMIF(BC!$E$6:$E$347,$A785,BC!$K$6:$K$347)</f>
        <v>0</v>
      </c>
      <c r="L785" s="5" t="e">
        <f>SUMIF(#REF!,$A785,#REF!)+SUMIF(#REF!,$A785,#REF!)</f>
        <v>#REF!</v>
      </c>
      <c r="M785" s="5" t="e">
        <f>SUMIF(#REF!,Casilleros!$A785,#REF!)+SUMIF(#REF!,Casilleros!$A785,#REF!)+SUMIF(#REF!,$A785,#REF!)</f>
        <v>#REF!</v>
      </c>
      <c r="N785" s="5" t="e">
        <f>SUMIF(#REF!,$A785,#REF!)</f>
        <v>#REF!</v>
      </c>
      <c r="O785" s="5" t="e">
        <f>SUMIF(#REF!,$A785,#REF!)+SUMIF(#REF!,$A785,#REF!)</f>
        <v>#REF!</v>
      </c>
      <c r="P785" s="5">
        <f>IFERROR(VLOOKUP($A785,#REF!,2,FALSE),0)</f>
        <v>0</v>
      </c>
      <c r="Q785" s="42" t="e">
        <f t="shared" si="13"/>
        <v>#REF!</v>
      </c>
    </row>
    <row r="786" spans="1:17">
      <c r="A786" s="56" t="s">
        <v>983</v>
      </c>
      <c r="B786" s="7" t="s">
        <v>561</v>
      </c>
      <c r="C786" s="7" t="s">
        <v>789</v>
      </c>
      <c r="D786" s="7" t="s">
        <v>12</v>
      </c>
      <c r="E786" s="7" t="s">
        <v>15</v>
      </c>
      <c r="F786" s="7" t="s">
        <v>444</v>
      </c>
      <c r="G786" s="7" t="s">
        <v>444</v>
      </c>
      <c r="H786" s="7" t="s">
        <v>444</v>
      </c>
      <c r="I786" s="7" t="s">
        <v>2114</v>
      </c>
      <c r="K786" s="5">
        <f>SUMIF(BC!$E$6:$E$347,$A786,BC!$K$6:$K$347)</f>
        <v>0</v>
      </c>
      <c r="L786" s="5" t="e">
        <f>SUMIF(#REF!,$A786,#REF!)+SUMIF(#REF!,$A786,#REF!)</f>
        <v>#REF!</v>
      </c>
      <c r="M786" s="5" t="e">
        <f>SUMIF(#REF!,Casilleros!$A786,#REF!)+SUMIF(#REF!,Casilleros!$A786,#REF!)+SUMIF(#REF!,$A786,#REF!)</f>
        <v>#REF!</v>
      </c>
      <c r="N786" s="5" t="e">
        <f>SUMIF(#REF!,$A786,#REF!)</f>
        <v>#REF!</v>
      </c>
      <c r="O786" s="5" t="e">
        <f>SUMIF(#REF!,$A786,#REF!)+SUMIF(#REF!,$A786,#REF!)</f>
        <v>#REF!</v>
      </c>
      <c r="P786" s="5">
        <f>IFERROR(VLOOKUP($A786,#REF!,2,FALSE),0)</f>
        <v>0</v>
      </c>
      <c r="Q786" s="42" t="e">
        <f t="shared" si="13"/>
        <v>#REF!</v>
      </c>
    </row>
    <row r="787" spans="1:17">
      <c r="A787" s="56" t="s">
        <v>985</v>
      </c>
      <c r="B787" s="7" t="s">
        <v>561</v>
      </c>
      <c r="C787" s="7" t="s">
        <v>789</v>
      </c>
      <c r="D787" s="7" t="s">
        <v>12</v>
      </c>
      <c r="E787" s="7" t="s">
        <v>18</v>
      </c>
      <c r="F787" s="7" t="s">
        <v>444</v>
      </c>
      <c r="G787" s="7" t="s">
        <v>444</v>
      </c>
      <c r="H787" s="7" t="s">
        <v>444</v>
      </c>
      <c r="I787" s="7" t="s">
        <v>2115</v>
      </c>
      <c r="K787" s="5">
        <f>SUMIF(BC!$E$6:$E$347,$A787,BC!$K$6:$K$347)</f>
        <v>0</v>
      </c>
      <c r="L787" s="5" t="e">
        <f>SUMIF(#REF!,$A787,#REF!)+SUMIF(#REF!,$A787,#REF!)</f>
        <v>#REF!</v>
      </c>
      <c r="M787" s="5" t="e">
        <f>SUMIF(#REF!,Casilleros!$A787,#REF!)+SUMIF(#REF!,Casilleros!$A787,#REF!)+SUMIF(#REF!,$A787,#REF!)</f>
        <v>#REF!</v>
      </c>
      <c r="N787" s="5" t="e">
        <f>SUMIF(#REF!,$A787,#REF!)</f>
        <v>#REF!</v>
      </c>
      <c r="O787" s="5" t="e">
        <f>SUMIF(#REF!,$A787,#REF!)+SUMIF(#REF!,$A787,#REF!)</f>
        <v>#REF!</v>
      </c>
      <c r="P787" s="5">
        <f>IFERROR(VLOOKUP($A787,#REF!,2,FALSE),0)</f>
        <v>0</v>
      </c>
      <c r="Q787" s="42" t="e">
        <f t="shared" si="13"/>
        <v>#REF!</v>
      </c>
    </row>
    <row r="788" spans="1:17">
      <c r="A788" s="56" t="s">
        <v>988</v>
      </c>
      <c r="B788" s="7" t="s">
        <v>561</v>
      </c>
      <c r="C788" s="7" t="s">
        <v>789</v>
      </c>
      <c r="D788" s="7" t="s">
        <v>12</v>
      </c>
      <c r="E788" s="7" t="s">
        <v>986</v>
      </c>
      <c r="F788" s="7" t="s">
        <v>444</v>
      </c>
      <c r="G788" s="7" t="s">
        <v>444</v>
      </c>
      <c r="H788" s="7" t="s">
        <v>444</v>
      </c>
      <c r="I788" s="7" t="s">
        <v>2116</v>
      </c>
      <c r="K788" s="5">
        <f>SUMIF(BC!$E$6:$E$347,$A788,BC!$K$6:$K$347)</f>
        <v>0</v>
      </c>
      <c r="L788" s="5" t="e">
        <f>SUMIF(#REF!,$A788,#REF!)+SUMIF(#REF!,$A788,#REF!)</f>
        <v>#REF!</v>
      </c>
      <c r="M788" s="5" t="e">
        <f>SUMIF(#REF!,Casilleros!$A788,#REF!)+SUMIF(#REF!,Casilleros!$A788,#REF!)+SUMIF(#REF!,$A788,#REF!)</f>
        <v>#REF!</v>
      </c>
      <c r="N788" s="5" t="e">
        <f>SUMIF(#REF!,$A788,#REF!)</f>
        <v>#REF!</v>
      </c>
      <c r="O788" s="5" t="e">
        <f>SUMIF(#REF!,$A788,#REF!)+SUMIF(#REF!,$A788,#REF!)</f>
        <v>#REF!</v>
      </c>
      <c r="P788" s="5">
        <f>IFERROR(VLOOKUP($A788,#REF!,2,FALSE),0)</f>
        <v>0</v>
      </c>
      <c r="Q788" s="42" t="e">
        <f t="shared" si="13"/>
        <v>#REF!</v>
      </c>
    </row>
    <row r="789" spans="1:17">
      <c r="A789" s="56" t="s">
        <v>992</v>
      </c>
      <c r="B789" s="7" t="s">
        <v>561</v>
      </c>
      <c r="C789" s="7" t="s">
        <v>789</v>
      </c>
      <c r="D789" s="7" t="s">
        <v>12</v>
      </c>
      <c r="E789" s="7" t="s">
        <v>989</v>
      </c>
      <c r="F789" s="7" t="s">
        <v>444</v>
      </c>
      <c r="G789" s="7" t="s">
        <v>444</v>
      </c>
      <c r="H789" s="7" t="s">
        <v>444</v>
      </c>
      <c r="I789" s="7" t="s">
        <v>2117</v>
      </c>
      <c r="K789" s="5">
        <f>SUMIF(BC!$E$6:$E$347,$A789,BC!$K$6:$K$347)</f>
        <v>0</v>
      </c>
      <c r="L789" s="5" t="e">
        <f>SUMIF(#REF!,$A789,#REF!)+SUMIF(#REF!,$A789,#REF!)</f>
        <v>#REF!</v>
      </c>
      <c r="M789" s="5" t="e">
        <f>SUMIF(#REF!,Casilleros!$A789,#REF!)+SUMIF(#REF!,Casilleros!$A789,#REF!)+SUMIF(#REF!,$A789,#REF!)</f>
        <v>#REF!</v>
      </c>
      <c r="N789" s="5" t="e">
        <f>SUMIF(#REF!,$A789,#REF!)</f>
        <v>#REF!</v>
      </c>
      <c r="O789" s="5" t="e">
        <f>SUMIF(#REF!,$A789,#REF!)+SUMIF(#REF!,$A789,#REF!)</f>
        <v>#REF!</v>
      </c>
      <c r="P789" s="5">
        <f>IFERROR(VLOOKUP($A789,#REF!,2,FALSE),0)</f>
        <v>0</v>
      </c>
      <c r="Q789" s="42" t="e">
        <f t="shared" si="13"/>
        <v>#REF!</v>
      </c>
    </row>
    <row r="790" spans="1:17">
      <c r="A790" s="56" t="s">
        <v>995</v>
      </c>
      <c r="B790" s="7" t="s">
        <v>561</v>
      </c>
      <c r="C790" s="7" t="s">
        <v>789</v>
      </c>
      <c r="D790" s="7" t="s">
        <v>12</v>
      </c>
      <c r="E790" s="7" t="s">
        <v>993</v>
      </c>
      <c r="F790" s="7" t="s">
        <v>444</v>
      </c>
      <c r="G790" s="7" t="s">
        <v>444</v>
      </c>
      <c r="H790" s="7" t="s">
        <v>444</v>
      </c>
      <c r="I790" s="7" t="s">
        <v>2118</v>
      </c>
      <c r="K790" s="5">
        <f>SUMIF(BC!$E$6:$E$347,$A790,BC!$K$6:$K$347)</f>
        <v>0</v>
      </c>
      <c r="L790" s="5" t="e">
        <f>SUMIF(#REF!,$A790,#REF!)+SUMIF(#REF!,$A790,#REF!)</f>
        <v>#REF!</v>
      </c>
      <c r="M790" s="5" t="e">
        <f>SUMIF(#REF!,Casilleros!$A790,#REF!)+SUMIF(#REF!,Casilleros!$A790,#REF!)+SUMIF(#REF!,$A790,#REF!)</f>
        <v>#REF!</v>
      </c>
      <c r="N790" s="5" t="e">
        <f>SUMIF(#REF!,$A790,#REF!)</f>
        <v>#REF!</v>
      </c>
      <c r="O790" s="5" t="e">
        <f>SUMIF(#REF!,$A790,#REF!)+SUMIF(#REF!,$A790,#REF!)</f>
        <v>#REF!</v>
      </c>
      <c r="P790" s="5">
        <f>IFERROR(VLOOKUP($A790,#REF!,2,FALSE),0)</f>
        <v>0</v>
      </c>
      <c r="Q790" s="42" t="e">
        <f t="shared" si="13"/>
        <v>#REF!</v>
      </c>
    </row>
    <row r="791" spans="1:17">
      <c r="A791" s="56" t="s">
        <v>999</v>
      </c>
      <c r="B791" s="7" t="s">
        <v>561</v>
      </c>
      <c r="C791" s="7" t="s">
        <v>789</v>
      </c>
      <c r="D791" s="7" t="s">
        <v>12</v>
      </c>
      <c r="E791" s="7" t="s">
        <v>996</v>
      </c>
      <c r="F791" s="7" t="s">
        <v>444</v>
      </c>
      <c r="G791" s="7" t="s">
        <v>444</v>
      </c>
      <c r="H791" s="7" t="s">
        <v>444</v>
      </c>
      <c r="I791" s="7" t="s">
        <v>2119</v>
      </c>
      <c r="K791" s="5">
        <f>SUMIF(BC!$E$6:$E$347,$A791,BC!$K$6:$K$347)</f>
        <v>0</v>
      </c>
      <c r="L791" s="5" t="e">
        <f>SUMIF(#REF!,$A791,#REF!)+SUMIF(#REF!,$A791,#REF!)</f>
        <v>#REF!</v>
      </c>
      <c r="M791" s="5" t="e">
        <f>SUMIF(#REF!,Casilleros!$A791,#REF!)+SUMIF(#REF!,Casilleros!$A791,#REF!)+SUMIF(#REF!,$A791,#REF!)</f>
        <v>#REF!</v>
      </c>
      <c r="N791" s="5" t="e">
        <f>SUMIF(#REF!,$A791,#REF!)</f>
        <v>#REF!</v>
      </c>
      <c r="O791" s="5" t="e">
        <f>SUMIF(#REF!,$A791,#REF!)+SUMIF(#REF!,$A791,#REF!)</f>
        <v>#REF!</v>
      </c>
      <c r="P791" s="5">
        <f>IFERROR(VLOOKUP($A791,#REF!,2,FALSE),0)</f>
        <v>0</v>
      </c>
      <c r="Q791" s="42" t="e">
        <f t="shared" si="13"/>
        <v>#REF!</v>
      </c>
    </row>
    <row r="792" spans="1:17">
      <c r="A792" s="56" t="s">
        <v>1003</v>
      </c>
      <c r="B792" s="7" t="s">
        <v>561</v>
      </c>
      <c r="C792" s="7" t="s">
        <v>789</v>
      </c>
      <c r="D792" s="7" t="s">
        <v>12</v>
      </c>
      <c r="E792" s="7" t="s">
        <v>1000</v>
      </c>
      <c r="F792" s="7" t="s">
        <v>444</v>
      </c>
      <c r="G792" s="7" t="s">
        <v>444</v>
      </c>
      <c r="H792" s="7" t="s">
        <v>444</v>
      </c>
      <c r="I792" s="7" t="s">
        <v>2120</v>
      </c>
      <c r="K792" s="5">
        <f>SUMIF(BC!$E$6:$E$347,$A792,BC!$K$6:$K$347)</f>
        <v>0</v>
      </c>
      <c r="L792" s="5" t="e">
        <f>SUMIF(#REF!,$A792,#REF!)+SUMIF(#REF!,$A792,#REF!)</f>
        <v>#REF!</v>
      </c>
      <c r="M792" s="5" t="e">
        <f>SUMIF(#REF!,Casilleros!$A792,#REF!)+SUMIF(#REF!,Casilleros!$A792,#REF!)+SUMIF(#REF!,$A792,#REF!)</f>
        <v>#REF!</v>
      </c>
      <c r="N792" s="5" t="e">
        <f>SUMIF(#REF!,$A792,#REF!)</f>
        <v>#REF!</v>
      </c>
      <c r="O792" s="5" t="e">
        <f>SUMIF(#REF!,$A792,#REF!)+SUMIF(#REF!,$A792,#REF!)</f>
        <v>#REF!</v>
      </c>
      <c r="P792" s="5">
        <f>IFERROR(VLOOKUP($A792,#REF!,2,FALSE),0)</f>
        <v>0</v>
      </c>
      <c r="Q792" s="42" t="e">
        <f t="shared" si="13"/>
        <v>#REF!</v>
      </c>
    </row>
    <row r="793" spans="1:17">
      <c r="A793" s="56" t="s">
        <v>1007</v>
      </c>
      <c r="B793" s="7" t="s">
        <v>561</v>
      </c>
      <c r="C793" s="7" t="s">
        <v>789</v>
      </c>
      <c r="D793" s="7" t="s">
        <v>12</v>
      </c>
      <c r="E793" s="7" t="s">
        <v>1004</v>
      </c>
      <c r="F793" s="7" t="s">
        <v>444</v>
      </c>
      <c r="G793" s="7" t="s">
        <v>444</v>
      </c>
      <c r="H793" s="7" t="s">
        <v>444</v>
      </c>
      <c r="I793" s="7" t="s">
        <v>2121</v>
      </c>
      <c r="K793" s="5">
        <f>SUMIF(BC!$E$6:$E$347,$A793,BC!$K$6:$K$347)</f>
        <v>0</v>
      </c>
      <c r="L793" s="5" t="e">
        <f>SUMIF(#REF!,$A793,#REF!)+SUMIF(#REF!,$A793,#REF!)</f>
        <v>#REF!</v>
      </c>
      <c r="M793" s="5" t="e">
        <f>SUMIF(#REF!,Casilleros!$A793,#REF!)+SUMIF(#REF!,Casilleros!$A793,#REF!)+SUMIF(#REF!,$A793,#REF!)</f>
        <v>#REF!</v>
      </c>
      <c r="N793" s="5" t="e">
        <f>SUMIF(#REF!,$A793,#REF!)</f>
        <v>#REF!</v>
      </c>
      <c r="O793" s="5" t="e">
        <f>SUMIF(#REF!,$A793,#REF!)+SUMIF(#REF!,$A793,#REF!)</f>
        <v>#REF!</v>
      </c>
      <c r="P793" s="5">
        <f>IFERROR(VLOOKUP($A793,#REF!,2,FALSE),0)</f>
        <v>0</v>
      </c>
      <c r="Q793" s="42" t="e">
        <f t="shared" si="13"/>
        <v>#REF!</v>
      </c>
    </row>
    <row r="794" spans="1:17">
      <c r="A794" s="56" t="s">
        <v>1011</v>
      </c>
      <c r="B794" s="7" t="s">
        <v>561</v>
      </c>
      <c r="C794" s="7" t="s">
        <v>789</v>
      </c>
      <c r="D794" s="7" t="s">
        <v>12</v>
      </c>
      <c r="E794" s="7" t="s">
        <v>1008</v>
      </c>
      <c r="F794" s="7" t="s">
        <v>444</v>
      </c>
      <c r="G794" s="7" t="s">
        <v>444</v>
      </c>
      <c r="H794" s="7" t="s">
        <v>444</v>
      </c>
      <c r="I794" s="7" t="s">
        <v>2122</v>
      </c>
      <c r="K794" s="5">
        <f>SUMIF(BC!$E$6:$E$347,$A794,BC!$K$6:$K$347)</f>
        <v>0</v>
      </c>
      <c r="L794" s="5" t="e">
        <f>SUMIF(#REF!,$A794,#REF!)+SUMIF(#REF!,$A794,#REF!)</f>
        <v>#REF!</v>
      </c>
      <c r="M794" s="5" t="e">
        <f>SUMIF(#REF!,Casilleros!$A794,#REF!)+SUMIF(#REF!,Casilleros!$A794,#REF!)+SUMIF(#REF!,$A794,#REF!)</f>
        <v>#REF!</v>
      </c>
      <c r="N794" s="5" t="e">
        <f>SUMIF(#REF!,$A794,#REF!)</f>
        <v>#REF!</v>
      </c>
      <c r="O794" s="5" t="e">
        <f>SUMIF(#REF!,$A794,#REF!)+SUMIF(#REF!,$A794,#REF!)</f>
        <v>#REF!</v>
      </c>
      <c r="P794" s="5">
        <f>IFERROR(VLOOKUP($A794,#REF!,2,FALSE),0)</f>
        <v>0</v>
      </c>
      <c r="Q794" s="42" t="e">
        <f t="shared" si="13"/>
        <v>#REF!</v>
      </c>
    </row>
    <row r="795" spans="1:17">
      <c r="A795" s="56" t="s">
        <v>1015</v>
      </c>
      <c r="B795" s="7" t="s">
        <v>561</v>
      </c>
      <c r="C795" s="7" t="s">
        <v>789</v>
      </c>
      <c r="D795" s="7" t="s">
        <v>12</v>
      </c>
      <c r="E795" s="7" t="s">
        <v>1012</v>
      </c>
      <c r="F795" s="7" t="s">
        <v>444</v>
      </c>
      <c r="G795" s="7" t="s">
        <v>444</v>
      </c>
      <c r="H795" s="7" t="s">
        <v>444</v>
      </c>
      <c r="I795" s="7" t="s">
        <v>2123</v>
      </c>
      <c r="K795" s="5">
        <f>SUMIF(BC!$E$6:$E$347,$A795,BC!$K$6:$K$347)</f>
        <v>0</v>
      </c>
      <c r="L795" s="5" t="e">
        <f>SUMIF(#REF!,$A795,#REF!)+SUMIF(#REF!,$A795,#REF!)</f>
        <v>#REF!</v>
      </c>
      <c r="M795" s="5" t="e">
        <f>SUMIF(#REF!,Casilleros!$A795,#REF!)+SUMIF(#REF!,Casilleros!$A795,#REF!)+SUMIF(#REF!,$A795,#REF!)</f>
        <v>#REF!</v>
      </c>
      <c r="N795" s="5" t="e">
        <f>SUMIF(#REF!,$A795,#REF!)</f>
        <v>#REF!</v>
      </c>
      <c r="O795" s="5" t="e">
        <f>SUMIF(#REF!,$A795,#REF!)+SUMIF(#REF!,$A795,#REF!)</f>
        <v>#REF!</v>
      </c>
      <c r="P795" s="5">
        <f>IFERROR(VLOOKUP($A795,#REF!,2,FALSE),0)</f>
        <v>0</v>
      </c>
      <c r="Q795" s="42" t="e">
        <f t="shared" si="13"/>
        <v>#REF!</v>
      </c>
    </row>
    <row r="796" spans="1:17">
      <c r="A796" s="56" t="s">
        <v>1019</v>
      </c>
      <c r="B796" s="7" t="s">
        <v>561</v>
      </c>
      <c r="C796" s="7" t="s">
        <v>789</v>
      </c>
      <c r="D796" s="7" t="s">
        <v>12</v>
      </c>
      <c r="E796" s="7" t="s">
        <v>1016</v>
      </c>
      <c r="F796" s="7" t="s">
        <v>72</v>
      </c>
      <c r="G796" s="7" t="s">
        <v>25</v>
      </c>
      <c r="H796" s="7" t="s">
        <v>444</v>
      </c>
      <c r="I796" s="7" t="s">
        <v>2126</v>
      </c>
      <c r="K796" s="5">
        <f>SUMIF(BC!$E$6:$E$347,$A796,BC!$K$6:$K$347)</f>
        <v>0</v>
      </c>
      <c r="L796" s="5" t="e">
        <f>SUMIF(#REF!,$A796,#REF!)+SUMIF(#REF!,$A796,#REF!)</f>
        <v>#REF!</v>
      </c>
      <c r="M796" s="5" t="e">
        <f>SUMIF(#REF!,Casilleros!$A796,#REF!)+SUMIF(#REF!,Casilleros!$A796,#REF!)+SUMIF(#REF!,$A796,#REF!)</f>
        <v>#REF!</v>
      </c>
      <c r="N796" s="5" t="e">
        <f>SUMIF(#REF!,$A796,#REF!)</f>
        <v>#REF!</v>
      </c>
      <c r="O796" s="5" t="e">
        <f>SUMIF(#REF!,$A796,#REF!)+SUMIF(#REF!,$A796,#REF!)</f>
        <v>#REF!</v>
      </c>
      <c r="P796" s="5">
        <f>IFERROR(VLOOKUP($A796,#REF!,2,FALSE),0)</f>
        <v>0</v>
      </c>
      <c r="Q796" s="42" t="e">
        <f t="shared" si="13"/>
        <v>#REF!</v>
      </c>
    </row>
    <row r="797" spans="1:17">
      <c r="A797" s="56" t="s">
        <v>1022</v>
      </c>
      <c r="B797" s="7" t="s">
        <v>561</v>
      </c>
      <c r="C797" s="7" t="s">
        <v>789</v>
      </c>
      <c r="D797" s="7" t="s">
        <v>12</v>
      </c>
      <c r="E797" s="7" t="s">
        <v>1016</v>
      </c>
      <c r="F797" s="7" t="s">
        <v>72</v>
      </c>
      <c r="G797" s="7" t="s">
        <v>26</v>
      </c>
      <c r="H797" s="7" t="s">
        <v>444</v>
      </c>
      <c r="I797" s="7" t="s">
        <v>2127</v>
      </c>
      <c r="K797" s="5">
        <f>SUMIF(BC!$E$6:$E$347,$A797,BC!$K$6:$K$347)</f>
        <v>0</v>
      </c>
      <c r="L797" s="5" t="e">
        <f>SUMIF(#REF!,$A797,#REF!)+SUMIF(#REF!,$A797,#REF!)</f>
        <v>#REF!</v>
      </c>
      <c r="M797" s="5" t="e">
        <f>SUMIF(#REF!,Casilleros!$A797,#REF!)+SUMIF(#REF!,Casilleros!$A797,#REF!)+SUMIF(#REF!,$A797,#REF!)</f>
        <v>#REF!</v>
      </c>
      <c r="N797" s="5" t="e">
        <f>SUMIF(#REF!,$A797,#REF!)</f>
        <v>#REF!</v>
      </c>
      <c r="O797" s="5" t="e">
        <f>SUMIF(#REF!,$A797,#REF!)+SUMIF(#REF!,$A797,#REF!)</f>
        <v>#REF!</v>
      </c>
      <c r="P797" s="5">
        <f>IFERROR(VLOOKUP($A797,#REF!,2,FALSE),0)</f>
        <v>0</v>
      </c>
      <c r="Q797" s="42" t="e">
        <f t="shared" si="13"/>
        <v>#REF!</v>
      </c>
    </row>
    <row r="798" spans="1:17">
      <c r="A798" s="56" t="s">
        <v>1025</v>
      </c>
      <c r="B798" s="7" t="s">
        <v>561</v>
      </c>
      <c r="C798" s="7" t="s">
        <v>789</v>
      </c>
      <c r="D798" s="7" t="s">
        <v>12</v>
      </c>
      <c r="E798" s="7" t="s">
        <v>1016</v>
      </c>
      <c r="F798" s="7" t="s">
        <v>78</v>
      </c>
      <c r="G798" s="7" t="s">
        <v>25</v>
      </c>
      <c r="H798" s="7" t="s">
        <v>444</v>
      </c>
      <c r="I798" s="7" t="s">
        <v>2129</v>
      </c>
      <c r="K798" s="5">
        <f>SUMIF(BC!$E$6:$E$347,$A798,BC!$K$6:$K$347)</f>
        <v>0</v>
      </c>
      <c r="L798" s="5" t="e">
        <f>SUMIF(#REF!,$A798,#REF!)+SUMIF(#REF!,$A798,#REF!)</f>
        <v>#REF!</v>
      </c>
      <c r="M798" s="5" t="e">
        <f>SUMIF(#REF!,Casilleros!$A798,#REF!)+SUMIF(#REF!,Casilleros!$A798,#REF!)+SUMIF(#REF!,$A798,#REF!)</f>
        <v>#REF!</v>
      </c>
      <c r="N798" s="5" t="e">
        <f>SUMIF(#REF!,$A798,#REF!)</f>
        <v>#REF!</v>
      </c>
      <c r="O798" s="5" t="e">
        <f>SUMIF(#REF!,$A798,#REF!)+SUMIF(#REF!,$A798,#REF!)</f>
        <v>#REF!</v>
      </c>
      <c r="P798" s="5">
        <f>IFERROR(VLOOKUP($A798,#REF!,2,FALSE),0)</f>
        <v>0</v>
      </c>
      <c r="Q798" s="42" t="e">
        <f t="shared" si="13"/>
        <v>#REF!</v>
      </c>
    </row>
    <row r="799" spans="1:17">
      <c r="A799" s="56" t="s">
        <v>1028</v>
      </c>
      <c r="B799" s="7" t="s">
        <v>561</v>
      </c>
      <c r="C799" s="7" t="s">
        <v>789</v>
      </c>
      <c r="D799" s="7" t="s">
        <v>12</v>
      </c>
      <c r="E799" s="7" t="s">
        <v>1016</v>
      </c>
      <c r="F799" s="7" t="s">
        <v>78</v>
      </c>
      <c r="G799" s="7" t="s">
        <v>26</v>
      </c>
      <c r="H799" s="7" t="s">
        <v>444</v>
      </c>
      <c r="I799" s="7" t="s">
        <v>2130</v>
      </c>
      <c r="K799" s="5">
        <f>SUMIF(BC!$E$6:$E$347,$A799,BC!$K$6:$K$347)</f>
        <v>0</v>
      </c>
      <c r="L799" s="5" t="e">
        <f>SUMIF(#REF!,$A799,#REF!)+SUMIF(#REF!,$A799,#REF!)</f>
        <v>#REF!</v>
      </c>
      <c r="M799" s="5" t="e">
        <f>SUMIF(#REF!,Casilleros!$A799,#REF!)+SUMIF(#REF!,Casilleros!$A799,#REF!)+SUMIF(#REF!,$A799,#REF!)</f>
        <v>#REF!</v>
      </c>
      <c r="N799" s="5" t="e">
        <f>SUMIF(#REF!,$A799,#REF!)</f>
        <v>#REF!</v>
      </c>
      <c r="O799" s="5" t="e">
        <f>SUMIF(#REF!,$A799,#REF!)+SUMIF(#REF!,$A799,#REF!)</f>
        <v>#REF!</v>
      </c>
      <c r="P799" s="5">
        <f>IFERROR(VLOOKUP($A799,#REF!,2,FALSE),0)</f>
        <v>0</v>
      </c>
      <c r="Q799" s="42" t="e">
        <f t="shared" si="13"/>
        <v>#REF!</v>
      </c>
    </row>
    <row r="800" spans="1:17">
      <c r="A800" s="56" t="s">
        <v>1032</v>
      </c>
      <c r="B800" s="7" t="s">
        <v>561</v>
      </c>
      <c r="C800" s="7" t="s">
        <v>789</v>
      </c>
      <c r="D800" s="7" t="s">
        <v>12</v>
      </c>
      <c r="E800" s="7" t="s">
        <v>1029</v>
      </c>
      <c r="F800" s="7" t="s">
        <v>72</v>
      </c>
      <c r="G800" s="7" t="s">
        <v>25</v>
      </c>
      <c r="H800" s="7" t="s">
        <v>444</v>
      </c>
      <c r="I800" s="7" t="s">
        <v>2133</v>
      </c>
      <c r="K800" s="5">
        <f>SUMIF(BC!$E$6:$E$347,$A800,BC!$K$6:$K$347)</f>
        <v>0</v>
      </c>
      <c r="L800" s="5" t="e">
        <f>SUMIF(#REF!,$A800,#REF!)+SUMIF(#REF!,$A800,#REF!)</f>
        <v>#REF!</v>
      </c>
      <c r="M800" s="5" t="e">
        <f>SUMIF(#REF!,Casilleros!$A800,#REF!)+SUMIF(#REF!,Casilleros!$A800,#REF!)+SUMIF(#REF!,$A800,#REF!)</f>
        <v>#REF!</v>
      </c>
      <c r="N800" s="5" t="e">
        <f>SUMIF(#REF!,$A800,#REF!)</f>
        <v>#REF!</v>
      </c>
      <c r="O800" s="5" t="e">
        <f>SUMIF(#REF!,$A800,#REF!)+SUMIF(#REF!,$A800,#REF!)</f>
        <v>#REF!</v>
      </c>
      <c r="P800" s="5">
        <f>IFERROR(VLOOKUP($A800,#REF!,2,FALSE),0)</f>
        <v>0</v>
      </c>
      <c r="Q800" s="42" t="e">
        <f t="shared" si="13"/>
        <v>#REF!</v>
      </c>
    </row>
    <row r="801" spans="1:17">
      <c r="A801" s="56" t="s">
        <v>1035</v>
      </c>
      <c r="B801" s="7" t="s">
        <v>561</v>
      </c>
      <c r="C801" s="7" t="s">
        <v>789</v>
      </c>
      <c r="D801" s="7" t="s">
        <v>12</v>
      </c>
      <c r="E801" s="7" t="s">
        <v>1029</v>
      </c>
      <c r="F801" s="7" t="s">
        <v>72</v>
      </c>
      <c r="G801" s="7" t="s">
        <v>26</v>
      </c>
      <c r="H801" s="7" t="s">
        <v>444</v>
      </c>
      <c r="I801" s="7" t="s">
        <v>2134</v>
      </c>
      <c r="K801" s="5">
        <f>SUMIF(BC!$E$6:$E$347,$A801,BC!$K$6:$K$347)</f>
        <v>0</v>
      </c>
      <c r="L801" s="5" t="e">
        <f>SUMIF(#REF!,$A801,#REF!)+SUMIF(#REF!,$A801,#REF!)</f>
        <v>#REF!</v>
      </c>
      <c r="M801" s="5" t="e">
        <f>SUMIF(#REF!,Casilleros!$A801,#REF!)+SUMIF(#REF!,Casilleros!$A801,#REF!)+SUMIF(#REF!,$A801,#REF!)</f>
        <v>#REF!</v>
      </c>
      <c r="N801" s="5" t="e">
        <f>SUMIF(#REF!,$A801,#REF!)</f>
        <v>#REF!</v>
      </c>
      <c r="O801" s="5" t="e">
        <f>SUMIF(#REF!,$A801,#REF!)+SUMIF(#REF!,$A801,#REF!)</f>
        <v>#REF!</v>
      </c>
      <c r="P801" s="5">
        <f>IFERROR(VLOOKUP($A801,#REF!,2,FALSE),0)</f>
        <v>0</v>
      </c>
      <c r="Q801" s="42" t="e">
        <f t="shared" si="13"/>
        <v>#REF!</v>
      </c>
    </row>
    <row r="802" spans="1:17">
      <c r="A802" s="56" t="s">
        <v>1038</v>
      </c>
      <c r="B802" s="7" t="s">
        <v>561</v>
      </c>
      <c r="C802" s="7" t="s">
        <v>789</v>
      </c>
      <c r="D802" s="7" t="s">
        <v>12</v>
      </c>
      <c r="E802" s="7" t="s">
        <v>1029</v>
      </c>
      <c r="F802" s="7" t="s">
        <v>78</v>
      </c>
      <c r="G802" s="7" t="s">
        <v>25</v>
      </c>
      <c r="H802" s="7" t="s">
        <v>444</v>
      </c>
      <c r="I802" s="7" t="s">
        <v>2136</v>
      </c>
      <c r="K802" s="5">
        <f>SUMIF(BC!$E$6:$E$347,$A802,BC!$K$6:$K$347)</f>
        <v>0</v>
      </c>
      <c r="L802" s="5" t="e">
        <f>SUMIF(#REF!,$A802,#REF!)+SUMIF(#REF!,$A802,#REF!)</f>
        <v>#REF!</v>
      </c>
      <c r="M802" s="5" t="e">
        <f>SUMIF(#REF!,Casilleros!$A802,#REF!)+SUMIF(#REF!,Casilleros!$A802,#REF!)+SUMIF(#REF!,$A802,#REF!)</f>
        <v>#REF!</v>
      </c>
      <c r="N802" s="5" t="e">
        <f>SUMIF(#REF!,$A802,#REF!)</f>
        <v>#REF!</v>
      </c>
      <c r="O802" s="5" t="e">
        <f>SUMIF(#REF!,$A802,#REF!)+SUMIF(#REF!,$A802,#REF!)</f>
        <v>#REF!</v>
      </c>
      <c r="P802" s="5">
        <f>IFERROR(VLOOKUP($A802,#REF!,2,FALSE),0)</f>
        <v>0</v>
      </c>
      <c r="Q802" s="42" t="e">
        <f t="shared" si="13"/>
        <v>#REF!</v>
      </c>
    </row>
    <row r="803" spans="1:17">
      <c r="A803" s="56" t="s">
        <v>1041</v>
      </c>
      <c r="B803" s="7" t="s">
        <v>561</v>
      </c>
      <c r="C803" s="7" t="s">
        <v>789</v>
      </c>
      <c r="D803" s="7" t="s">
        <v>12</v>
      </c>
      <c r="E803" s="7" t="s">
        <v>1029</v>
      </c>
      <c r="F803" s="7" t="s">
        <v>78</v>
      </c>
      <c r="G803" s="7" t="s">
        <v>26</v>
      </c>
      <c r="H803" s="7" t="s">
        <v>444</v>
      </c>
      <c r="I803" s="7" t="s">
        <v>2137</v>
      </c>
      <c r="K803" s="5">
        <f>SUMIF(BC!$E$6:$E$347,$A803,BC!$K$6:$K$347)</f>
        <v>0</v>
      </c>
      <c r="L803" s="5" t="e">
        <f>SUMIF(#REF!,$A803,#REF!)+SUMIF(#REF!,$A803,#REF!)</f>
        <v>#REF!</v>
      </c>
      <c r="M803" s="5" t="e">
        <f>SUMIF(#REF!,Casilleros!$A803,#REF!)+SUMIF(#REF!,Casilleros!$A803,#REF!)+SUMIF(#REF!,$A803,#REF!)</f>
        <v>#REF!</v>
      </c>
      <c r="N803" s="5" t="e">
        <f>SUMIF(#REF!,$A803,#REF!)</f>
        <v>#REF!</v>
      </c>
      <c r="O803" s="5" t="e">
        <f>SUMIF(#REF!,$A803,#REF!)+SUMIF(#REF!,$A803,#REF!)</f>
        <v>#REF!</v>
      </c>
      <c r="P803" s="5">
        <f>IFERROR(VLOOKUP($A803,#REF!,2,FALSE),0)</f>
        <v>0</v>
      </c>
      <c r="Q803" s="42" t="e">
        <f t="shared" si="13"/>
        <v>#REF!</v>
      </c>
    </row>
    <row r="804" spans="1:17">
      <c r="A804" s="56" t="s">
        <v>1045</v>
      </c>
      <c r="B804" s="7" t="s">
        <v>561</v>
      </c>
      <c r="C804" s="7" t="s">
        <v>789</v>
      </c>
      <c r="D804" s="7" t="s">
        <v>12</v>
      </c>
      <c r="E804" s="7" t="s">
        <v>1042</v>
      </c>
      <c r="F804" s="7" t="s">
        <v>444</v>
      </c>
      <c r="G804" s="7" t="s">
        <v>444</v>
      </c>
      <c r="H804" s="7" t="s">
        <v>444</v>
      </c>
      <c r="I804" s="7" t="s">
        <v>2138</v>
      </c>
      <c r="K804" s="5">
        <f>SUMIF(BC!$E$6:$E$347,$A804,BC!$K$6:$K$347)</f>
        <v>0</v>
      </c>
      <c r="L804" s="5" t="e">
        <f>SUMIF(#REF!,$A804,#REF!)+SUMIF(#REF!,$A804,#REF!)</f>
        <v>#REF!</v>
      </c>
      <c r="M804" s="5" t="e">
        <f>SUMIF(#REF!,Casilleros!$A804,#REF!)+SUMIF(#REF!,Casilleros!$A804,#REF!)+SUMIF(#REF!,$A804,#REF!)</f>
        <v>#REF!</v>
      </c>
      <c r="N804" s="5" t="e">
        <f>SUMIF(#REF!,$A804,#REF!)</f>
        <v>#REF!</v>
      </c>
      <c r="O804" s="5" t="e">
        <f>SUMIF(#REF!,$A804,#REF!)+SUMIF(#REF!,$A804,#REF!)</f>
        <v>#REF!</v>
      </c>
      <c r="P804" s="5">
        <f>IFERROR(VLOOKUP($A804,#REF!,2,FALSE),0)</f>
        <v>0</v>
      </c>
      <c r="Q804" s="42" t="e">
        <f t="shared" si="13"/>
        <v>#REF!</v>
      </c>
    </row>
    <row r="805" spans="1:17">
      <c r="A805" s="56" t="s">
        <v>1049</v>
      </c>
      <c r="B805" s="7" t="s">
        <v>561</v>
      </c>
      <c r="C805" s="7" t="s">
        <v>789</v>
      </c>
      <c r="D805" s="7" t="s">
        <v>12</v>
      </c>
      <c r="E805" s="7" t="s">
        <v>1046</v>
      </c>
      <c r="F805" s="7" t="s">
        <v>444</v>
      </c>
      <c r="G805" s="7" t="s">
        <v>444</v>
      </c>
      <c r="H805" s="7" t="s">
        <v>444</v>
      </c>
      <c r="I805" s="7" t="s">
        <v>2139</v>
      </c>
      <c r="K805" s="5">
        <f>SUMIF(BC!$E$6:$E$347,$A805,BC!$K$6:$K$347)</f>
        <v>0</v>
      </c>
      <c r="L805" s="5" t="e">
        <f>SUMIF(#REF!,$A805,#REF!)+SUMIF(#REF!,$A805,#REF!)</f>
        <v>#REF!</v>
      </c>
      <c r="M805" s="5" t="e">
        <f>SUMIF(#REF!,Casilleros!$A805,#REF!)+SUMIF(#REF!,Casilleros!$A805,#REF!)+SUMIF(#REF!,$A805,#REF!)</f>
        <v>#REF!</v>
      </c>
      <c r="N805" s="5" t="e">
        <f>SUMIF(#REF!,$A805,#REF!)</f>
        <v>#REF!</v>
      </c>
      <c r="O805" s="5" t="e">
        <f>SUMIF(#REF!,$A805,#REF!)+SUMIF(#REF!,$A805,#REF!)</f>
        <v>#REF!</v>
      </c>
      <c r="P805" s="5">
        <f>IFERROR(VLOOKUP($A805,#REF!,2,FALSE),0)</f>
        <v>0</v>
      </c>
      <c r="Q805" s="42" t="e">
        <f t="shared" si="13"/>
        <v>#REF!</v>
      </c>
    </row>
    <row r="806" spans="1:17">
      <c r="A806" s="56" t="s">
        <v>1053</v>
      </c>
      <c r="B806" s="7" t="s">
        <v>561</v>
      </c>
      <c r="C806" s="7" t="s">
        <v>789</v>
      </c>
      <c r="D806" s="7" t="s">
        <v>12</v>
      </c>
      <c r="E806" s="7" t="s">
        <v>1050</v>
      </c>
      <c r="F806" s="7" t="s">
        <v>444</v>
      </c>
      <c r="G806" s="7" t="s">
        <v>444</v>
      </c>
      <c r="H806" s="7" t="s">
        <v>444</v>
      </c>
      <c r="I806" s="7" t="s">
        <v>2140</v>
      </c>
      <c r="K806" s="5">
        <f>SUMIF(BC!$E$6:$E$347,$A806,BC!$K$6:$K$347)</f>
        <v>0</v>
      </c>
      <c r="L806" s="5" t="e">
        <f>SUMIF(#REF!,$A806,#REF!)+SUMIF(#REF!,$A806,#REF!)</f>
        <v>#REF!</v>
      </c>
      <c r="M806" s="5" t="e">
        <f>SUMIF(#REF!,Casilleros!$A806,#REF!)+SUMIF(#REF!,Casilleros!$A806,#REF!)+SUMIF(#REF!,$A806,#REF!)</f>
        <v>#REF!</v>
      </c>
      <c r="N806" s="5" t="e">
        <f>SUMIF(#REF!,$A806,#REF!)</f>
        <v>#REF!</v>
      </c>
      <c r="O806" s="5" t="e">
        <f>SUMIF(#REF!,$A806,#REF!)+SUMIF(#REF!,$A806,#REF!)</f>
        <v>#REF!</v>
      </c>
      <c r="P806" s="5">
        <f>IFERROR(VLOOKUP($A806,#REF!,2,FALSE),0)</f>
        <v>0</v>
      </c>
      <c r="Q806" s="42" t="e">
        <f t="shared" si="13"/>
        <v>#REF!</v>
      </c>
    </row>
    <row r="807" spans="1:17">
      <c r="A807" s="56" t="s">
        <v>1056</v>
      </c>
      <c r="B807" s="7" t="s">
        <v>561</v>
      </c>
      <c r="C807" s="7" t="s">
        <v>789</v>
      </c>
      <c r="D807" s="7" t="s">
        <v>12</v>
      </c>
      <c r="E807" s="7" t="s">
        <v>1054</v>
      </c>
      <c r="F807" s="7" t="s">
        <v>444</v>
      </c>
      <c r="G807" s="7" t="s">
        <v>444</v>
      </c>
      <c r="H807" s="7" t="s">
        <v>444</v>
      </c>
      <c r="I807" s="7" t="s">
        <v>2141</v>
      </c>
      <c r="K807" s="5">
        <f>SUMIF(BC!$E$6:$E$347,$A807,BC!$K$6:$K$347)</f>
        <v>0</v>
      </c>
      <c r="L807" s="5" t="e">
        <f>SUMIF(#REF!,$A807,#REF!)+SUMIF(#REF!,$A807,#REF!)</f>
        <v>#REF!</v>
      </c>
      <c r="M807" s="5" t="e">
        <f>SUMIF(#REF!,Casilleros!$A807,#REF!)+SUMIF(#REF!,Casilleros!$A807,#REF!)+SUMIF(#REF!,$A807,#REF!)</f>
        <v>#REF!</v>
      </c>
      <c r="N807" s="5" t="e">
        <f>SUMIF(#REF!,$A807,#REF!)</f>
        <v>#REF!</v>
      </c>
      <c r="O807" s="5" t="e">
        <f>SUMIF(#REF!,$A807,#REF!)+SUMIF(#REF!,$A807,#REF!)</f>
        <v>#REF!</v>
      </c>
      <c r="P807" s="5">
        <f>IFERROR(VLOOKUP($A807,#REF!,2,FALSE),0)</f>
        <v>0</v>
      </c>
      <c r="Q807" s="42" t="e">
        <f t="shared" si="13"/>
        <v>#REF!</v>
      </c>
    </row>
    <row r="808" spans="1:17">
      <c r="A808" s="56" t="s">
        <v>1059</v>
      </c>
      <c r="B808" s="7" t="s">
        <v>561</v>
      </c>
      <c r="C808" s="7" t="s">
        <v>789</v>
      </c>
      <c r="D808" s="7" t="s">
        <v>12</v>
      </c>
      <c r="E808" s="7" t="s">
        <v>122</v>
      </c>
      <c r="F808" s="7" t="s">
        <v>444</v>
      </c>
      <c r="G808" s="7" t="s">
        <v>444</v>
      </c>
      <c r="H808" s="7" t="s">
        <v>444</v>
      </c>
      <c r="I808" s="7" t="s">
        <v>2142</v>
      </c>
      <c r="K808" s="5">
        <f>SUMIF(BC!$E$6:$E$347,$A808,BC!$K$6:$K$347)</f>
        <v>0</v>
      </c>
      <c r="L808" s="5" t="e">
        <f>SUMIF(#REF!,$A808,#REF!)+SUMIF(#REF!,$A808,#REF!)</f>
        <v>#REF!</v>
      </c>
      <c r="M808" s="5" t="e">
        <f>SUMIF(#REF!,Casilleros!$A808,#REF!)+SUMIF(#REF!,Casilleros!$A808,#REF!)+SUMIF(#REF!,$A808,#REF!)</f>
        <v>#REF!</v>
      </c>
      <c r="N808" s="5" t="e">
        <f>SUMIF(#REF!,$A808,#REF!)</f>
        <v>#REF!</v>
      </c>
      <c r="O808" s="5" t="e">
        <f>SUMIF(#REF!,$A808,#REF!)+SUMIF(#REF!,$A808,#REF!)</f>
        <v>#REF!</v>
      </c>
      <c r="P808" s="5">
        <f>IFERROR(VLOOKUP($A808,#REF!,2,FALSE),0)</f>
        <v>0</v>
      </c>
      <c r="Q808" s="42" t="e">
        <f t="shared" si="13"/>
        <v>#REF!</v>
      </c>
    </row>
    <row r="809" spans="1:17">
      <c r="A809" s="56" t="s">
        <v>1063</v>
      </c>
      <c r="B809" s="7" t="s">
        <v>561</v>
      </c>
      <c r="C809" s="7" t="s">
        <v>789</v>
      </c>
      <c r="D809" s="7" t="s">
        <v>1060</v>
      </c>
      <c r="E809" s="7" t="s">
        <v>1061</v>
      </c>
      <c r="F809" s="7" t="s">
        <v>705</v>
      </c>
      <c r="G809" s="7" t="s">
        <v>72</v>
      </c>
      <c r="H809" s="7" t="s">
        <v>25</v>
      </c>
      <c r="I809" s="7" t="s">
        <v>2147</v>
      </c>
      <c r="K809" s="5">
        <f>SUMIF(BC!$E$6:$E$347,$A809,BC!$K$6:$K$347)</f>
        <v>0</v>
      </c>
      <c r="L809" s="5" t="e">
        <f>SUMIF(#REF!,$A809,#REF!)+SUMIF(#REF!,$A809,#REF!)</f>
        <v>#REF!</v>
      </c>
      <c r="M809" s="5" t="e">
        <f>SUMIF(#REF!,Casilleros!$A809,#REF!)+SUMIF(#REF!,Casilleros!$A809,#REF!)+SUMIF(#REF!,$A809,#REF!)</f>
        <v>#REF!</v>
      </c>
      <c r="N809" s="5" t="e">
        <f>SUMIF(#REF!,$A809,#REF!)</f>
        <v>#REF!</v>
      </c>
      <c r="O809" s="5" t="e">
        <f>SUMIF(#REF!,$A809,#REF!)+SUMIF(#REF!,$A809,#REF!)</f>
        <v>#REF!</v>
      </c>
      <c r="P809" s="5">
        <f>IFERROR(VLOOKUP($A809,#REF!,2,FALSE),0)</f>
        <v>0</v>
      </c>
      <c r="Q809" s="42" t="e">
        <f t="shared" si="13"/>
        <v>#REF!</v>
      </c>
    </row>
    <row r="810" spans="1:17">
      <c r="A810" s="56" t="s">
        <v>1065</v>
      </c>
      <c r="B810" s="7" t="s">
        <v>561</v>
      </c>
      <c r="C810" s="7" t="s">
        <v>789</v>
      </c>
      <c r="D810" s="7" t="s">
        <v>1060</v>
      </c>
      <c r="E810" s="7" t="s">
        <v>1061</v>
      </c>
      <c r="F810" s="7" t="s">
        <v>705</v>
      </c>
      <c r="G810" s="7" t="s">
        <v>72</v>
      </c>
      <c r="H810" s="7" t="s">
        <v>26</v>
      </c>
      <c r="I810" s="7" t="s">
        <v>2148</v>
      </c>
      <c r="K810" s="5">
        <f>SUMIF(BC!$E$6:$E$347,$A810,BC!$K$6:$K$347)</f>
        <v>0</v>
      </c>
      <c r="L810" s="5" t="e">
        <f>SUMIF(#REF!,$A810,#REF!)+SUMIF(#REF!,$A810,#REF!)</f>
        <v>#REF!</v>
      </c>
      <c r="M810" s="5" t="e">
        <f>SUMIF(#REF!,Casilleros!$A810,#REF!)+SUMIF(#REF!,Casilleros!$A810,#REF!)+SUMIF(#REF!,$A810,#REF!)</f>
        <v>#REF!</v>
      </c>
      <c r="N810" s="5" t="e">
        <f>SUMIF(#REF!,$A810,#REF!)</f>
        <v>#REF!</v>
      </c>
      <c r="O810" s="5" t="e">
        <f>SUMIF(#REF!,$A810,#REF!)+SUMIF(#REF!,$A810,#REF!)</f>
        <v>#REF!</v>
      </c>
      <c r="P810" s="5">
        <f>IFERROR(VLOOKUP($A810,#REF!,2,FALSE),0)</f>
        <v>0</v>
      </c>
      <c r="Q810" s="42" t="e">
        <f t="shared" si="13"/>
        <v>#REF!</v>
      </c>
    </row>
    <row r="811" spans="1:17">
      <c r="A811" s="56" t="s">
        <v>1067</v>
      </c>
      <c r="B811" s="7" t="s">
        <v>561</v>
      </c>
      <c r="C811" s="7" t="s">
        <v>789</v>
      </c>
      <c r="D811" s="7" t="s">
        <v>1060</v>
      </c>
      <c r="E811" s="7" t="s">
        <v>1061</v>
      </c>
      <c r="F811" s="7" t="s">
        <v>705</v>
      </c>
      <c r="G811" s="7" t="s">
        <v>78</v>
      </c>
      <c r="H811" s="7" t="s">
        <v>25</v>
      </c>
      <c r="I811" s="7" t="s">
        <v>2150</v>
      </c>
      <c r="K811" s="5">
        <f>SUMIF(BC!$E$6:$E$347,$A811,BC!$K$6:$K$347)</f>
        <v>0</v>
      </c>
      <c r="L811" s="5" t="e">
        <f>SUMIF(#REF!,$A811,#REF!)+SUMIF(#REF!,$A811,#REF!)</f>
        <v>#REF!</v>
      </c>
      <c r="M811" s="5" t="e">
        <f>SUMIF(#REF!,Casilleros!$A811,#REF!)+SUMIF(#REF!,Casilleros!$A811,#REF!)+SUMIF(#REF!,$A811,#REF!)</f>
        <v>#REF!</v>
      </c>
      <c r="N811" s="5" t="e">
        <f>SUMIF(#REF!,$A811,#REF!)</f>
        <v>#REF!</v>
      </c>
      <c r="O811" s="5" t="e">
        <f>SUMIF(#REF!,$A811,#REF!)+SUMIF(#REF!,$A811,#REF!)</f>
        <v>#REF!</v>
      </c>
      <c r="P811" s="5">
        <f>IFERROR(VLOOKUP($A811,#REF!,2,FALSE),0)</f>
        <v>0</v>
      </c>
      <c r="Q811" s="42" t="e">
        <f t="shared" si="13"/>
        <v>#REF!</v>
      </c>
    </row>
    <row r="812" spans="1:17">
      <c r="A812" s="56" t="s">
        <v>1069</v>
      </c>
      <c r="B812" s="7" t="s">
        <v>561</v>
      </c>
      <c r="C812" s="7" t="s">
        <v>789</v>
      </c>
      <c r="D812" s="7" t="s">
        <v>1060</v>
      </c>
      <c r="E812" s="7" t="s">
        <v>1061</v>
      </c>
      <c r="F812" s="7" t="s">
        <v>705</v>
      </c>
      <c r="G812" s="7" t="s">
        <v>78</v>
      </c>
      <c r="H812" s="7" t="s">
        <v>26</v>
      </c>
      <c r="I812" s="7" t="s">
        <v>2151</v>
      </c>
      <c r="K812" s="5">
        <f>SUMIF(BC!$E$6:$E$347,$A812,BC!$K$6:$K$347)</f>
        <v>0</v>
      </c>
      <c r="L812" s="5" t="e">
        <f>SUMIF(#REF!,$A812,#REF!)+SUMIF(#REF!,$A812,#REF!)</f>
        <v>#REF!</v>
      </c>
      <c r="M812" s="5" t="e">
        <f>SUMIF(#REF!,Casilleros!$A812,#REF!)+SUMIF(#REF!,Casilleros!$A812,#REF!)+SUMIF(#REF!,$A812,#REF!)</f>
        <v>#REF!</v>
      </c>
      <c r="N812" s="5" t="e">
        <f>SUMIF(#REF!,$A812,#REF!)</f>
        <v>#REF!</v>
      </c>
      <c r="O812" s="5" t="e">
        <f>SUMIF(#REF!,$A812,#REF!)+SUMIF(#REF!,$A812,#REF!)</f>
        <v>#REF!</v>
      </c>
      <c r="P812" s="5">
        <f>IFERROR(VLOOKUP($A812,#REF!,2,FALSE),0)</f>
        <v>0</v>
      </c>
      <c r="Q812" s="42" t="e">
        <f t="shared" si="13"/>
        <v>#REF!</v>
      </c>
    </row>
    <row r="813" spans="1:17">
      <c r="A813" s="56" t="s">
        <v>1072</v>
      </c>
      <c r="B813" s="7" t="s">
        <v>561</v>
      </c>
      <c r="C813" s="7" t="s">
        <v>789</v>
      </c>
      <c r="D813" s="7" t="s">
        <v>1060</v>
      </c>
      <c r="E813" s="7" t="s">
        <v>1061</v>
      </c>
      <c r="F813" s="7" t="s">
        <v>1070</v>
      </c>
      <c r="G813" s="7" t="s">
        <v>72</v>
      </c>
      <c r="H813" s="7" t="s">
        <v>25</v>
      </c>
      <c r="I813" s="7" t="s">
        <v>2154</v>
      </c>
      <c r="K813" s="5">
        <f>SUMIF(BC!$E$6:$E$347,$A813,BC!$K$6:$K$347)</f>
        <v>0</v>
      </c>
      <c r="L813" s="5" t="e">
        <f>SUMIF(#REF!,$A813,#REF!)+SUMIF(#REF!,$A813,#REF!)</f>
        <v>#REF!</v>
      </c>
      <c r="M813" s="5" t="e">
        <f>SUMIF(#REF!,Casilleros!$A813,#REF!)+SUMIF(#REF!,Casilleros!$A813,#REF!)+SUMIF(#REF!,$A813,#REF!)</f>
        <v>#REF!</v>
      </c>
      <c r="N813" s="5" t="e">
        <f>SUMIF(#REF!,$A813,#REF!)</f>
        <v>#REF!</v>
      </c>
      <c r="O813" s="5" t="e">
        <f>SUMIF(#REF!,$A813,#REF!)+SUMIF(#REF!,$A813,#REF!)</f>
        <v>#REF!</v>
      </c>
      <c r="P813" s="5">
        <f>IFERROR(VLOOKUP($A813,#REF!,2,FALSE),0)</f>
        <v>0</v>
      </c>
      <c r="Q813" s="42" t="e">
        <f t="shared" si="13"/>
        <v>#REF!</v>
      </c>
    </row>
    <row r="814" spans="1:17">
      <c r="A814" s="56" t="s">
        <v>1074</v>
      </c>
      <c r="B814" s="7" t="s">
        <v>561</v>
      </c>
      <c r="C814" s="7" t="s">
        <v>789</v>
      </c>
      <c r="D814" s="7" t="s">
        <v>1060</v>
      </c>
      <c r="E814" s="7" t="s">
        <v>1061</v>
      </c>
      <c r="F814" s="7" t="s">
        <v>1070</v>
      </c>
      <c r="G814" s="7" t="s">
        <v>72</v>
      </c>
      <c r="H814" s="7" t="s">
        <v>26</v>
      </c>
      <c r="I814" s="7" t="s">
        <v>2155</v>
      </c>
      <c r="K814" s="5">
        <f>SUMIF(BC!$E$6:$E$347,$A814,BC!$K$6:$K$347)</f>
        <v>0</v>
      </c>
      <c r="L814" s="5" t="e">
        <f>SUMIF(#REF!,$A814,#REF!)+SUMIF(#REF!,$A814,#REF!)</f>
        <v>#REF!</v>
      </c>
      <c r="M814" s="5" t="e">
        <f>SUMIF(#REF!,Casilleros!$A814,#REF!)+SUMIF(#REF!,Casilleros!$A814,#REF!)+SUMIF(#REF!,$A814,#REF!)</f>
        <v>#REF!</v>
      </c>
      <c r="N814" s="5" t="e">
        <f>SUMIF(#REF!,$A814,#REF!)</f>
        <v>#REF!</v>
      </c>
      <c r="O814" s="5" t="e">
        <f>SUMIF(#REF!,$A814,#REF!)+SUMIF(#REF!,$A814,#REF!)</f>
        <v>#REF!</v>
      </c>
      <c r="P814" s="5">
        <f>IFERROR(VLOOKUP($A814,#REF!,2,FALSE),0)</f>
        <v>0</v>
      </c>
      <c r="Q814" s="42" t="e">
        <f t="shared" si="13"/>
        <v>#REF!</v>
      </c>
    </row>
    <row r="815" spans="1:17">
      <c r="A815" s="56" t="s">
        <v>1076</v>
      </c>
      <c r="B815" s="7" t="s">
        <v>561</v>
      </c>
      <c r="C815" s="7" t="s">
        <v>789</v>
      </c>
      <c r="D815" s="7" t="s">
        <v>1060</v>
      </c>
      <c r="E815" s="7" t="s">
        <v>1061</v>
      </c>
      <c r="F815" s="7" t="s">
        <v>1070</v>
      </c>
      <c r="G815" s="7" t="s">
        <v>78</v>
      </c>
      <c r="H815" s="7" t="s">
        <v>25</v>
      </c>
      <c r="I815" s="7" t="s">
        <v>2157</v>
      </c>
      <c r="K815" s="5">
        <f>SUMIF(BC!$E$6:$E$347,$A815,BC!$K$6:$K$347)</f>
        <v>0</v>
      </c>
      <c r="L815" s="5" t="e">
        <f>SUMIF(#REF!,$A815,#REF!)+SUMIF(#REF!,$A815,#REF!)</f>
        <v>#REF!</v>
      </c>
      <c r="M815" s="5" t="e">
        <f>SUMIF(#REF!,Casilleros!$A815,#REF!)+SUMIF(#REF!,Casilleros!$A815,#REF!)+SUMIF(#REF!,$A815,#REF!)</f>
        <v>#REF!</v>
      </c>
      <c r="N815" s="5" t="e">
        <f>SUMIF(#REF!,$A815,#REF!)</f>
        <v>#REF!</v>
      </c>
      <c r="O815" s="5" t="e">
        <f>SUMIF(#REF!,$A815,#REF!)+SUMIF(#REF!,$A815,#REF!)</f>
        <v>#REF!</v>
      </c>
      <c r="P815" s="5">
        <f>IFERROR(VLOOKUP($A815,#REF!,2,FALSE),0)</f>
        <v>0</v>
      </c>
      <c r="Q815" s="42" t="e">
        <f t="shared" si="13"/>
        <v>#REF!</v>
      </c>
    </row>
    <row r="816" spans="1:17">
      <c r="A816" s="56" t="s">
        <v>1078</v>
      </c>
      <c r="B816" s="7" t="s">
        <v>561</v>
      </c>
      <c r="C816" s="7" t="s">
        <v>789</v>
      </c>
      <c r="D816" s="7" t="s">
        <v>1060</v>
      </c>
      <c r="E816" s="7" t="s">
        <v>1061</v>
      </c>
      <c r="F816" s="7" t="s">
        <v>1070</v>
      </c>
      <c r="G816" s="7" t="s">
        <v>78</v>
      </c>
      <c r="H816" s="7" t="s">
        <v>26</v>
      </c>
      <c r="I816" s="7" t="s">
        <v>2158</v>
      </c>
      <c r="K816" s="5">
        <f>SUMIF(BC!$E$6:$E$347,$A816,BC!$K$6:$K$347)</f>
        <v>0</v>
      </c>
      <c r="L816" s="5" t="e">
        <f>SUMIF(#REF!,$A816,#REF!)+SUMIF(#REF!,$A816,#REF!)</f>
        <v>#REF!</v>
      </c>
      <c r="M816" s="5" t="e">
        <f>SUMIF(#REF!,Casilleros!$A816,#REF!)+SUMIF(#REF!,Casilleros!$A816,#REF!)+SUMIF(#REF!,$A816,#REF!)</f>
        <v>#REF!</v>
      </c>
      <c r="N816" s="5" t="e">
        <f>SUMIF(#REF!,$A816,#REF!)</f>
        <v>#REF!</v>
      </c>
      <c r="O816" s="5" t="e">
        <f>SUMIF(#REF!,$A816,#REF!)+SUMIF(#REF!,$A816,#REF!)</f>
        <v>#REF!</v>
      </c>
      <c r="P816" s="5">
        <f>IFERROR(VLOOKUP($A816,#REF!,2,FALSE),0)</f>
        <v>0</v>
      </c>
      <c r="Q816" s="42" t="e">
        <f t="shared" si="13"/>
        <v>#REF!</v>
      </c>
    </row>
    <row r="817" spans="1:17">
      <c r="A817" s="56" t="s">
        <v>1080</v>
      </c>
      <c r="B817" s="7" t="s">
        <v>561</v>
      </c>
      <c r="C817" s="7" t="s">
        <v>789</v>
      </c>
      <c r="D817" s="7" t="s">
        <v>1060</v>
      </c>
      <c r="E817" s="7" t="s">
        <v>1061</v>
      </c>
      <c r="F817" s="7" t="s">
        <v>723</v>
      </c>
      <c r="G817" s="7" t="s">
        <v>72</v>
      </c>
      <c r="H817" s="7" t="s">
        <v>25</v>
      </c>
      <c r="I817" s="7" t="s">
        <v>2161</v>
      </c>
      <c r="K817" s="5">
        <f>SUMIF(BC!$E$6:$E$347,$A817,BC!$K$6:$K$347)</f>
        <v>0</v>
      </c>
      <c r="L817" s="5" t="e">
        <f>SUMIF(#REF!,$A817,#REF!)+SUMIF(#REF!,$A817,#REF!)</f>
        <v>#REF!</v>
      </c>
      <c r="M817" s="5" t="e">
        <f>SUMIF(#REF!,Casilleros!$A817,#REF!)+SUMIF(#REF!,Casilleros!$A817,#REF!)+SUMIF(#REF!,$A817,#REF!)</f>
        <v>#REF!</v>
      </c>
      <c r="N817" s="5" t="e">
        <f>SUMIF(#REF!,$A817,#REF!)</f>
        <v>#REF!</v>
      </c>
      <c r="O817" s="5" t="e">
        <f>SUMIF(#REF!,$A817,#REF!)+SUMIF(#REF!,$A817,#REF!)</f>
        <v>#REF!</v>
      </c>
      <c r="P817" s="5">
        <f>IFERROR(VLOOKUP($A817,#REF!,2,FALSE),0)</f>
        <v>0</v>
      </c>
      <c r="Q817" s="42" t="e">
        <f t="shared" si="13"/>
        <v>#REF!</v>
      </c>
    </row>
    <row r="818" spans="1:17">
      <c r="A818" s="56" t="s">
        <v>1082</v>
      </c>
      <c r="B818" s="7" t="s">
        <v>561</v>
      </c>
      <c r="C818" s="7" t="s">
        <v>789</v>
      </c>
      <c r="D818" s="7" t="s">
        <v>1060</v>
      </c>
      <c r="E818" s="7" t="s">
        <v>1061</v>
      </c>
      <c r="F818" s="7" t="s">
        <v>723</v>
      </c>
      <c r="G818" s="7" t="s">
        <v>72</v>
      </c>
      <c r="H818" s="7" t="s">
        <v>26</v>
      </c>
      <c r="I818" s="7" t="s">
        <v>2162</v>
      </c>
      <c r="K818" s="5">
        <f>SUMIF(BC!$E$6:$E$347,$A818,BC!$K$6:$K$347)</f>
        <v>0</v>
      </c>
      <c r="L818" s="5" t="e">
        <f>SUMIF(#REF!,$A818,#REF!)+SUMIF(#REF!,$A818,#REF!)</f>
        <v>#REF!</v>
      </c>
      <c r="M818" s="5" t="e">
        <f>SUMIF(#REF!,Casilleros!$A818,#REF!)+SUMIF(#REF!,Casilleros!$A818,#REF!)+SUMIF(#REF!,$A818,#REF!)</f>
        <v>#REF!</v>
      </c>
      <c r="N818" s="5" t="e">
        <f>SUMIF(#REF!,$A818,#REF!)</f>
        <v>#REF!</v>
      </c>
      <c r="O818" s="5" t="e">
        <f>SUMIF(#REF!,$A818,#REF!)+SUMIF(#REF!,$A818,#REF!)</f>
        <v>#REF!</v>
      </c>
      <c r="P818" s="5">
        <f>IFERROR(VLOOKUP($A818,#REF!,2,FALSE),0)</f>
        <v>0</v>
      </c>
      <c r="Q818" s="42" t="e">
        <f t="shared" si="13"/>
        <v>#REF!</v>
      </c>
    </row>
    <row r="819" spans="1:17">
      <c r="A819" s="56" t="s">
        <v>1084</v>
      </c>
      <c r="B819" s="7" t="s">
        <v>561</v>
      </c>
      <c r="C819" s="7" t="s">
        <v>789</v>
      </c>
      <c r="D819" s="7" t="s">
        <v>1060</v>
      </c>
      <c r="E819" s="7" t="s">
        <v>1061</v>
      </c>
      <c r="F819" s="7" t="s">
        <v>723</v>
      </c>
      <c r="G819" s="7" t="s">
        <v>78</v>
      </c>
      <c r="H819" s="7" t="s">
        <v>25</v>
      </c>
      <c r="I819" s="7" t="s">
        <v>2164</v>
      </c>
      <c r="K819" s="5">
        <f>SUMIF(BC!$E$6:$E$347,$A819,BC!$K$6:$K$347)</f>
        <v>0</v>
      </c>
      <c r="L819" s="5" t="e">
        <f>SUMIF(#REF!,$A819,#REF!)+SUMIF(#REF!,$A819,#REF!)</f>
        <v>#REF!</v>
      </c>
      <c r="M819" s="5" t="e">
        <f>SUMIF(#REF!,Casilleros!$A819,#REF!)+SUMIF(#REF!,Casilleros!$A819,#REF!)+SUMIF(#REF!,$A819,#REF!)</f>
        <v>#REF!</v>
      </c>
      <c r="N819" s="5" t="e">
        <f>SUMIF(#REF!,$A819,#REF!)</f>
        <v>#REF!</v>
      </c>
      <c r="O819" s="5" t="e">
        <f>SUMIF(#REF!,$A819,#REF!)+SUMIF(#REF!,$A819,#REF!)</f>
        <v>#REF!</v>
      </c>
      <c r="P819" s="5">
        <f>IFERROR(VLOOKUP($A819,#REF!,2,FALSE),0)</f>
        <v>0</v>
      </c>
      <c r="Q819" s="42" t="e">
        <f t="shared" si="13"/>
        <v>#REF!</v>
      </c>
    </row>
    <row r="820" spans="1:17">
      <c r="A820" s="56" t="s">
        <v>1086</v>
      </c>
      <c r="B820" s="7" t="s">
        <v>561</v>
      </c>
      <c r="C820" s="7" t="s">
        <v>789</v>
      </c>
      <c r="D820" s="7" t="s">
        <v>1060</v>
      </c>
      <c r="E820" s="7" t="s">
        <v>1061</v>
      </c>
      <c r="F820" s="7" t="s">
        <v>723</v>
      </c>
      <c r="G820" s="7" t="s">
        <v>78</v>
      </c>
      <c r="H820" s="7" t="s">
        <v>26</v>
      </c>
      <c r="I820" s="7" t="s">
        <v>2165</v>
      </c>
      <c r="K820" s="5">
        <f>SUMIF(BC!$E$6:$E$347,$A820,BC!$K$6:$K$347)</f>
        <v>0</v>
      </c>
      <c r="L820" s="5" t="e">
        <f>SUMIF(#REF!,$A820,#REF!)+SUMIF(#REF!,$A820,#REF!)</f>
        <v>#REF!</v>
      </c>
      <c r="M820" s="5" t="e">
        <f>SUMIF(#REF!,Casilleros!$A820,#REF!)+SUMIF(#REF!,Casilleros!$A820,#REF!)+SUMIF(#REF!,$A820,#REF!)</f>
        <v>#REF!</v>
      </c>
      <c r="N820" s="5" t="e">
        <f>SUMIF(#REF!,$A820,#REF!)</f>
        <v>#REF!</v>
      </c>
      <c r="O820" s="5" t="e">
        <f>SUMIF(#REF!,$A820,#REF!)+SUMIF(#REF!,$A820,#REF!)</f>
        <v>#REF!</v>
      </c>
      <c r="P820" s="5">
        <f>IFERROR(VLOOKUP($A820,#REF!,2,FALSE),0)</f>
        <v>0</v>
      </c>
      <c r="Q820" s="42" t="e">
        <f t="shared" si="13"/>
        <v>#REF!</v>
      </c>
    </row>
    <row r="821" spans="1:17">
      <c r="A821" s="56" t="s">
        <v>1089</v>
      </c>
      <c r="B821" s="7" t="s">
        <v>561</v>
      </c>
      <c r="C821" s="7" t="s">
        <v>789</v>
      </c>
      <c r="D821" s="7" t="s">
        <v>1060</v>
      </c>
      <c r="E821" s="7" t="s">
        <v>1061</v>
      </c>
      <c r="F821" s="7" t="s">
        <v>1087</v>
      </c>
      <c r="G821" s="7" t="s">
        <v>72</v>
      </c>
      <c r="H821" s="7" t="s">
        <v>25</v>
      </c>
      <c r="I821" s="7" t="s">
        <v>2168</v>
      </c>
      <c r="K821" s="5">
        <f>SUMIF(BC!$E$6:$E$347,$A821,BC!$K$6:$K$347)</f>
        <v>0</v>
      </c>
      <c r="L821" s="5" t="e">
        <f>SUMIF(#REF!,$A821,#REF!)+SUMIF(#REF!,$A821,#REF!)</f>
        <v>#REF!</v>
      </c>
      <c r="M821" s="5" t="e">
        <f>SUMIF(#REF!,Casilleros!$A821,#REF!)+SUMIF(#REF!,Casilleros!$A821,#REF!)+SUMIF(#REF!,$A821,#REF!)</f>
        <v>#REF!</v>
      </c>
      <c r="N821" s="5" t="e">
        <f>SUMIF(#REF!,$A821,#REF!)</f>
        <v>#REF!</v>
      </c>
      <c r="O821" s="5" t="e">
        <f>SUMIF(#REF!,$A821,#REF!)+SUMIF(#REF!,$A821,#REF!)</f>
        <v>#REF!</v>
      </c>
      <c r="P821" s="5">
        <f>IFERROR(VLOOKUP($A821,#REF!,2,FALSE),0)</f>
        <v>0</v>
      </c>
      <c r="Q821" s="42" t="e">
        <f t="shared" si="13"/>
        <v>#REF!</v>
      </c>
    </row>
    <row r="822" spans="1:17">
      <c r="A822" s="56" t="s">
        <v>1091</v>
      </c>
      <c r="B822" s="7" t="s">
        <v>561</v>
      </c>
      <c r="C822" s="7" t="s">
        <v>789</v>
      </c>
      <c r="D822" s="7" t="s">
        <v>1060</v>
      </c>
      <c r="E822" s="7" t="s">
        <v>1061</v>
      </c>
      <c r="F822" s="7" t="s">
        <v>1087</v>
      </c>
      <c r="G822" s="7" t="s">
        <v>72</v>
      </c>
      <c r="H822" s="7" t="s">
        <v>26</v>
      </c>
      <c r="I822" s="7" t="s">
        <v>2169</v>
      </c>
      <c r="K822" s="5">
        <f>SUMIF(BC!$E$6:$E$347,$A822,BC!$K$6:$K$347)</f>
        <v>0</v>
      </c>
      <c r="L822" s="5" t="e">
        <f>SUMIF(#REF!,$A822,#REF!)+SUMIF(#REF!,$A822,#REF!)</f>
        <v>#REF!</v>
      </c>
      <c r="M822" s="5" t="e">
        <f>SUMIF(#REF!,Casilleros!$A822,#REF!)+SUMIF(#REF!,Casilleros!$A822,#REF!)+SUMIF(#REF!,$A822,#REF!)</f>
        <v>#REF!</v>
      </c>
      <c r="N822" s="5" t="e">
        <f>SUMIF(#REF!,$A822,#REF!)</f>
        <v>#REF!</v>
      </c>
      <c r="O822" s="5" t="e">
        <f>SUMIF(#REF!,$A822,#REF!)+SUMIF(#REF!,$A822,#REF!)</f>
        <v>#REF!</v>
      </c>
      <c r="P822" s="5">
        <f>IFERROR(VLOOKUP($A822,#REF!,2,FALSE),0)</f>
        <v>0</v>
      </c>
      <c r="Q822" s="42" t="e">
        <f t="shared" si="13"/>
        <v>#REF!</v>
      </c>
    </row>
    <row r="823" spans="1:17">
      <c r="A823" s="56" t="s">
        <v>1093</v>
      </c>
      <c r="B823" s="7" t="s">
        <v>561</v>
      </c>
      <c r="C823" s="7" t="s">
        <v>789</v>
      </c>
      <c r="D823" s="7" t="s">
        <v>1060</v>
      </c>
      <c r="E823" s="7" t="s">
        <v>1061</v>
      </c>
      <c r="F823" s="7" t="s">
        <v>1087</v>
      </c>
      <c r="G823" s="7" t="s">
        <v>78</v>
      </c>
      <c r="H823" s="7" t="s">
        <v>25</v>
      </c>
      <c r="I823" s="7" t="s">
        <v>2171</v>
      </c>
      <c r="K823" s="5">
        <f>SUMIF(BC!$E$6:$E$347,$A823,BC!$K$6:$K$347)</f>
        <v>0</v>
      </c>
      <c r="L823" s="5" t="e">
        <f>SUMIF(#REF!,$A823,#REF!)+SUMIF(#REF!,$A823,#REF!)</f>
        <v>#REF!</v>
      </c>
      <c r="M823" s="5" t="e">
        <f>SUMIF(#REF!,Casilleros!$A823,#REF!)+SUMIF(#REF!,Casilleros!$A823,#REF!)+SUMIF(#REF!,$A823,#REF!)</f>
        <v>#REF!</v>
      </c>
      <c r="N823" s="5" t="e">
        <f>SUMIF(#REF!,$A823,#REF!)</f>
        <v>#REF!</v>
      </c>
      <c r="O823" s="5" t="e">
        <f>SUMIF(#REF!,$A823,#REF!)+SUMIF(#REF!,$A823,#REF!)</f>
        <v>#REF!</v>
      </c>
      <c r="P823" s="5">
        <f>IFERROR(VLOOKUP($A823,#REF!,2,FALSE),0)</f>
        <v>0</v>
      </c>
      <c r="Q823" s="42" t="e">
        <f t="shared" si="13"/>
        <v>#REF!</v>
      </c>
    </row>
    <row r="824" spans="1:17">
      <c r="A824" s="56" t="s">
        <v>1095</v>
      </c>
      <c r="B824" s="7" t="s">
        <v>561</v>
      </c>
      <c r="C824" s="7" t="s">
        <v>789</v>
      </c>
      <c r="D824" s="7" t="s">
        <v>1060</v>
      </c>
      <c r="E824" s="7" t="s">
        <v>1061</v>
      </c>
      <c r="F824" s="7" t="s">
        <v>1087</v>
      </c>
      <c r="G824" s="7" t="s">
        <v>78</v>
      </c>
      <c r="H824" s="7" t="s">
        <v>26</v>
      </c>
      <c r="I824" s="7" t="s">
        <v>2172</v>
      </c>
      <c r="K824" s="5">
        <f>SUMIF(BC!$E$6:$E$347,$A824,BC!$K$6:$K$347)</f>
        <v>0</v>
      </c>
      <c r="L824" s="5" t="e">
        <f>SUMIF(#REF!,$A824,#REF!)+SUMIF(#REF!,$A824,#REF!)</f>
        <v>#REF!</v>
      </c>
      <c r="M824" s="5" t="e">
        <f>SUMIF(#REF!,Casilleros!$A824,#REF!)+SUMIF(#REF!,Casilleros!$A824,#REF!)+SUMIF(#REF!,$A824,#REF!)</f>
        <v>#REF!</v>
      </c>
      <c r="N824" s="5" t="e">
        <f>SUMIF(#REF!,$A824,#REF!)</f>
        <v>#REF!</v>
      </c>
      <c r="O824" s="5" t="e">
        <f>SUMIF(#REF!,$A824,#REF!)+SUMIF(#REF!,$A824,#REF!)</f>
        <v>#REF!</v>
      </c>
      <c r="P824" s="5">
        <f>IFERROR(VLOOKUP($A824,#REF!,2,FALSE),0)</f>
        <v>0</v>
      </c>
      <c r="Q824" s="42" t="e">
        <f t="shared" si="13"/>
        <v>#REF!</v>
      </c>
    </row>
    <row r="825" spans="1:17">
      <c r="A825" s="56" t="s">
        <v>1098</v>
      </c>
      <c r="B825" s="7" t="s">
        <v>561</v>
      </c>
      <c r="C825" s="7" t="s">
        <v>789</v>
      </c>
      <c r="D825" s="7" t="s">
        <v>1060</v>
      </c>
      <c r="E825" s="7" t="s">
        <v>1061</v>
      </c>
      <c r="F825" s="7" t="s">
        <v>1096</v>
      </c>
      <c r="G825" s="7" t="s">
        <v>444</v>
      </c>
      <c r="H825" s="7" t="s">
        <v>444</v>
      </c>
      <c r="I825" s="7" t="s">
        <v>2173</v>
      </c>
      <c r="K825" s="5">
        <f>SUMIF(BC!$E$6:$E$347,$A825,BC!$K$6:$K$347)</f>
        <v>0</v>
      </c>
      <c r="L825" s="5" t="e">
        <f>SUMIF(#REF!,$A825,#REF!)+SUMIF(#REF!,$A825,#REF!)</f>
        <v>#REF!</v>
      </c>
      <c r="M825" s="5" t="e">
        <f>SUMIF(#REF!,Casilleros!$A825,#REF!)+SUMIF(#REF!,Casilleros!$A825,#REF!)+SUMIF(#REF!,$A825,#REF!)</f>
        <v>#REF!</v>
      </c>
      <c r="N825" s="5" t="e">
        <f>SUMIF(#REF!,$A825,#REF!)</f>
        <v>#REF!</v>
      </c>
      <c r="O825" s="5" t="e">
        <f>SUMIF(#REF!,$A825,#REF!)+SUMIF(#REF!,$A825,#REF!)</f>
        <v>#REF!</v>
      </c>
      <c r="P825" s="5">
        <f>IFERROR(VLOOKUP($A825,#REF!,2,FALSE),0)</f>
        <v>0</v>
      </c>
      <c r="Q825" s="42" t="e">
        <f t="shared" si="13"/>
        <v>#REF!</v>
      </c>
    </row>
    <row r="826" spans="1:17">
      <c r="A826" s="56" t="s">
        <v>1101</v>
      </c>
      <c r="B826" s="7" t="s">
        <v>561</v>
      </c>
      <c r="C826" s="7" t="s">
        <v>789</v>
      </c>
      <c r="D826" s="7" t="s">
        <v>1060</v>
      </c>
      <c r="E826" s="7" t="s">
        <v>1061</v>
      </c>
      <c r="F826" s="7" t="s">
        <v>1099</v>
      </c>
      <c r="G826" s="7" t="s">
        <v>444</v>
      </c>
      <c r="H826" s="7" t="s">
        <v>444</v>
      </c>
      <c r="I826" s="7" t="s">
        <v>2174</v>
      </c>
      <c r="K826" s="5">
        <f>SUMIF(BC!$E$6:$E$347,$A826,BC!$K$6:$K$347)</f>
        <v>0</v>
      </c>
      <c r="L826" s="5" t="e">
        <f>SUMIF(#REF!,$A826,#REF!)+SUMIF(#REF!,$A826,#REF!)</f>
        <v>#REF!</v>
      </c>
      <c r="M826" s="5" t="e">
        <f>SUMIF(#REF!,Casilleros!$A826,#REF!)+SUMIF(#REF!,Casilleros!$A826,#REF!)+SUMIF(#REF!,$A826,#REF!)</f>
        <v>#REF!</v>
      </c>
      <c r="N826" s="5" t="e">
        <f>SUMIF(#REF!,$A826,#REF!)</f>
        <v>#REF!</v>
      </c>
      <c r="O826" s="5" t="e">
        <f>SUMIF(#REF!,$A826,#REF!)+SUMIF(#REF!,$A826,#REF!)</f>
        <v>#REF!</v>
      </c>
      <c r="P826" s="5">
        <f>IFERROR(VLOOKUP($A826,#REF!,2,FALSE),0)</f>
        <v>0</v>
      </c>
      <c r="Q826" s="42" t="e">
        <f t="shared" si="13"/>
        <v>#REF!</v>
      </c>
    </row>
    <row r="827" spans="1:17">
      <c r="A827" s="56" t="s">
        <v>1103</v>
      </c>
      <c r="B827" s="7" t="s">
        <v>561</v>
      </c>
      <c r="C827" s="7" t="s">
        <v>789</v>
      </c>
      <c r="D827" s="7" t="s">
        <v>1060</v>
      </c>
      <c r="E827" s="7" t="s">
        <v>1061</v>
      </c>
      <c r="F827" s="7" t="s">
        <v>122</v>
      </c>
      <c r="G827" s="7" t="s">
        <v>444</v>
      </c>
      <c r="H827" s="7" t="s">
        <v>444</v>
      </c>
      <c r="I827" s="7" t="s">
        <v>2175</v>
      </c>
      <c r="K827" s="5">
        <f>SUMIF(BC!$E$6:$E$347,$A827,BC!$K$6:$K$347)</f>
        <v>0</v>
      </c>
      <c r="L827" s="5" t="e">
        <f>SUMIF(#REF!,$A827,#REF!)+SUMIF(#REF!,$A827,#REF!)</f>
        <v>#REF!</v>
      </c>
      <c r="M827" s="5" t="e">
        <f>SUMIF(#REF!,Casilleros!$A827,#REF!)+SUMIF(#REF!,Casilleros!$A827,#REF!)+SUMIF(#REF!,$A827,#REF!)</f>
        <v>#REF!</v>
      </c>
      <c r="N827" s="5" t="e">
        <f>SUMIF(#REF!,$A827,#REF!)</f>
        <v>#REF!</v>
      </c>
      <c r="O827" s="5" t="e">
        <f>SUMIF(#REF!,$A827,#REF!)+SUMIF(#REF!,$A827,#REF!)</f>
        <v>#REF!</v>
      </c>
      <c r="P827" s="5">
        <f>IFERROR(VLOOKUP($A827,#REF!,2,FALSE),0)</f>
        <v>0</v>
      </c>
      <c r="Q827" s="42" t="e">
        <f t="shared" si="13"/>
        <v>#REF!</v>
      </c>
    </row>
    <row r="828" spans="1:17">
      <c r="A828" s="56" t="s">
        <v>1106</v>
      </c>
      <c r="B828" s="7" t="s">
        <v>561</v>
      </c>
      <c r="C828" s="7" t="s">
        <v>789</v>
      </c>
      <c r="D828" s="7" t="s">
        <v>1060</v>
      </c>
      <c r="E828" s="7" t="s">
        <v>1104</v>
      </c>
      <c r="F828" s="7" t="s">
        <v>444</v>
      </c>
      <c r="G828" s="7" t="s">
        <v>444</v>
      </c>
      <c r="H828" s="7" t="s">
        <v>444</v>
      </c>
      <c r="I828" s="7" t="s">
        <v>2176</v>
      </c>
      <c r="K828" s="5">
        <f>SUMIF(BC!$E$6:$E$347,$A828,BC!$K$6:$K$347)</f>
        <v>0</v>
      </c>
      <c r="L828" s="5" t="e">
        <f>SUMIF(#REF!,$A828,#REF!)+SUMIF(#REF!,$A828,#REF!)</f>
        <v>#REF!</v>
      </c>
      <c r="M828" s="5" t="e">
        <f>SUMIF(#REF!,Casilleros!$A828,#REF!)+SUMIF(#REF!,Casilleros!$A828,#REF!)+SUMIF(#REF!,$A828,#REF!)</f>
        <v>#REF!</v>
      </c>
      <c r="N828" s="5" t="e">
        <f>SUMIF(#REF!,$A828,#REF!)</f>
        <v>#REF!</v>
      </c>
      <c r="O828" s="5" t="e">
        <f>SUMIF(#REF!,$A828,#REF!)+SUMIF(#REF!,$A828,#REF!)</f>
        <v>#REF!</v>
      </c>
      <c r="P828" s="5">
        <f>IFERROR(VLOOKUP($A828,#REF!,2,FALSE),0)</f>
        <v>0</v>
      </c>
      <c r="Q828" s="42" t="e">
        <f t="shared" si="13"/>
        <v>#REF!</v>
      </c>
    </row>
    <row r="829" spans="1:17">
      <c r="A829" s="56" t="s">
        <v>1108</v>
      </c>
      <c r="B829" s="7" t="s">
        <v>561</v>
      </c>
      <c r="C829" s="7" t="s">
        <v>789</v>
      </c>
      <c r="D829" s="7" t="s">
        <v>1060</v>
      </c>
      <c r="E829" s="7" t="s">
        <v>122</v>
      </c>
      <c r="F829" s="7" t="s">
        <v>444</v>
      </c>
      <c r="G829" s="7" t="s">
        <v>444</v>
      </c>
      <c r="H829" s="7" t="s">
        <v>444</v>
      </c>
      <c r="I829" s="7" t="s">
        <v>2177</v>
      </c>
      <c r="K829" s="5">
        <f>SUMIF(BC!$E$6:$E$347,$A829,BC!$K$6:$K$347)</f>
        <v>0</v>
      </c>
      <c r="L829" s="5" t="e">
        <f>SUMIF(#REF!,$A829,#REF!)+SUMIF(#REF!,$A829,#REF!)</f>
        <v>#REF!</v>
      </c>
      <c r="M829" s="5" t="e">
        <f>SUMIF(#REF!,Casilleros!$A829,#REF!)+SUMIF(#REF!,Casilleros!$A829,#REF!)+SUMIF(#REF!,$A829,#REF!)</f>
        <v>#REF!</v>
      </c>
      <c r="N829" s="5" t="e">
        <f>SUMIF(#REF!,$A829,#REF!)</f>
        <v>#REF!</v>
      </c>
      <c r="O829" s="5" t="e">
        <f>SUMIF(#REF!,$A829,#REF!)+SUMIF(#REF!,$A829,#REF!)</f>
        <v>#REF!</v>
      </c>
      <c r="P829" s="5">
        <f>IFERROR(VLOOKUP($A829,#REF!,2,FALSE),0)</f>
        <v>0</v>
      </c>
      <c r="Q829" s="42" t="e">
        <f t="shared" si="13"/>
        <v>#REF!</v>
      </c>
    </row>
    <row r="830" spans="1:17">
      <c r="A830" s="56" t="s">
        <v>1111</v>
      </c>
      <c r="B830" s="7" t="s">
        <v>561</v>
      </c>
      <c r="C830" s="7" t="s">
        <v>789</v>
      </c>
      <c r="D830" s="7" t="s">
        <v>1109</v>
      </c>
      <c r="E830" s="7" t="s">
        <v>444</v>
      </c>
      <c r="F830" s="7" t="s">
        <v>444</v>
      </c>
      <c r="G830" s="7" t="s">
        <v>444</v>
      </c>
      <c r="H830" s="7" t="s">
        <v>444</v>
      </c>
      <c r="I830" s="7" t="s">
        <v>2178</v>
      </c>
      <c r="K830" s="5">
        <f>SUMIF(BC!$E$6:$E$347,$A830,BC!$K$6:$K$347)</f>
        <v>0</v>
      </c>
      <c r="L830" s="5" t="e">
        <f>SUMIF(#REF!,$A830,#REF!)+SUMIF(#REF!,$A830,#REF!)</f>
        <v>#REF!</v>
      </c>
      <c r="M830" s="5" t="e">
        <f>SUMIF(#REF!,Casilleros!$A830,#REF!)+SUMIF(#REF!,Casilleros!$A830,#REF!)+SUMIF(#REF!,$A830,#REF!)</f>
        <v>#REF!</v>
      </c>
      <c r="N830" s="5" t="e">
        <f>SUMIF(#REF!,$A830,#REF!)</f>
        <v>#REF!</v>
      </c>
      <c r="O830" s="5" t="e">
        <f>SUMIF(#REF!,$A830,#REF!)+SUMIF(#REF!,$A830,#REF!)</f>
        <v>#REF!</v>
      </c>
      <c r="P830" s="5">
        <f>IFERROR(VLOOKUP($A830,#REF!,2,FALSE),0)</f>
        <v>0</v>
      </c>
      <c r="Q830" s="42" t="e">
        <f t="shared" si="13"/>
        <v>#REF!</v>
      </c>
    </row>
    <row r="832" spans="1:17" s="5" customFormat="1">
      <c r="A832" s="104">
        <v>1</v>
      </c>
      <c r="B832" s="104">
        <v>2</v>
      </c>
      <c r="C832" s="104">
        <v>3</v>
      </c>
      <c r="D832" s="104">
        <v>4</v>
      </c>
      <c r="E832" s="104">
        <v>5</v>
      </c>
      <c r="F832" s="104">
        <v>6</v>
      </c>
      <c r="G832" s="104">
        <v>7</v>
      </c>
      <c r="H832" s="104">
        <v>8</v>
      </c>
      <c r="I832" s="104">
        <v>9</v>
      </c>
      <c r="J832" s="104">
        <v>10</v>
      </c>
      <c r="K832" s="104">
        <v>11</v>
      </c>
      <c r="L832" s="104">
        <v>12</v>
      </c>
      <c r="M832" s="104">
        <v>13</v>
      </c>
      <c r="N832" s="104">
        <v>14</v>
      </c>
      <c r="O832" s="104">
        <v>15</v>
      </c>
      <c r="P832" s="104">
        <v>16</v>
      </c>
      <c r="Q832" s="104">
        <v>17</v>
      </c>
    </row>
  </sheetData>
  <autoFilter ref="A4:Q830" xr:uid="{00000000-0009-0000-0000-000015000000}"/>
  <phoneticPr fontId="24" type="noConversion"/>
  <conditionalFormatting sqref="J39:J41">
    <cfRule type="duplicateValues" dxfId="36" priority="39"/>
  </conditionalFormatting>
  <conditionalFormatting sqref="J42:J43">
    <cfRule type="duplicateValues" dxfId="35" priority="38"/>
  </conditionalFormatting>
  <conditionalFormatting sqref="J44:J45">
    <cfRule type="duplicateValues" dxfId="34" priority="37"/>
  </conditionalFormatting>
  <conditionalFormatting sqref="J50:J58">
    <cfRule type="duplicateValues" dxfId="33" priority="36"/>
  </conditionalFormatting>
  <conditionalFormatting sqref="J59:J60">
    <cfRule type="duplicateValues" dxfId="32" priority="35"/>
  </conditionalFormatting>
  <conditionalFormatting sqref="J61:J66">
    <cfRule type="duplicateValues" dxfId="31" priority="34"/>
  </conditionalFormatting>
  <conditionalFormatting sqref="J67:J70">
    <cfRule type="duplicateValues" dxfId="30" priority="33"/>
  </conditionalFormatting>
  <conditionalFormatting sqref="J98:J104">
    <cfRule type="duplicateValues" dxfId="29" priority="32"/>
  </conditionalFormatting>
  <conditionalFormatting sqref="J105:J110">
    <cfRule type="duplicateValues" dxfId="28" priority="31"/>
  </conditionalFormatting>
  <conditionalFormatting sqref="J111:J118">
    <cfRule type="duplicateValues" dxfId="27" priority="30"/>
  </conditionalFormatting>
  <conditionalFormatting sqref="J119:J122">
    <cfRule type="duplicateValues" dxfId="26" priority="29"/>
  </conditionalFormatting>
  <conditionalFormatting sqref="J123:J130">
    <cfRule type="duplicateValues" dxfId="25" priority="28"/>
  </conditionalFormatting>
  <conditionalFormatting sqref="J131:J145">
    <cfRule type="duplicateValues" dxfId="24" priority="27"/>
  </conditionalFormatting>
  <conditionalFormatting sqref="J146:J148">
    <cfRule type="duplicateValues" dxfId="23" priority="26"/>
  </conditionalFormatting>
  <conditionalFormatting sqref="J149:J150">
    <cfRule type="duplicateValues" dxfId="22" priority="25"/>
  </conditionalFormatting>
  <conditionalFormatting sqref="J151:J155">
    <cfRule type="duplicateValues" dxfId="21" priority="24"/>
  </conditionalFormatting>
  <conditionalFormatting sqref="J156">
    <cfRule type="duplicateValues" dxfId="20" priority="23"/>
  </conditionalFormatting>
  <conditionalFormatting sqref="J188:J191">
    <cfRule type="duplicateValues" dxfId="19" priority="22"/>
  </conditionalFormatting>
  <conditionalFormatting sqref="J192:J193">
    <cfRule type="duplicateValues" dxfId="18" priority="21"/>
  </conditionalFormatting>
  <conditionalFormatting sqref="J194:J195">
    <cfRule type="duplicateValues" dxfId="17" priority="20"/>
  </conditionalFormatting>
  <conditionalFormatting sqref="J196">
    <cfRule type="duplicateValues" dxfId="16" priority="18"/>
  </conditionalFormatting>
  <conditionalFormatting sqref="J198:J201">
    <cfRule type="duplicateValues" dxfId="15" priority="17"/>
  </conditionalFormatting>
  <conditionalFormatting sqref="J202:J209">
    <cfRule type="duplicateValues" dxfId="14" priority="16"/>
  </conditionalFormatting>
  <conditionalFormatting sqref="J210:J212">
    <cfRule type="duplicateValues" dxfId="13" priority="15"/>
  </conditionalFormatting>
  <conditionalFormatting sqref="J213:J214">
    <cfRule type="duplicateValues" dxfId="12" priority="14"/>
  </conditionalFormatting>
  <conditionalFormatting sqref="J216:J229">
    <cfRule type="duplicateValues" dxfId="11" priority="13"/>
  </conditionalFormatting>
  <conditionalFormatting sqref="J230:J231">
    <cfRule type="duplicateValues" dxfId="10" priority="12"/>
  </conditionalFormatting>
  <conditionalFormatting sqref="J232:J233">
    <cfRule type="duplicateValues" dxfId="9" priority="11"/>
  </conditionalFormatting>
  <conditionalFormatting sqref="J234:J235">
    <cfRule type="duplicateValues" dxfId="8" priority="10"/>
  </conditionalFormatting>
  <conditionalFormatting sqref="J236:J238">
    <cfRule type="duplicateValues" dxfId="7" priority="9"/>
  </conditionalFormatting>
  <conditionalFormatting sqref="J239:J246">
    <cfRule type="duplicateValues" dxfId="6" priority="8"/>
  </conditionalFormatting>
  <conditionalFormatting sqref="J247:J249">
    <cfRule type="duplicateValues" dxfId="5" priority="7"/>
  </conditionalFormatting>
  <conditionalFormatting sqref="J250:J251">
    <cfRule type="duplicateValues" dxfId="4" priority="6"/>
  </conditionalFormatting>
  <conditionalFormatting sqref="J256:J258">
    <cfRule type="duplicateValues" dxfId="3" priority="4"/>
  </conditionalFormatting>
  <conditionalFormatting sqref="J259:J261">
    <cfRule type="duplicateValues" dxfId="2" priority="3"/>
  </conditionalFormatting>
  <conditionalFormatting sqref="J262:J272">
    <cfRule type="duplicateValues" dxfId="1" priority="2"/>
  </conditionalFormatting>
  <conditionalFormatting sqref="J273:J280">
    <cfRule type="duplicateValues" dxfId="0" priority="1"/>
  </conditionalFormatting>
  <pageMargins left="0.39370078740157483" right="0.11811023622047245" top="0.74803149606299213" bottom="0.74803149606299213" header="0.31496062992125984" footer="0.31496062992125984"/>
  <pageSetup paperSize="9" scale="10" fitToHeight="20" orientation="portrait" r:id="rId1"/>
  <headerFooter>
    <oddFooter>&amp;R&amp;P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95"/>
  <sheetViews>
    <sheetView workbookViewId="0"/>
  </sheetViews>
  <sheetFormatPr baseColWidth="10" defaultColWidth="9.1640625" defaultRowHeight="14"/>
  <cols>
    <col min="1" max="1" width="87.5" style="123" customWidth="1"/>
    <col min="2" max="2" width="16.5" style="123" customWidth="1"/>
    <col min="3" max="3" width="20.5" style="123" customWidth="1"/>
    <col min="4" max="4" width="15.5" style="124" customWidth="1"/>
    <col min="5" max="5" width="15.5" style="123" customWidth="1"/>
    <col min="6" max="6" width="16.6640625" style="123" bestFit="1" customWidth="1"/>
    <col min="7" max="7" width="11.6640625" style="123" customWidth="1"/>
    <col min="8" max="8" width="5.83203125" style="123" customWidth="1"/>
    <col min="9" max="9" width="12.33203125" style="123" customWidth="1"/>
    <col min="10" max="10" width="11.5" style="5"/>
    <col min="11" max="11" width="11.5" style="7"/>
    <col min="12" max="12" width="13.83203125" style="7" customWidth="1"/>
    <col min="13" max="13" width="13.83203125" style="5" customWidth="1"/>
    <col min="14" max="18" width="13.83203125" style="7" customWidth="1"/>
    <col min="19" max="24" width="11" style="7" customWidth="1"/>
    <col min="25" max="36" width="9.1640625" style="7"/>
    <col min="37" max="16384" width="9.1640625" style="123"/>
  </cols>
  <sheetData>
    <row r="1" spans="1:36" s="10" customFormat="1" ht="16">
      <c r="A1" s="118" t="e">
        <f>RAZÓN_SOCIAL</f>
        <v>#REF!</v>
      </c>
      <c r="B1" s="118"/>
      <c r="C1" s="16"/>
      <c r="D1" s="16"/>
      <c r="E1" s="16"/>
      <c r="F1" s="16"/>
      <c r="G1" s="16"/>
      <c r="H1" s="99"/>
    </row>
    <row r="2" spans="1:36" s="10" customFormat="1" ht="25.5" customHeight="1">
      <c r="A2" s="120" t="s">
        <v>2332</v>
      </c>
      <c r="B2" s="120"/>
      <c r="C2" s="17"/>
      <c r="D2" s="17"/>
      <c r="E2" s="17"/>
      <c r="F2" s="17"/>
      <c r="G2" s="17"/>
      <c r="H2" s="117"/>
    </row>
    <row r="3" spans="1:36" s="10" customFormat="1" ht="16">
      <c r="A3" s="118" t="e">
        <f>Ejercicio_fiscal</f>
        <v>#REF!</v>
      </c>
      <c r="B3" s="118"/>
      <c r="C3" s="17"/>
      <c r="D3" s="119"/>
      <c r="E3" s="119"/>
      <c r="F3" s="119"/>
      <c r="G3" s="119"/>
      <c r="H3" s="99"/>
    </row>
    <row r="4" spans="1:36" ht="16" thickBot="1">
      <c r="A4" s="155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23"/>
      <c r="AJ4" s="123"/>
    </row>
    <row r="5" spans="1:36" ht="17" thickBot="1">
      <c r="J5" s="11" t="s">
        <v>2278</v>
      </c>
      <c r="K5" s="7" t="s">
        <v>19</v>
      </c>
      <c r="L5" s="39" t="s">
        <v>2270</v>
      </c>
      <c r="M5" s="40"/>
      <c r="N5" s="41"/>
      <c r="P5" s="39" t="s">
        <v>2255</v>
      </c>
      <c r="Q5" s="40"/>
      <c r="R5" s="41"/>
      <c r="T5" s="39" t="s">
        <v>2276</v>
      </c>
      <c r="U5" s="40"/>
      <c r="V5" s="41"/>
      <c r="Y5" s="5"/>
      <c r="AB5" s="5"/>
      <c r="AG5" s="123"/>
      <c r="AH5" s="123"/>
      <c r="AI5" s="123"/>
      <c r="AJ5" s="123"/>
    </row>
    <row r="6" spans="1:36" ht="18" customHeight="1">
      <c r="A6" s="125" t="s">
        <v>2299</v>
      </c>
      <c r="B6" s="156" t="s">
        <v>2328</v>
      </c>
      <c r="C6" s="157" t="s">
        <v>473</v>
      </c>
      <c r="D6" s="126" t="s">
        <v>2300</v>
      </c>
      <c r="E6" s="126" t="s">
        <v>473</v>
      </c>
      <c r="J6" s="7"/>
      <c r="L6" s="5" t="s">
        <v>2268</v>
      </c>
      <c r="M6" s="5" t="s">
        <v>473</v>
      </c>
      <c r="N6" s="7" t="s">
        <v>2269</v>
      </c>
      <c r="P6" s="5" t="s">
        <v>2268</v>
      </c>
      <c r="Q6" s="5" t="s">
        <v>473</v>
      </c>
      <c r="R6" s="7" t="s">
        <v>2269</v>
      </c>
      <c r="T6" s="5" t="s">
        <v>2268</v>
      </c>
      <c r="U6" s="5" t="s">
        <v>473</v>
      </c>
      <c r="V6" s="7" t="s">
        <v>2269</v>
      </c>
      <c r="Y6" s="5"/>
      <c r="AB6" s="5"/>
      <c r="AG6" s="123"/>
      <c r="AH6" s="123"/>
      <c r="AI6" s="123"/>
      <c r="AJ6" s="123"/>
    </row>
    <row r="7" spans="1:36">
      <c r="A7" s="122" t="s">
        <v>2301</v>
      </c>
      <c r="B7" s="158"/>
      <c r="C7" s="159"/>
      <c r="D7" s="127"/>
      <c r="E7" s="128"/>
      <c r="J7" s="7" t="s">
        <v>2271</v>
      </c>
      <c r="K7" s="7" t="s">
        <v>2257</v>
      </c>
      <c r="L7" s="5"/>
      <c r="N7" s="42"/>
      <c r="P7" s="5">
        <v>76433.86</v>
      </c>
      <c r="Q7" s="5">
        <v>31755.06</v>
      </c>
      <c r="R7" s="42">
        <f t="shared" ref="R7:R16" si="0">SUM(P7:Q7)</f>
        <v>108188.92</v>
      </c>
      <c r="T7" s="5"/>
      <c r="U7" s="5"/>
      <c r="V7" s="5"/>
      <c r="W7" s="5"/>
      <c r="Y7" s="5"/>
      <c r="AB7" s="5"/>
      <c r="AG7" s="123"/>
      <c r="AH7" s="123"/>
      <c r="AI7" s="123"/>
      <c r="AJ7" s="123"/>
    </row>
    <row r="8" spans="1:36">
      <c r="A8" s="129" t="s">
        <v>2302</v>
      </c>
      <c r="B8" s="160"/>
      <c r="C8" s="161"/>
      <c r="D8" s="130">
        <f>+B9+B10</f>
        <v>0</v>
      </c>
      <c r="E8" s="130">
        <f>+C9+C10</f>
        <v>0</v>
      </c>
      <c r="J8" s="24" t="s">
        <v>2272</v>
      </c>
      <c r="K8" s="24" t="s">
        <v>2258</v>
      </c>
      <c r="L8" s="43"/>
      <c r="M8" s="43"/>
      <c r="N8" s="44"/>
      <c r="O8" s="24"/>
      <c r="P8" s="43">
        <v>22321.85</v>
      </c>
      <c r="Q8" s="43">
        <v>10768.25</v>
      </c>
      <c r="R8" s="42">
        <f t="shared" si="0"/>
        <v>33090.1</v>
      </c>
      <c r="S8" s="24"/>
      <c r="T8" s="43"/>
      <c r="U8" s="43"/>
      <c r="V8" s="43">
        <f>SUM(T8:U8)</f>
        <v>0</v>
      </c>
      <c r="W8" s="24" t="s">
        <v>2277</v>
      </c>
      <c r="X8" s="45" t="s">
        <v>2279</v>
      </c>
      <c r="Y8" s="24"/>
      <c r="Z8" s="24"/>
      <c r="AA8" s="24"/>
      <c r="AB8" s="43"/>
      <c r="AC8" s="24"/>
      <c r="AD8" s="24"/>
      <c r="AE8" s="24"/>
      <c r="AF8" s="24"/>
      <c r="AG8" s="123"/>
      <c r="AH8" s="123"/>
      <c r="AI8" s="123"/>
      <c r="AJ8" s="123"/>
    </row>
    <row r="9" spans="1:36">
      <c r="A9" s="122" t="s">
        <v>2303</v>
      </c>
      <c r="B9" s="131">
        <v>0</v>
      </c>
      <c r="C9" s="132">
        <v>0</v>
      </c>
      <c r="D9" s="128"/>
      <c r="E9" s="128"/>
      <c r="J9" s="24" t="s">
        <v>2272</v>
      </c>
      <c r="K9" s="24" t="s">
        <v>2259</v>
      </c>
      <c r="L9" s="43"/>
      <c r="M9" s="43"/>
      <c r="N9" s="44"/>
      <c r="O9" s="24"/>
      <c r="P9" s="43">
        <v>5557.84</v>
      </c>
      <c r="Q9" s="43">
        <v>2219.89</v>
      </c>
      <c r="R9" s="42">
        <f t="shared" si="0"/>
        <v>7777.73</v>
      </c>
      <c r="S9" s="24"/>
      <c r="T9" s="43"/>
      <c r="U9" s="43"/>
      <c r="V9" s="43"/>
      <c r="W9" s="43"/>
      <c r="X9" s="24"/>
      <c r="Y9" s="24"/>
      <c r="Z9" s="24"/>
      <c r="AA9" s="24"/>
      <c r="AB9" s="43"/>
      <c r="AC9" s="24"/>
      <c r="AD9" s="24"/>
      <c r="AE9" s="24"/>
      <c r="AF9" s="24"/>
      <c r="AG9" s="123"/>
      <c r="AH9" s="123"/>
      <c r="AI9" s="123"/>
      <c r="AJ9" s="123"/>
    </row>
    <row r="10" spans="1:36">
      <c r="A10" s="122" t="s">
        <v>2304</v>
      </c>
      <c r="B10" s="131">
        <v>0</v>
      </c>
      <c r="C10" s="132">
        <v>0</v>
      </c>
      <c r="D10" s="128"/>
      <c r="E10" s="128"/>
      <c r="J10" s="7" t="s">
        <v>2271</v>
      </c>
      <c r="K10" s="7" t="s">
        <v>2260</v>
      </c>
      <c r="L10" s="5"/>
      <c r="N10" s="42"/>
      <c r="P10" s="5"/>
      <c r="Q10" s="5"/>
      <c r="R10" s="42">
        <f t="shared" si="0"/>
        <v>0</v>
      </c>
      <c r="T10" s="5"/>
      <c r="U10" s="5"/>
      <c r="V10" s="5"/>
      <c r="W10" s="5"/>
      <c r="Y10" s="5"/>
      <c r="AB10" s="5"/>
      <c r="AG10" s="123"/>
      <c r="AH10" s="123"/>
      <c r="AI10" s="123"/>
      <c r="AJ10" s="123"/>
    </row>
    <row r="11" spans="1:36">
      <c r="A11" s="129" t="s">
        <v>2305</v>
      </c>
      <c r="B11" s="160"/>
      <c r="C11" s="161"/>
      <c r="D11" s="130">
        <f>+B12+B13</f>
        <v>0</v>
      </c>
      <c r="E11" s="130">
        <f>+C12+C13</f>
        <v>0</v>
      </c>
      <c r="J11" s="7" t="s">
        <v>2273</v>
      </c>
      <c r="K11" s="7" t="s">
        <v>2261</v>
      </c>
      <c r="L11" s="5"/>
      <c r="N11" s="42"/>
      <c r="P11" s="5">
        <v>-617.35</v>
      </c>
      <c r="Q11" s="5">
        <v>6875.83</v>
      </c>
      <c r="R11" s="42">
        <f t="shared" si="0"/>
        <v>6258.48</v>
      </c>
      <c r="T11" s="5"/>
      <c r="U11" s="5"/>
      <c r="V11" s="5"/>
      <c r="W11" s="5"/>
      <c r="Y11" s="5"/>
      <c r="AB11" s="5"/>
      <c r="AG11" s="123"/>
      <c r="AH11" s="123"/>
      <c r="AI11" s="123"/>
      <c r="AJ11" s="123"/>
    </row>
    <row r="12" spans="1:36">
      <c r="A12" s="122" t="s">
        <v>2303</v>
      </c>
      <c r="B12" s="131">
        <v>0</v>
      </c>
      <c r="C12" s="132">
        <v>0</v>
      </c>
      <c r="D12" s="128"/>
      <c r="E12" s="128"/>
      <c r="J12" s="7" t="s">
        <v>2273</v>
      </c>
      <c r="K12" s="7" t="s">
        <v>2262</v>
      </c>
      <c r="L12" s="5"/>
      <c r="N12" s="42"/>
      <c r="P12" s="5"/>
      <c r="Q12" s="5"/>
      <c r="R12" s="42">
        <f t="shared" si="0"/>
        <v>0</v>
      </c>
      <c r="T12" s="5"/>
      <c r="U12" s="5"/>
      <c r="V12" s="5"/>
      <c r="W12" s="5"/>
      <c r="Y12" s="5"/>
      <c r="AB12" s="5"/>
      <c r="AG12" s="123"/>
      <c r="AH12" s="123"/>
      <c r="AI12" s="123"/>
      <c r="AJ12" s="123"/>
    </row>
    <row r="13" spans="1:36">
      <c r="A13" s="122" t="s">
        <v>2304</v>
      </c>
      <c r="B13" s="131">
        <v>0</v>
      </c>
      <c r="C13" s="132">
        <v>0</v>
      </c>
      <c r="D13" s="128"/>
      <c r="E13" s="128"/>
      <c r="J13" s="7" t="s">
        <v>2271</v>
      </c>
      <c r="K13" s="7" t="s">
        <v>2263</v>
      </c>
      <c r="L13" s="5"/>
      <c r="N13" s="42"/>
      <c r="P13" s="5">
        <v>-6157.03</v>
      </c>
      <c r="Q13" s="5">
        <v>-3883.56</v>
      </c>
      <c r="R13" s="42">
        <f t="shared" si="0"/>
        <v>-10040.59</v>
      </c>
      <c r="S13" s="5"/>
      <c r="T13" s="5"/>
      <c r="U13" s="5">
        <f>-Z50</f>
        <v>0</v>
      </c>
      <c r="V13" s="43">
        <f>SUM(T13:U13)</f>
        <v>0</v>
      </c>
      <c r="W13" s="7" t="s">
        <v>2275</v>
      </c>
      <c r="Y13" s="5"/>
      <c r="AB13" s="5"/>
      <c r="AG13" s="123"/>
      <c r="AH13" s="123"/>
      <c r="AI13" s="123"/>
      <c r="AJ13" s="123"/>
    </row>
    <row r="14" spans="1:36">
      <c r="A14" s="129" t="s">
        <v>2306</v>
      </c>
      <c r="B14" s="160"/>
      <c r="C14" s="161"/>
      <c r="D14" s="130">
        <f>+B15+B16</f>
        <v>0</v>
      </c>
      <c r="E14" s="130">
        <f>+C15+C16</f>
        <v>0</v>
      </c>
      <c r="J14" s="24" t="s">
        <v>2272</v>
      </c>
      <c r="K14" s="24" t="s">
        <v>2264</v>
      </c>
      <c r="L14" s="43"/>
      <c r="M14" s="43"/>
      <c r="N14" s="44"/>
      <c r="O14" s="24"/>
      <c r="P14" s="43"/>
      <c r="Q14" s="43"/>
      <c r="R14" s="42">
        <f t="shared" si="0"/>
        <v>0</v>
      </c>
      <c r="S14" s="24"/>
      <c r="T14" s="43"/>
      <c r="U14" s="43"/>
      <c r="V14" s="43"/>
      <c r="W14" s="43"/>
      <c r="X14" s="24"/>
      <c r="Y14" s="24"/>
      <c r="Z14" s="24"/>
      <c r="AA14" s="24"/>
      <c r="AB14" s="43"/>
      <c r="AC14" s="24"/>
      <c r="AD14" s="24"/>
      <c r="AE14" s="24"/>
      <c r="AF14" s="24"/>
      <c r="AG14" s="123"/>
      <c r="AH14" s="123"/>
      <c r="AI14" s="123"/>
      <c r="AJ14" s="123"/>
    </row>
    <row r="15" spans="1:36">
      <c r="A15" s="122" t="s">
        <v>2303</v>
      </c>
      <c r="B15" s="131">
        <v>0</v>
      </c>
      <c r="C15" s="132">
        <v>0</v>
      </c>
      <c r="D15" s="128"/>
      <c r="E15" s="128"/>
      <c r="J15" s="7" t="s">
        <v>2271</v>
      </c>
      <c r="K15" s="7" t="s">
        <v>2265</v>
      </c>
      <c r="L15" s="5"/>
      <c r="N15" s="42"/>
      <c r="P15" s="5"/>
      <c r="Q15" s="5"/>
      <c r="R15" s="42">
        <f t="shared" si="0"/>
        <v>0</v>
      </c>
      <c r="T15" s="5"/>
      <c r="U15" s="5"/>
      <c r="V15" s="5"/>
      <c r="W15" s="5"/>
      <c r="Y15" s="5"/>
      <c r="AB15" s="5"/>
      <c r="AG15" s="123"/>
      <c r="AH15" s="123"/>
      <c r="AI15" s="123"/>
      <c r="AJ15" s="123"/>
    </row>
    <row r="16" spans="1:36">
      <c r="A16" s="122" t="s">
        <v>2329</v>
      </c>
      <c r="B16" s="131">
        <v>0</v>
      </c>
      <c r="C16" s="132">
        <v>0</v>
      </c>
      <c r="D16" s="128"/>
      <c r="E16" s="128"/>
      <c r="J16" s="7" t="s">
        <v>2273</v>
      </c>
      <c r="K16" s="7" t="s">
        <v>2266</v>
      </c>
      <c r="L16" s="5"/>
      <c r="N16" s="42"/>
      <c r="P16" s="5"/>
      <c r="Q16" s="5"/>
      <c r="R16" s="42">
        <f t="shared" si="0"/>
        <v>0</v>
      </c>
      <c r="S16" s="5"/>
      <c r="T16" s="46">
        <f>-Q49</f>
        <v>0</v>
      </c>
      <c r="U16" s="46"/>
      <c r="V16" s="47">
        <f>SUM(T16:U16)</f>
        <v>0</v>
      </c>
      <c r="W16" s="7" t="s">
        <v>2275</v>
      </c>
      <c r="Y16" s="5"/>
      <c r="AB16" s="5"/>
      <c r="AG16" s="123"/>
      <c r="AH16" s="123"/>
      <c r="AI16" s="123"/>
      <c r="AJ16" s="123"/>
    </row>
    <row r="17" spans="1:36">
      <c r="A17" s="129" t="s">
        <v>2307</v>
      </c>
      <c r="B17" s="160"/>
      <c r="C17" s="161"/>
      <c r="D17" s="130">
        <f>+B18+B19+B20</f>
        <v>0</v>
      </c>
      <c r="E17" s="130">
        <f>+C18+C19+C20</f>
        <v>0</v>
      </c>
      <c r="J17" s="48" t="s">
        <v>2271</v>
      </c>
      <c r="K17" s="48" t="s">
        <v>2267</v>
      </c>
      <c r="L17" s="4">
        <f>SUM(L7:L16)</f>
        <v>0</v>
      </c>
      <c r="M17" s="4">
        <f>SUM(M7:M16)</f>
        <v>0</v>
      </c>
      <c r="N17" s="4">
        <f>SUM(N7:N16)</f>
        <v>0</v>
      </c>
      <c r="O17" s="48"/>
      <c r="P17" s="4">
        <f>SUM(P7:P16)</f>
        <v>97539.169999999984</v>
      </c>
      <c r="Q17" s="4">
        <f>SUM(Q7:Q16)</f>
        <v>47735.47</v>
      </c>
      <c r="R17" s="4">
        <f>SUM(R7:R16)</f>
        <v>145274.64000000001</v>
      </c>
      <c r="S17" s="48"/>
      <c r="T17" s="4">
        <f>SUM(T7:T16)</f>
        <v>0</v>
      </c>
      <c r="U17" s="4">
        <f>SUM(U7:U16)</f>
        <v>0</v>
      </c>
      <c r="V17" s="4">
        <f>SUM(V7:V16)</f>
        <v>0</v>
      </c>
      <c r="W17" s="4"/>
      <c r="X17" s="48"/>
      <c r="Y17" s="4"/>
      <c r="Z17" s="48"/>
      <c r="AA17" s="48"/>
      <c r="AB17" s="4"/>
      <c r="AC17" s="48"/>
      <c r="AD17" s="48"/>
      <c r="AE17" s="48"/>
      <c r="AF17" s="48"/>
      <c r="AG17" s="123"/>
      <c r="AH17" s="123"/>
      <c r="AI17" s="123"/>
      <c r="AJ17" s="123"/>
    </row>
    <row r="18" spans="1:36">
      <c r="A18" s="122" t="s">
        <v>2308</v>
      </c>
      <c r="B18" s="131">
        <v>0</v>
      </c>
      <c r="C18" s="133">
        <v>0</v>
      </c>
      <c r="D18" s="128"/>
      <c r="E18" s="128"/>
      <c r="J18" s="7"/>
      <c r="L18" s="5"/>
      <c r="P18" s="5"/>
      <c r="T18" s="5">
        <f>+T17*0.25</f>
        <v>0</v>
      </c>
      <c r="U18" s="5">
        <f>+U17*0.25</f>
        <v>0</v>
      </c>
      <c r="V18" s="43">
        <f>SUM(T18:U18)</f>
        <v>0</v>
      </c>
      <c r="W18" s="5" t="s">
        <v>2274</v>
      </c>
      <c r="Y18" s="5"/>
      <c r="AB18" s="5"/>
      <c r="AG18" s="123"/>
      <c r="AH18" s="123"/>
      <c r="AI18" s="123"/>
      <c r="AJ18" s="123"/>
    </row>
    <row r="19" spans="1:36">
      <c r="A19" s="122" t="s">
        <v>2309</v>
      </c>
      <c r="B19" s="134">
        <v>0</v>
      </c>
      <c r="C19" s="133">
        <v>0</v>
      </c>
      <c r="D19" s="128"/>
      <c r="E19" s="128"/>
      <c r="J19" s="7" t="s">
        <v>2271</v>
      </c>
      <c r="K19" s="49" t="str">
        <f>+J19</f>
        <v>ESF</v>
      </c>
      <c r="L19" s="5">
        <f t="shared" ref="L19:N21" si="1">SUMIF($J$7:$J$17,$J19,L$7:L$17)</f>
        <v>0</v>
      </c>
      <c r="M19" s="5">
        <f t="shared" si="1"/>
        <v>0</v>
      </c>
      <c r="N19" s="5">
        <f t="shared" si="1"/>
        <v>0</v>
      </c>
      <c r="O19" s="5"/>
      <c r="P19" s="5">
        <f t="shared" ref="P19:R21" si="2">SUMIF($J$7:$J$17,$J19,P$7:P$17)</f>
        <v>167816</v>
      </c>
      <c r="Q19" s="5">
        <f t="shared" si="2"/>
        <v>75606.97</v>
      </c>
      <c r="R19" s="5">
        <f t="shared" si="2"/>
        <v>243422.97000000003</v>
      </c>
      <c r="T19" s="50"/>
      <c r="Y19" s="5"/>
      <c r="AB19" s="5"/>
      <c r="AG19" s="123"/>
      <c r="AH19" s="123"/>
      <c r="AI19" s="123"/>
      <c r="AJ19" s="123"/>
    </row>
    <row r="20" spans="1:36">
      <c r="A20" s="122" t="s">
        <v>2310</v>
      </c>
      <c r="B20" s="134">
        <v>0</v>
      </c>
      <c r="C20" s="133">
        <v>0</v>
      </c>
      <c r="D20" s="128"/>
      <c r="E20" s="128"/>
      <c r="J20" s="7" t="s">
        <v>2272</v>
      </c>
      <c r="K20" s="49" t="str">
        <f>+J20</f>
        <v>ERI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/>
      <c r="P20" s="5">
        <f t="shared" si="2"/>
        <v>27879.69</v>
      </c>
      <c r="Q20" s="20">
        <f t="shared" si="2"/>
        <v>12988.14</v>
      </c>
      <c r="R20" s="5">
        <f t="shared" si="2"/>
        <v>40867.83</v>
      </c>
      <c r="T20" s="50"/>
      <c r="Y20" s="5"/>
      <c r="AB20" s="5"/>
      <c r="AG20" s="123"/>
      <c r="AH20" s="123"/>
      <c r="AI20" s="123"/>
      <c r="AJ20" s="123"/>
    </row>
    <row r="21" spans="1:36">
      <c r="A21" s="129" t="s">
        <v>2311</v>
      </c>
      <c r="B21" s="160"/>
      <c r="C21" s="161"/>
      <c r="D21" s="130">
        <f>+B22+B23+B24+B25</f>
        <v>0</v>
      </c>
      <c r="E21" s="130">
        <f>+C22+C23+C24+C25</f>
        <v>0</v>
      </c>
      <c r="J21" s="7" t="s">
        <v>2273</v>
      </c>
      <c r="K21" s="49" t="str">
        <f>+J21</f>
        <v>ORI</v>
      </c>
      <c r="L21" s="5">
        <f t="shared" si="1"/>
        <v>0</v>
      </c>
      <c r="M21" s="5">
        <f t="shared" si="1"/>
        <v>0</v>
      </c>
      <c r="N21" s="5">
        <f t="shared" si="1"/>
        <v>0</v>
      </c>
      <c r="O21" s="5"/>
      <c r="P21" s="5">
        <f t="shared" si="2"/>
        <v>-617.35</v>
      </c>
      <c r="Q21" s="5">
        <f t="shared" si="2"/>
        <v>6875.83</v>
      </c>
      <c r="R21" s="5">
        <f t="shared" si="2"/>
        <v>6258.48</v>
      </c>
      <c r="Y21" s="5"/>
      <c r="AB21" s="5"/>
      <c r="AG21" s="123"/>
      <c r="AH21" s="123"/>
      <c r="AI21" s="123"/>
      <c r="AJ21" s="123"/>
    </row>
    <row r="22" spans="1:36">
      <c r="A22" s="122" t="s">
        <v>2312</v>
      </c>
      <c r="B22" s="134">
        <v>0</v>
      </c>
      <c r="C22" s="133">
        <v>0</v>
      </c>
      <c r="D22" s="128"/>
      <c r="E22" s="128"/>
      <c r="J22" s="7"/>
      <c r="L22" s="5"/>
      <c r="P22" s="5"/>
      <c r="Q22" s="5"/>
      <c r="R22" s="5"/>
      <c r="S22" s="5"/>
      <c r="Y22" s="5"/>
      <c r="AB22" s="5"/>
      <c r="AG22" s="123"/>
      <c r="AH22" s="123"/>
      <c r="AI22" s="123"/>
      <c r="AJ22" s="123"/>
    </row>
    <row r="23" spans="1:36">
      <c r="A23" s="122" t="s">
        <v>2313</v>
      </c>
      <c r="B23" s="134">
        <v>0</v>
      </c>
      <c r="C23" s="133">
        <v>0</v>
      </c>
      <c r="D23" s="128"/>
      <c r="E23" s="128"/>
      <c r="J23" s="7"/>
      <c r="L23" s="52"/>
      <c r="M23" s="52"/>
      <c r="P23" s="52"/>
      <c r="Q23" s="52"/>
      <c r="R23" s="52"/>
      <c r="S23" s="52"/>
      <c r="Y23" s="52"/>
      <c r="AB23" s="52"/>
      <c r="AG23" s="123"/>
      <c r="AH23" s="123"/>
      <c r="AI23" s="123"/>
      <c r="AJ23" s="123"/>
    </row>
    <row r="24" spans="1:36">
      <c r="A24" s="122" t="s">
        <v>2314</v>
      </c>
      <c r="B24" s="134">
        <v>0</v>
      </c>
      <c r="C24" s="133">
        <v>0</v>
      </c>
      <c r="D24" s="128"/>
      <c r="E24" s="128"/>
      <c r="J24" s="7"/>
      <c r="K24" s="48"/>
      <c r="L24" s="52"/>
      <c r="M24" s="52"/>
      <c r="P24" s="52"/>
      <c r="Q24" s="52"/>
      <c r="R24" s="52"/>
      <c r="S24" s="52"/>
      <c r="Y24" s="52"/>
      <c r="AB24" s="52"/>
      <c r="AG24" s="123"/>
      <c r="AH24" s="123"/>
      <c r="AI24" s="123"/>
      <c r="AJ24" s="123"/>
    </row>
    <row r="25" spans="1:36">
      <c r="A25" s="122" t="s">
        <v>2315</v>
      </c>
      <c r="B25" s="134">
        <v>0</v>
      </c>
      <c r="C25" s="133">
        <v>0</v>
      </c>
      <c r="D25" s="128"/>
      <c r="E25" s="128"/>
      <c r="J25" s="7"/>
      <c r="L25" s="52"/>
      <c r="M25" s="52"/>
      <c r="P25" s="52"/>
      <c r="Q25" s="52"/>
      <c r="R25" s="52"/>
      <c r="S25" s="52"/>
      <c r="Y25" s="52"/>
      <c r="AB25" s="52"/>
      <c r="AG25" s="123"/>
      <c r="AH25" s="123"/>
      <c r="AI25" s="123"/>
      <c r="AJ25" s="123"/>
    </row>
    <row r="26" spans="1:36">
      <c r="A26" s="129" t="s">
        <v>2316</v>
      </c>
      <c r="B26" s="160"/>
      <c r="C26" s="161"/>
      <c r="D26" s="130">
        <f>+B27+B28+B29+B30</f>
        <v>0</v>
      </c>
      <c r="E26" s="130">
        <f>+C27+C28+C29+C30</f>
        <v>0</v>
      </c>
      <c r="J26" s="7"/>
      <c r="K26" s="48"/>
      <c r="L26" s="52"/>
      <c r="M26" s="52"/>
      <c r="P26" s="52"/>
      <c r="Q26" s="52"/>
      <c r="R26" s="52"/>
      <c r="S26" s="52"/>
      <c r="Y26" s="52"/>
      <c r="Z26" s="51"/>
      <c r="AA26" s="171"/>
      <c r="AG26" s="123"/>
      <c r="AH26" s="123"/>
    </row>
    <row r="27" spans="1:36">
      <c r="A27" s="122" t="s">
        <v>2312</v>
      </c>
      <c r="B27" s="134">
        <v>0</v>
      </c>
      <c r="C27" s="133">
        <v>0</v>
      </c>
      <c r="D27" s="128"/>
      <c r="E27" s="128"/>
      <c r="J27" s="7"/>
      <c r="L27" s="52"/>
      <c r="M27" s="52"/>
      <c r="P27" s="52"/>
      <c r="Q27" s="171"/>
      <c r="R27" s="171"/>
      <c r="S27" s="52"/>
      <c r="U27" s="52"/>
      <c r="W27" s="52"/>
      <c r="Y27" s="52"/>
      <c r="AA27" s="52"/>
    </row>
    <row r="28" spans="1:36">
      <c r="A28" s="122" t="s">
        <v>2313</v>
      </c>
      <c r="B28" s="134">
        <v>0</v>
      </c>
      <c r="C28" s="133">
        <v>0</v>
      </c>
      <c r="D28" s="128"/>
      <c r="E28" s="128"/>
      <c r="J28" s="7"/>
      <c r="L28" s="52"/>
      <c r="M28" s="52"/>
      <c r="P28" s="52"/>
      <c r="Q28" s="171"/>
      <c r="R28" s="171"/>
      <c r="S28" s="52"/>
      <c r="U28" s="52"/>
      <c r="X28" s="52"/>
      <c r="Y28" s="52"/>
      <c r="AA28" s="52"/>
    </row>
    <row r="29" spans="1:36">
      <c r="A29" s="122" t="s">
        <v>2314</v>
      </c>
      <c r="B29" s="134">
        <v>0</v>
      </c>
      <c r="C29" s="133">
        <v>0</v>
      </c>
      <c r="D29" s="128"/>
      <c r="E29" s="128"/>
      <c r="J29" s="7"/>
      <c r="L29" s="52"/>
      <c r="M29" s="52"/>
      <c r="P29" s="52"/>
      <c r="Q29" s="171"/>
      <c r="R29" s="171"/>
      <c r="S29" s="52"/>
      <c r="U29" s="52"/>
      <c r="Y29" s="52"/>
      <c r="AA29" s="52"/>
      <c r="AI29" s="24"/>
      <c r="AJ29" s="24"/>
    </row>
    <row r="30" spans="1:36">
      <c r="A30" s="122" t="s">
        <v>2315</v>
      </c>
      <c r="B30" s="134">
        <v>0</v>
      </c>
      <c r="C30" s="133">
        <v>0</v>
      </c>
      <c r="D30" s="128"/>
      <c r="E30" s="128"/>
      <c r="J30" s="7"/>
      <c r="L30" s="52"/>
      <c r="M30" s="52"/>
      <c r="P30" s="52"/>
      <c r="Q30" s="171"/>
      <c r="R30" s="171"/>
      <c r="S30" s="52"/>
      <c r="U30" s="52"/>
      <c r="Y30" s="52"/>
      <c r="AA30" s="52"/>
      <c r="AG30" s="24"/>
      <c r="AH30" s="24"/>
      <c r="AI30" s="24"/>
      <c r="AJ30" s="24"/>
    </row>
    <row r="31" spans="1:36">
      <c r="A31" s="129" t="s">
        <v>2330</v>
      </c>
      <c r="B31" s="160"/>
      <c r="C31" s="161"/>
      <c r="D31" s="130">
        <f>+B32+B33+B34+B35</f>
        <v>0</v>
      </c>
      <c r="E31" s="130">
        <f>+C32+C33+C34+C35</f>
        <v>0</v>
      </c>
      <c r="J31" s="7"/>
      <c r="L31" s="52"/>
      <c r="M31" s="52"/>
      <c r="P31" s="52"/>
      <c r="Q31" s="171"/>
      <c r="R31" s="171"/>
      <c r="S31" s="52"/>
      <c r="Y31" s="52"/>
      <c r="AA31" s="52"/>
      <c r="AG31" s="24"/>
      <c r="AH31" s="24"/>
    </row>
    <row r="32" spans="1:36">
      <c r="A32" s="122" t="s">
        <v>2312</v>
      </c>
      <c r="B32" s="134">
        <v>0</v>
      </c>
      <c r="C32" s="133">
        <v>0</v>
      </c>
      <c r="D32" s="128"/>
      <c r="E32" s="128"/>
      <c r="J32" s="7"/>
      <c r="L32" s="52"/>
      <c r="M32" s="52"/>
      <c r="N32" s="52"/>
      <c r="O32" s="52"/>
      <c r="P32" s="52"/>
      <c r="Q32" s="171"/>
      <c r="R32" s="171"/>
      <c r="S32" s="52"/>
      <c r="U32" s="52"/>
      <c r="V32" s="52"/>
      <c r="W32" s="52"/>
      <c r="X32" s="52"/>
      <c r="Y32" s="52"/>
      <c r="Z32" s="52"/>
      <c r="AA32" s="52"/>
    </row>
    <row r="33" spans="1:36">
      <c r="A33" s="122" t="s">
        <v>2313</v>
      </c>
      <c r="B33" s="134">
        <v>0</v>
      </c>
      <c r="C33" s="133">
        <v>0</v>
      </c>
      <c r="D33" s="128"/>
      <c r="E33" s="128"/>
      <c r="J33" s="7"/>
      <c r="K33" s="48"/>
      <c r="L33" s="52"/>
      <c r="M33" s="52"/>
      <c r="P33" s="52"/>
      <c r="Q33" s="52"/>
      <c r="R33" s="52"/>
      <c r="S33" s="52"/>
      <c r="Y33" s="52"/>
      <c r="AA33" s="52"/>
    </row>
    <row r="34" spans="1:36">
      <c r="A34" s="122" t="s">
        <v>2314</v>
      </c>
      <c r="B34" s="134">
        <v>0</v>
      </c>
      <c r="C34" s="133">
        <v>0</v>
      </c>
      <c r="D34" s="128"/>
      <c r="E34" s="128"/>
      <c r="J34" s="7"/>
      <c r="L34" s="52"/>
      <c r="M34" s="52"/>
      <c r="P34" s="52"/>
      <c r="Q34" s="171"/>
      <c r="R34" s="171"/>
      <c r="S34" s="52"/>
      <c r="Y34" s="52"/>
      <c r="AA34" s="52"/>
    </row>
    <row r="35" spans="1:36">
      <c r="A35" s="122" t="s">
        <v>2315</v>
      </c>
      <c r="B35" s="134">
        <v>0</v>
      </c>
      <c r="C35" s="133">
        <v>0</v>
      </c>
      <c r="D35" s="128"/>
      <c r="E35" s="128"/>
      <c r="J35" s="7"/>
      <c r="L35" s="52"/>
      <c r="M35" s="52"/>
      <c r="P35" s="52"/>
      <c r="Q35" s="171"/>
      <c r="R35" s="171"/>
      <c r="S35" s="52"/>
      <c r="U35" s="42"/>
      <c r="Y35" s="52"/>
      <c r="AA35" s="52"/>
      <c r="AI35" s="24"/>
      <c r="AJ35" s="24"/>
    </row>
    <row r="36" spans="1:36">
      <c r="A36" s="129" t="s">
        <v>2317</v>
      </c>
      <c r="B36" s="160"/>
      <c r="C36" s="161"/>
      <c r="D36" s="130">
        <f>+B37+B38+B39+B40</f>
        <v>0</v>
      </c>
      <c r="E36" s="130">
        <f>+C37+C38+C39+C40</f>
        <v>0</v>
      </c>
      <c r="J36" s="7"/>
      <c r="L36" s="52"/>
      <c r="M36" s="52"/>
      <c r="P36" s="52"/>
      <c r="Q36" s="171"/>
      <c r="R36" s="171"/>
      <c r="S36" s="52"/>
      <c r="U36" s="42"/>
      <c r="Y36" s="52"/>
      <c r="AA36" s="52"/>
      <c r="AG36" s="24"/>
      <c r="AH36" s="24"/>
    </row>
    <row r="37" spans="1:36">
      <c r="A37" s="122" t="s">
        <v>2312</v>
      </c>
      <c r="B37" s="134">
        <v>0</v>
      </c>
      <c r="C37" s="134">
        <v>0</v>
      </c>
      <c r="D37" s="128"/>
      <c r="E37" s="128"/>
      <c r="J37" s="7"/>
      <c r="L37" s="52"/>
      <c r="M37" s="52"/>
      <c r="P37" s="52"/>
      <c r="Q37" s="171"/>
      <c r="R37" s="171"/>
      <c r="S37" s="52"/>
      <c r="U37" s="42"/>
      <c r="Y37" s="52"/>
      <c r="AA37" s="52"/>
    </row>
    <row r="38" spans="1:36">
      <c r="A38" s="122" t="s">
        <v>2313</v>
      </c>
      <c r="B38" s="134">
        <v>0</v>
      </c>
      <c r="C38" s="134">
        <v>0</v>
      </c>
      <c r="D38" s="128"/>
      <c r="E38" s="128"/>
      <c r="J38" s="7"/>
      <c r="L38" s="52"/>
      <c r="M38" s="52"/>
      <c r="P38" s="52"/>
      <c r="Q38" s="171"/>
      <c r="R38" s="171"/>
      <c r="S38" s="52"/>
      <c r="U38" s="42"/>
      <c r="Y38" s="52"/>
      <c r="AA38" s="52"/>
      <c r="AI38" s="48"/>
      <c r="AJ38" s="48"/>
    </row>
    <row r="39" spans="1:36">
      <c r="A39" s="122" t="s">
        <v>2331</v>
      </c>
      <c r="B39" s="134">
        <v>0</v>
      </c>
      <c r="C39" s="134">
        <v>0</v>
      </c>
      <c r="D39" s="128"/>
      <c r="E39" s="128"/>
      <c r="J39" s="7"/>
      <c r="L39" s="52"/>
      <c r="M39" s="52"/>
      <c r="N39" s="52"/>
      <c r="O39" s="52"/>
      <c r="P39" s="52"/>
      <c r="Q39" s="171"/>
      <c r="R39" s="171"/>
      <c r="S39" s="52"/>
      <c r="U39" s="52"/>
      <c r="V39" s="52"/>
      <c r="W39" s="52"/>
      <c r="X39" s="52"/>
      <c r="Y39" s="52"/>
      <c r="Z39" s="52"/>
      <c r="AA39" s="52"/>
      <c r="AB39" s="52"/>
      <c r="AG39" s="48"/>
      <c r="AH39" s="48"/>
    </row>
    <row r="40" spans="1:36">
      <c r="A40" s="122" t="s">
        <v>2315</v>
      </c>
      <c r="B40" s="134">
        <v>0</v>
      </c>
      <c r="C40" s="134">
        <v>0</v>
      </c>
      <c r="D40" s="128"/>
      <c r="E40" s="128"/>
      <c r="J40" s="7"/>
      <c r="K40" s="48"/>
      <c r="L40" s="52"/>
      <c r="M40" s="52"/>
      <c r="P40" s="52"/>
      <c r="Q40" s="52"/>
      <c r="R40" s="52"/>
      <c r="S40" s="52"/>
      <c r="Y40" s="52"/>
      <c r="AB40" s="52"/>
    </row>
    <row r="41" spans="1:36">
      <c r="A41" s="135" t="s">
        <v>2318</v>
      </c>
      <c r="B41" s="162"/>
      <c r="C41" s="163"/>
      <c r="D41" s="136">
        <f>SUM(D7:D40)</f>
        <v>0</v>
      </c>
      <c r="E41" s="136">
        <f>SUM(E7:E40)</f>
        <v>0</v>
      </c>
      <c r="J41" s="7"/>
      <c r="L41" s="52"/>
      <c r="M41" s="52"/>
      <c r="P41" s="52"/>
      <c r="Q41" s="52"/>
      <c r="R41" s="52"/>
      <c r="S41" s="52"/>
      <c r="Y41" s="52"/>
      <c r="Z41" s="51"/>
      <c r="AB41" s="52"/>
    </row>
    <row r="42" spans="1:36">
      <c r="C42" s="124"/>
      <c r="J42" s="7"/>
      <c r="L42" s="52"/>
      <c r="M42" s="52"/>
      <c r="P42" s="52"/>
      <c r="Q42" s="52"/>
      <c r="R42" s="52"/>
      <c r="S42" s="52"/>
      <c r="U42" s="42"/>
      <c r="W42" s="52"/>
      <c r="Y42" s="52"/>
      <c r="Z42" s="50"/>
      <c r="AA42" s="42"/>
      <c r="AB42" s="52"/>
    </row>
    <row r="43" spans="1:36">
      <c r="A43" s="121"/>
      <c r="C43" s="124"/>
      <c r="J43" s="7"/>
      <c r="L43" s="52"/>
      <c r="M43" s="52"/>
      <c r="P43" s="52"/>
      <c r="Q43" s="52"/>
      <c r="R43" s="52"/>
      <c r="S43" s="52"/>
      <c r="U43" s="42"/>
      <c r="W43" s="52"/>
      <c r="Y43" s="52"/>
      <c r="Z43" s="50"/>
      <c r="AA43" s="42"/>
      <c r="AB43" s="52"/>
    </row>
    <row r="44" spans="1:36" ht="36.75" customHeight="1">
      <c r="A44" s="137" t="s">
        <v>2319</v>
      </c>
      <c r="B44" s="138" t="s">
        <v>2320</v>
      </c>
      <c r="C44" s="139" t="s">
        <v>20</v>
      </c>
      <c r="D44" s="126" t="s">
        <v>2300</v>
      </c>
      <c r="E44" s="126" t="s">
        <v>473</v>
      </c>
      <c r="F44" s="126" t="s">
        <v>2321</v>
      </c>
      <c r="G44" s="126" t="s">
        <v>2321</v>
      </c>
      <c r="J44" s="7"/>
      <c r="L44" s="52"/>
      <c r="M44" s="52"/>
      <c r="P44" s="52"/>
      <c r="Q44" s="52"/>
      <c r="R44" s="52"/>
      <c r="S44" s="52"/>
      <c r="U44" s="42"/>
      <c r="W44" s="52"/>
      <c r="Y44" s="52"/>
      <c r="Z44" s="50"/>
      <c r="AA44" s="52"/>
      <c r="AB44" s="52"/>
    </row>
    <row r="45" spans="1:36" ht="15">
      <c r="A45" s="140" t="s">
        <v>2322</v>
      </c>
      <c r="B45" s="141"/>
      <c r="C45" s="142" t="s">
        <v>2323</v>
      </c>
      <c r="D45" s="143">
        <v>0</v>
      </c>
      <c r="E45" s="143">
        <v>0</v>
      </c>
      <c r="F45" s="144">
        <f>+D41-D45</f>
        <v>0</v>
      </c>
      <c r="G45" s="144">
        <f>+E41-E45</f>
        <v>0</v>
      </c>
      <c r="J45" s="7"/>
      <c r="L45" s="52"/>
      <c r="M45" s="52"/>
      <c r="P45" s="52"/>
      <c r="Q45" s="52"/>
      <c r="R45" s="52"/>
      <c r="S45" s="52"/>
      <c r="U45" s="42"/>
      <c r="W45" s="52"/>
      <c r="Y45" s="52"/>
      <c r="Z45" s="50"/>
      <c r="AA45" s="52"/>
      <c r="AB45" s="52"/>
    </row>
    <row r="46" spans="1:36" ht="30">
      <c r="A46" s="145" t="s">
        <v>2324</v>
      </c>
      <c r="B46" s="146"/>
      <c r="C46" s="142" t="s">
        <v>2325</v>
      </c>
      <c r="D46" s="143">
        <v>0</v>
      </c>
      <c r="E46" s="143">
        <v>0</v>
      </c>
      <c r="F46" s="144">
        <f>+D8+D11-D46</f>
        <v>0</v>
      </c>
      <c r="G46" s="144">
        <f>+E8+E11-E46</f>
        <v>0</v>
      </c>
      <c r="J46" s="7"/>
      <c r="L46" s="52"/>
      <c r="M46" s="52"/>
      <c r="N46" s="172"/>
      <c r="O46" s="52"/>
      <c r="P46" s="52"/>
      <c r="Q46" s="52"/>
      <c r="R46" s="52"/>
      <c r="S46" s="52"/>
      <c r="U46" s="52"/>
      <c r="V46" s="52"/>
      <c r="W46" s="52"/>
      <c r="X46" s="52"/>
      <c r="Y46" s="52"/>
      <c r="Z46" s="52"/>
      <c r="AA46" s="52"/>
      <c r="AB46" s="52"/>
    </row>
    <row r="47" spans="1:36" ht="30">
      <c r="A47" s="147" t="s">
        <v>2326</v>
      </c>
      <c r="B47" s="146"/>
      <c r="C47" s="148">
        <v>6077</v>
      </c>
      <c r="D47" s="149">
        <v>0</v>
      </c>
      <c r="E47" s="149">
        <v>0</v>
      </c>
      <c r="F47" s="144">
        <f>+D36-D47</f>
        <v>0</v>
      </c>
      <c r="G47" s="144">
        <f>+E36-E47</f>
        <v>0</v>
      </c>
      <c r="J47" s="7"/>
      <c r="L47" s="52"/>
      <c r="M47" s="52"/>
      <c r="P47" s="52"/>
      <c r="Q47" s="171"/>
      <c r="R47" s="52"/>
      <c r="S47" s="52"/>
      <c r="Y47" s="52"/>
      <c r="Z47" s="173"/>
      <c r="AA47" s="52"/>
    </row>
    <row r="48" spans="1:36" ht="16" thickBot="1">
      <c r="A48" s="150" t="s">
        <v>2327</v>
      </c>
      <c r="B48" s="151"/>
      <c r="C48" s="152"/>
      <c r="D48" s="153">
        <f>+D41-D45</f>
        <v>0</v>
      </c>
      <c r="E48" s="153">
        <f>+E41-E45</f>
        <v>0</v>
      </c>
      <c r="J48" s="7"/>
      <c r="L48" s="52"/>
      <c r="M48" s="52"/>
      <c r="P48" s="52"/>
      <c r="Q48" s="173"/>
      <c r="R48" s="52"/>
      <c r="S48" s="52"/>
      <c r="T48" s="52"/>
      <c r="U48" s="52"/>
      <c r="Y48" s="52"/>
      <c r="Z48" s="173"/>
      <c r="AA48" s="52"/>
      <c r="AB48" s="52"/>
    </row>
    <row r="49" spans="3:28" ht="15" thickTop="1">
      <c r="C49" s="124"/>
      <c r="J49" s="7"/>
      <c r="L49" s="52"/>
      <c r="M49" s="174"/>
      <c r="N49" s="42"/>
      <c r="P49" s="52"/>
      <c r="Q49" s="52"/>
      <c r="R49" s="52"/>
      <c r="S49" s="52"/>
      <c r="U49" s="42"/>
      <c r="V49" s="42"/>
      <c r="Y49" s="52"/>
      <c r="AA49" s="52"/>
      <c r="AB49" s="52"/>
    </row>
    <row r="50" spans="3:28">
      <c r="J50" s="7"/>
      <c r="L50" s="52"/>
      <c r="M50" s="52"/>
      <c r="N50" s="42"/>
      <c r="P50" s="52"/>
      <c r="Q50" s="52"/>
      <c r="R50" s="52"/>
      <c r="S50" s="52"/>
      <c r="T50" s="52"/>
      <c r="U50" s="174"/>
      <c r="V50" s="42"/>
      <c r="W50" s="42"/>
      <c r="Y50" s="52"/>
      <c r="Z50" s="52"/>
      <c r="AA50" s="52"/>
      <c r="AB50" s="52"/>
    </row>
    <row r="51" spans="3:28">
      <c r="J51" s="7"/>
      <c r="L51" s="52"/>
      <c r="M51" s="52"/>
      <c r="N51" s="52"/>
      <c r="P51" s="52"/>
      <c r="Q51" s="52"/>
      <c r="R51" s="52"/>
      <c r="S51" s="52"/>
      <c r="T51" s="52"/>
      <c r="U51" s="52"/>
      <c r="V51" s="52"/>
      <c r="W51" s="42"/>
      <c r="Y51" s="52"/>
      <c r="AB51" s="52"/>
    </row>
    <row r="52" spans="3:28">
      <c r="J52" s="7"/>
      <c r="L52" s="52"/>
      <c r="M52" s="52"/>
      <c r="P52" s="52"/>
      <c r="Q52" s="52"/>
      <c r="R52" s="52"/>
      <c r="S52" s="52"/>
      <c r="T52" s="52"/>
      <c r="U52" s="52"/>
      <c r="V52" s="52"/>
      <c r="W52" s="52"/>
      <c r="Y52" s="52"/>
      <c r="AB52" s="52"/>
    </row>
    <row r="53" spans="3:28">
      <c r="J53" s="7"/>
      <c r="L53" s="52"/>
      <c r="M53" s="52"/>
      <c r="P53" s="52"/>
      <c r="Q53" s="52"/>
      <c r="R53" s="52"/>
      <c r="S53" s="52"/>
      <c r="Y53" s="52"/>
      <c r="AB53" s="52"/>
    </row>
    <row r="54" spans="3:28">
      <c r="J54" s="7"/>
      <c r="L54" s="52"/>
      <c r="M54" s="52"/>
      <c r="P54" s="52"/>
      <c r="Q54" s="52"/>
      <c r="R54" s="52"/>
      <c r="S54" s="52"/>
      <c r="Y54" s="52"/>
      <c r="AB54" s="52"/>
    </row>
    <row r="55" spans="3:28">
      <c r="J55" s="7"/>
      <c r="L55" s="52"/>
      <c r="M55" s="52"/>
      <c r="P55" s="52"/>
      <c r="Q55" s="52"/>
      <c r="R55" s="52"/>
      <c r="S55" s="52"/>
      <c r="Y55" s="52"/>
      <c r="AB55" s="52"/>
    </row>
    <row r="56" spans="3:28">
      <c r="J56" s="7"/>
      <c r="L56" s="52"/>
      <c r="M56" s="52"/>
      <c r="P56" s="52"/>
      <c r="Q56" s="52"/>
      <c r="R56" s="52"/>
      <c r="S56" s="52"/>
      <c r="Y56" s="52"/>
      <c r="AB56" s="52"/>
    </row>
    <row r="57" spans="3:28">
      <c r="J57" s="7"/>
      <c r="L57" s="5"/>
      <c r="P57" s="5"/>
      <c r="Q57" s="5"/>
      <c r="R57" s="5"/>
      <c r="S57" s="5"/>
      <c r="Y57" s="5"/>
      <c r="AB57" s="5"/>
    </row>
    <row r="58" spans="3:28">
      <c r="J58" s="7"/>
      <c r="L58" s="5"/>
      <c r="P58" s="5"/>
      <c r="Q58" s="5"/>
      <c r="R58" s="5"/>
      <c r="S58" s="5"/>
      <c r="Y58" s="5"/>
      <c r="AB58" s="5"/>
    </row>
    <row r="59" spans="3:28">
      <c r="J59" s="7"/>
      <c r="L59" s="5"/>
      <c r="P59" s="5"/>
      <c r="Q59" s="5"/>
      <c r="R59" s="5"/>
      <c r="S59" s="5"/>
      <c r="Y59" s="5"/>
      <c r="AB59" s="5"/>
    </row>
    <row r="60" spans="3:28">
      <c r="J60" s="7"/>
      <c r="L60" s="5"/>
      <c r="P60" s="5"/>
      <c r="Q60" s="5"/>
      <c r="R60" s="5"/>
      <c r="S60" s="5"/>
      <c r="Y60" s="5"/>
      <c r="AB60" s="5"/>
    </row>
    <row r="61" spans="3:28">
      <c r="J61" s="7"/>
      <c r="L61" s="5"/>
      <c r="P61" s="5"/>
      <c r="Q61" s="5"/>
      <c r="R61" s="5"/>
      <c r="S61" s="5"/>
      <c r="Y61" s="5"/>
      <c r="AB61" s="5"/>
    </row>
    <row r="62" spans="3:28">
      <c r="J62" s="7"/>
      <c r="L62" s="5"/>
      <c r="P62" s="5"/>
      <c r="Q62" s="5"/>
      <c r="R62" s="5"/>
      <c r="S62" s="5"/>
      <c r="Y62" s="5"/>
      <c r="AB62" s="5"/>
    </row>
    <row r="63" spans="3:28">
      <c r="J63" s="7"/>
      <c r="L63" s="5"/>
      <c r="P63" s="5"/>
      <c r="Q63" s="5"/>
      <c r="R63" s="5"/>
      <c r="S63" s="5"/>
      <c r="Y63" s="5"/>
      <c r="AB63" s="5"/>
    </row>
    <row r="64" spans="3:28">
      <c r="J64" s="7"/>
      <c r="L64" s="5"/>
      <c r="P64" s="5"/>
      <c r="Q64" s="5"/>
      <c r="R64" s="5"/>
      <c r="S64" s="5"/>
      <c r="Y64" s="5"/>
      <c r="AB64" s="5"/>
    </row>
    <row r="65" spans="10:28">
      <c r="J65" s="7"/>
      <c r="L65" s="5"/>
      <c r="P65" s="5"/>
      <c r="Q65" s="5"/>
      <c r="R65" s="5"/>
      <c r="S65" s="5"/>
      <c r="Y65" s="5"/>
      <c r="AB65" s="5"/>
    </row>
    <row r="66" spans="10:28">
      <c r="J66" s="7"/>
      <c r="L66" s="5"/>
      <c r="P66" s="5"/>
      <c r="Q66" s="5"/>
      <c r="R66" s="5"/>
      <c r="S66" s="5"/>
      <c r="Y66" s="5"/>
      <c r="AB66" s="5"/>
    </row>
    <row r="67" spans="10:28">
      <c r="J67" s="7"/>
      <c r="L67" s="5"/>
      <c r="P67" s="5"/>
      <c r="Q67" s="5"/>
      <c r="R67" s="5"/>
      <c r="S67" s="5"/>
      <c r="Y67" s="5"/>
      <c r="AB67" s="5"/>
    </row>
    <row r="68" spans="10:28">
      <c r="J68" s="7"/>
      <c r="L68" s="5"/>
      <c r="P68" s="5"/>
      <c r="Q68" s="5"/>
      <c r="R68" s="5"/>
      <c r="S68" s="5"/>
      <c r="Y68" s="5"/>
      <c r="AB68" s="5"/>
    </row>
    <row r="69" spans="10:28">
      <c r="J69" s="7"/>
      <c r="L69" s="5"/>
      <c r="P69" s="5"/>
      <c r="Q69" s="5"/>
      <c r="R69" s="5"/>
      <c r="S69" s="5"/>
      <c r="Y69" s="5"/>
      <c r="AB69" s="5"/>
    </row>
    <row r="70" spans="10:28">
      <c r="J70" s="7"/>
      <c r="L70" s="5"/>
      <c r="P70" s="5"/>
      <c r="Q70" s="5"/>
      <c r="R70" s="5"/>
      <c r="S70" s="5"/>
      <c r="Y70" s="5"/>
      <c r="AB70" s="5"/>
    </row>
    <row r="71" spans="10:28">
      <c r="J71" s="7"/>
      <c r="L71" s="5"/>
      <c r="P71" s="5"/>
      <c r="Q71" s="5"/>
      <c r="R71" s="5"/>
      <c r="S71" s="5"/>
      <c r="Y71" s="5"/>
      <c r="AB71" s="5"/>
    </row>
    <row r="72" spans="10:28">
      <c r="J72" s="7"/>
      <c r="L72" s="5"/>
      <c r="P72" s="5"/>
      <c r="Q72" s="5"/>
      <c r="R72" s="5"/>
      <c r="S72" s="5"/>
      <c r="Y72" s="5"/>
      <c r="AB72" s="5"/>
    </row>
    <row r="73" spans="10:28">
      <c r="J73" s="7"/>
      <c r="L73" s="5"/>
      <c r="P73" s="5"/>
      <c r="Q73" s="5"/>
      <c r="R73" s="5"/>
      <c r="S73" s="5"/>
      <c r="Y73" s="5"/>
      <c r="AB73" s="5"/>
    </row>
    <row r="74" spans="10:28">
      <c r="J74" s="7"/>
      <c r="M74" s="7"/>
    </row>
    <row r="75" spans="10:28">
      <c r="J75" s="7"/>
      <c r="M75" s="7"/>
    </row>
    <row r="76" spans="10:28">
      <c r="J76" s="7"/>
      <c r="M76" s="7"/>
    </row>
    <row r="77" spans="10:28">
      <c r="J77" s="7"/>
      <c r="M77" s="7"/>
    </row>
    <row r="78" spans="10:28">
      <c r="J78" s="7"/>
      <c r="M78" s="7"/>
    </row>
    <row r="79" spans="10:28">
      <c r="J79" s="7"/>
      <c r="M79" s="7"/>
    </row>
    <row r="80" spans="10:28">
      <c r="J80" s="7"/>
      <c r="M80" s="7"/>
    </row>
    <row r="81" spans="10:13">
      <c r="J81" s="7"/>
      <c r="M81" s="7"/>
    </row>
    <row r="82" spans="10:13">
      <c r="J82" s="7"/>
      <c r="M82" s="7"/>
    </row>
    <row r="83" spans="10:13">
      <c r="J83" s="7"/>
      <c r="M83" s="7"/>
    </row>
    <row r="84" spans="10:13">
      <c r="J84" s="7"/>
      <c r="M84" s="7"/>
    </row>
    <row r="85" spans="10:13">
      <c r="J85" s="7"/>
      <c r="M85" s="7"/>
    </row>
    <row r="86" spans="10:13">
      <c r="J86" s="7"/>
      <c r="M86" s="7"/>
    </row>
    <row r="87" spans="10:13">
      <c r="J87" s="7"/>
      <c r="M87" s="7"/>
    </row>
    <row r="88" spans="10:13">
      <c r="J88" s="7"/>
      <c r="M88" s="7"/>
    </row>
    <row r="89" spans="10:13">
      <c r="J89" s="7"/>
      <c r="M89" s="7"/>
    </row>
    <row r="90" spans="10:13">
      <c r="J90" s="7"/>
      <c r="M90" s="7"/>
    </row>
    <row r="91" spans="10:13">
      <c r="J91" s="7"/>
      <c r="M91" s="7"/>
    </row>
    <row r="92" spans="10:13">
      <c r="J92" s="7"/>
      <c r="M92" s="7"/>
    </row>
    <row r="93" spans="10:13">
      <c r="J93" s="7"/>
      <c r="M93" s="7"/>
    </row>
    <row r="94" spans="10:13">
      <c r="J94" s="7"/>
      <c r="M94" s="7"/>
    </row>
    <row r="95" spans="10:13">
      <c r="J95" s="7"/>
      <c r="M95" s="7"/>
    </row>
  </sheetData>
  <pageMargins left="0.7" right="0.7" top="0.75" bottom="0.75" header="0.3" footer="0.3"/>
  <pageSetup paperSize="9" scale="35" orientation="portrait" horizontalDpi="360" verticalDpi="36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Hoja34"/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BC</vt:lpstr>
      <vt:lpstr>F101</vt:lpstr>
      <vt:lpstr>Tipo</vt:lpstr>
      <vt:lpstr>Casilleros</vt:lpstr>
      <vt:lpstr>JP&amp;D FA</vt:lpstr>
      <vt:lpstr>BC!Área_de_impresión</vt:lpstr>
      <vt:lpstr>'F101'!Área_de_impresión</vt:lpstr>
      <vt:lpstr>'JP&amp;D FA'!Área_de_impresión</vt:lpstr>
      <vt:lpstr>BC!Títulos_a_imprimir</vt:lpstr>
      <vt:lpstr>Casilleros!Títulos_a_imprimir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ABALT</dc:creator>
  <cp:lastModifiedBy>Lily Marlen Pineda Narvaez</cp:lastModifiedBy>
  <cp:lastPrinted>2024-03-04T18:39:42Z</cp:lastPrinted>
  <dcterms:created xsi:type="dcterms:W3CDTF">2001-12-17T19:09:57Z</dcterms:created>
  <dcterms:modified xsi:type="dcterms:W3CDTF">2026-02-24T02:50:26Z</dcterms:modified>
</cp:coreProperties>
</file>